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mc:AlternateContent xmlns:mc="http://schemas.openxmlformats.org/markup-compatibility/2006">
    <mc:Choice Requires="x15">
      <x15ac:absPath xmlns:x15ac="http://schemas.microsoft.com/office/spreadsheetml/2010/11/ac" url="https://d.docs.live.net/17126c354797ae83/Documents/DATA ANALYTICS PORTFOLIO/Excel projects/Titanic Survival Analysis/Excel Workbook/"/>
    </mc:Choice>
  </mc:AlternateContent>
  <xr:revisionPtr revIDLastSave="147" documentId="8_{718805DA-737F-4457-B886-EC4EFDD86D8F}" xr6:coauthVersionLast="47" xr6:coauthVersionMax="47" xr10:uidLastSave="{2888B406-024B-4714-9B96-D38D1BE1121C}"/>
  <bookViews>
    <workbookView xWindow="-108" yWindow="-108" windowWidth="19416" windowHeight="10296" tabRatio="601" firstSheet="3" activeTab="7" xr2:uid="{DA85339A-E599-4564-8630-367E198724B5}"/>
  </bookViews>
  <sheets>
    <sheet name="Sheet2" sheetId="9" state="hidden" r:id="rId1"/>
    <sheet name="Sheet3" sheetId="11" state="hidden" r:id="rId2"/>
    <sheet name="Pivot Table and Charts" sheetId="7" r:id="rId3"/>
    <sheet name="Transformed Dataset" sheetId="1" r:id="rId4"/>
    <sheet name="Dataset Dictionary" sheetId="2" r:id="rId5"/>
    <sheet name="Worksheet" sheetId="3" r:id="rId6"/>
    <sheet name="Sheet1" sheetId="10" state="hidden" r:id="rId7"/>
    <sheet name="Dashboard" sheetId="8" r:id="rId8"/>
  </sheets>
  <definedNames>
    <definedName name="_xlnm._FilterDatabase" localSheetId="3" hidden="1">'Transformed Dataset'!$Q$1:$Q$1310</definedName>
    <definedName name="_xlnm._FilterDatabase" localSheetId="5" hidden="1">Worksheet!$AK$1:$AK$1310</definedName>
    <definedName name="Slicer_Age_Grade">#N/A</definedName>
    <definedName name="Slicer_Fare_Range">#N/A</definedName>
    <definedName name="Slicer_Gender">#N/A</definedName>
    <definedName name="Slicer_Passenger_Class">#N/A</definedName>
    <definedName name="Slicer_Survival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K2" i="1"/>
  <c r="K3" i="1"/>
  <c r="K4" i="1"/>
  <c r="K5" i="1"/>
  <c r="K6"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O403" i="3"/>
  <c r="AO404" i="3"/>
  <c r="AO405" i="3"/>
  <c r="AO406" i="3"/>
  <c r="AO407" i="3"/>
  <c r="AO408" i="3"/>
  <c r="AO409" i="3"/>
  <c r="AO410" i="3"/>
  <c r="AO411" i="3"/>
  <c r="AO412" i="3"/>
  <c r="AO413" i="3"/>
  <c r="AO414" i="3"/>
  <c r="AO415" i="3"/>
  <c r="AO416" i="3"/>
  <c r="AO417" i="3"/>
  <c r="AO418" i="3"/>
  <c r="AO419" i="3"/>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O479" i="3"/>
  <c r="AO480" i="3"/>
  <c r="AO481" i="3"/>
  <c r="AO482" i="3"/>
  <c r="AO483" i="3"/>
  <c r="AO484" i="3"/>
  <c r="AO485" i="3"/>
  <c r="AO486" i="3"/>
  <c r="AO487" i="3"/>
  <c r="AO488" i="3"/>
  <c r="AO489" i="3"/>
  <c r="AO490" i="3"/>
  <c r="AO491" i="3"/>
  <c r="AO492" i="3"/>
  <c r="AO493" i="3"/>
  <c r="AO494" i="3"/>
  <c r="AO495" i="3"/>
  <c r="AO496" i="3"/>
  <c r="AO497" i="3"/>
  <c r="AO498" i="3"/>
  <c r="AO499" i="3"/>
  <c r="AO500" i="3"/>
  <c r="AO501" i="3"/>
  <c r="AO502" i="3"/>
  <c r="AO503" i="3"/>
  <c r="AO504" i="3"/>
  <c r="AO505" i="3"/>
  <c r="AO506" i="3"/>
  <c r="AO507" i="3"/>
  <c r="AO508" i="3"/>
  <c r="AO509" i="3"/>
  <c r="AO510" i="3"/>
  <c r="AO511" i="3"/>
  <c r="AO512" i="3"/>
  <c r="AO513" i="3"/>
  <c r="AO514" i="3"/>
  <c r="AO515" i="3"/>
  <c r="AO516" i="3"/>
  <c r="AO517" i="3"/>
  <c r="AO518" i="3"/>
  <c r="AO519" i="3"/>
  <c r="AO520" i="3"/>
  <c r="AO521" i="3"/>
  <c r="AO522" i="3"/>
  <c r="AO523" i="3"/>
  <c r="AO524" i="3"/>
  <c r="AO525" i="3"/>
  <c r="AO526" i="3"/>
  <c r="AO527" i="3"/>
  <c r="AO528" i="3"/>
  <c r="AO529" i="3"/>
  <c r="AO530" i="3"/>
  <c r="AO531" i="3"/>
  <c r="AO532" i="3"/>
  <c r="AO533" i="3"/>
  <c r="AO534" i="3"/>
  <c r="AO535" i="3"/>
  <c r="AO536" i="3"/>
  <c r="AO537" i="3"/>
  <c r="AO538" i="3"/>
  <c r="AO539" i="3"/>
  <c r="AO540" i="3"/>
  <c r="AO541" i="3"/>
  <c r="AO542" i="3"/>
  <c r="AO543" i="3"/>
  <c r="AO544" i="3"/>
  <c r="AO545" i="3"/>
  <c r="AO546" i="3"/>
  <c r="AO547" i="3"/>
  <c r="AO548" i="3"/>
  <c r="AO549" i="3"/>
  <c r="AO550" i="3"/>
  <c r="AO551" i="3"/>
  <c r="AO552" i="3"/>
  <c r="AO553" i="3"/>
  <c r="AO554" i="3"/>
  <c r="AO555" i="3"/>
  <c r="AO556" i="3"/>
  <c r="AO557" i="3"/>
  <c r="AO558" i="3"/>
  <c r="AO559" i="3"/>
  <c r="AO560" i="3"/>
  <c r="AO561" i="3"/>
  <c r="AO562" i="3"/>
  <c r="AO563" i="3"/>
  <c r="AO564" i="3"/>
  <c r="AO565" i="3"/>
  <c r="AO566" i="3"/>
  <c r="AO567" i="3"/>
  <c r="AO568" i="3"/>
  <c r="AO569" i="3"/>
  <c r="AO570" i="3"/>
  <c r="AO571" i="3"/>
  <c r="AO572" i="3"/>
  <c r="AO573" i="3"/>
  <c r="AO574" i="3"/>
  <c r="AO575" i="3"/>
  <c r="AO576" i="3"/>
  <c r="AO577" i="3"/>
  <c r="AO578" i="3"/>
  <c r="AO579" i="3"/>
  <c r="AO580" i="3"/>
  <c r="AO581" i="3"/>
  <c r="AO582" i="3"/>
  <c r="AO583" i="3"/>
  <c r="AO584" i="3"/>
  <c r="AO585" i="3"/>
  <c r="AO586" i="3"/>
  <c r="AO587" i="3"/>
  <c r="AO588" i="3"/>
  <c r="AO589" i="3"/>
  <c r="AO590" i="3"/>
  <c r="AO591" i="3"/>
  <c r="AO592" i="3"/>
  <c r="AO593" i="3"/>
  <c r="AO594" i="3"/>
  <c r="AO595" i="3"/>
  <c r="AO596" i="3"/>
  <c r="AO597" i="3"/>
  <c r="AO598" i="3"/>
  <c r="AO599" i="3"/>
  <c r="AO600" i="3"/>
  <c r="AO601" i="3"/>
  <c r="AO602" i="3"/>
  <c r="AO603" i="3"/>
  <c r="AO604" i="3"/>
  <c r="AO605" i="3"/>
  <c r="AO606" i="3"/>
  <c r="AO607" i="3"/>
  <c r="AO608" i="3"/>
  <c r="AO609" i="3"/>
  <c r="AO610" i="3"/>
  <c r="AO611" i="3"/>
  <c r="AO612" i="3"/>
  <c r="AO613" i="3"/>
  <c r="AO614" i="3"/>
  <c r="AO615" i="3"/>
  <c r="AO616" i="3"/>
  <c r="AO617" i="3"/>
  <c r="AO618" i="3"/>
  <c r="AO619" i="3"/>
  <c r="AO620" i="3"/>
  <c r="AO621" i="3"/>
  <c r="AO622" i="3"/>
  <c r="AO623" i="3"/>
  <c r="AO624" i="3"/>
  <c r="AO625" i="3"/>
  <c r="AO626" i="3"/>
  <c r="AO627" i="3"/>
  <c r="AO628" i="3"/>
  <c r="AO629" i="3"/>
  <c r="AO630" i="3"/>
  <c r="AO631" i="3"/>
  <c r="AO632" i="3"/>
  <c r="AO633" i="3"/>
  <c r="AO634" i="3"/>
  <c r="AO635" i="3"/>
  <c r="AO636" i="3"/>
  <c r="AO637" i="3"/>
  <c r="AO638" i="3"/>
  <c r="AO639" i="3"/>
  <c r="AO640" i="3"/>
  <c r="AO641" i="3"/>
  <c r="AO642" i="3"/>
  <c r="AO643" i="3"/>
  <c r="AO644" i="3"/>
  <c r="AO645" i="3"/>
  <c r="AO646" i="3"/>
  <c r="AO647" i="3"/>
  <c r="AO648" i="3"/>
  <c r="AO649" i="3"/>
  <c r="AO650" i="3"/>
  <c r="AO651" i="3"/>
  <c r="AO652" i="3"/>
  <c r="AO653" i="3"/>
  <c r="AO654" i="3"/>
  <c r="AO655" i="3"/>
  <c r="AO656" i="3"/>
  <c r="AO657" i="3"/>
  <c r="AO658" i="3"/>
  <c r="AO659" i="3"/>
  <c r="AO660" i="3"/>
  <c r="AO661" i="3"/>
  <c r="AO662" i="3"/>
  <c r="AO663" i="3"/>
  <c r="AO664" i="3"/>
  <c r="AO665" i="3"/>
  <c r="AO666" i="3"/>
  <c r="AO667" i="3"/>
  <c r="AO668" i="3"/>
  <c r="AO669" i="3"/>
  <c r="AO670" i="3"/>
  <c r="AO671" i="3"/>
  <c r="AO672" i="3"/>
  <c r="AO673" i="3"/>
  <c r="AO674" i="3"/>
  <c r="AO675" i="3"/>
  <c r="AO676" i="3"/>
  <c r="AO677" i="3"/>
  <c r="AO678" i="3"/>
  <c r="AO679" i="3"/>
  <c r="AO680" i="3"/>
  <c r="AO681" i="3"/>
  <c r="AO682" i="3"/>
  <c r="AO683" i="3"/>
  <c r="AO684" i="3"/>
  <c r="AO685" i="3"/>
  <c r="AO686" i="3"/>
  <c r="AO687" i="3"/>
  <c r="AO688" i="3"/>
  <c r="AO689" i="3"/>
  <c r="AO690" i="3"/>
  <c r="AO691" i="3"/>
  <c r="AO692" i="3"/>
  <c r="AO693" i="3"/>
  <c r="AO694" i="3"/>
  <c r="AO695" i="3"/>
  <c r="AO696" i="3"/>
  <c r="AO697" i="3"/>
  <c r="AO698" i="3"/>
  <c r="AO699" i="3"/>
  <c r="AO700" i="3"/>
  <c r="AO701" i="3"/>
  <c r="AO702" i="3"/>
  <c r="AO703" i="3"/>
  <c r="AO704" i="3"/>
  <c r="AO705" i="3"/>
  <c r="AO706" i="3"/>
  <c r="AO707" i="3"/>
  <c r="AO708" i="3"/>
  <c r="AO709" i="3"/>
  <c r="AO710" i="3"/>
  <c r="AO711" i="3"/>
  <c r="AO712" i="3"/>
  <c r="AO713" i="3"/>
  <c r="AO714" i="3"/>
  <c r="AO715" i="3"/>
  <c r="AO716" i="3"/>
  <c r="AO717" i="3"/>
  <c r="AO718" i="3"/>
  <c r="AO719" i="3"/>
  <c r="AO720" i="3"/>
  <c r="AO721" i="3"/>
  <c r="AO722" i="3"/>
  <c r="AO723" i="3"/>
  <c r="AO724" i="3"/>
  <c r="AO725" i="3"/>
  <c r="AO726" i="3"/>
  <c r="AO727" i="3"/>
  <c r="AO728" i="3"/>
  <c r="AO729" i="3"/>
  <c r="AO730" i="3"/>
  <c r="AO731" i="3"/>
  <c r="AO732" i="3"/>
  <c r="AO733" i="3"/>
  <c r="AO734" i="3"/>
  <c r="AO735" i="3"/>
  <c r="AO736" i="3"/>
  <c r="AO737" i="3"/>
  <c r="AO738" i="3"/>
  <c r="AO739" i="3"/>
  <c r="AO740" i="3"/>
  <c r="AO741" i="3"/>
  <c r="AO742" i="3"/>
  <c r="AO743" i="3"/>
  <c r="AO744" i="3"/>
  <c r="AO745" i="3"/>
  <c r="AO746" i="3"/>
  <c r="AO747" i="3"/>
  <c r="AO748" i="3"/>
  <c r="AO749" i="3"/>
  <c r="AO750" i="3"/>
  <c r="AO751" i="3"/>
  <c r="AO752" i="3"/>
  <c r="AO753" i="3"/>
  <c r="AO754" i="3"/>
  <c r="AO755" i="3"/>
  <c r="AO756" i="3"/>
  <c r="AO757" i="3"/>
  <c r="AO758" i="3"/>
  <c r="AO759" i="3"/>
  <c r="AO760" i="3"/>
  <c r="AO761" i="3"/>
  <c r="AO762" i="3"/>
  <c r="AO763" i="3"/>
  <c r="AO764" i="3"/>
  <c r="AO765" i="3"/>
  <c r="AO766" i="3"/>
  <c r="AO767" i="3"/>
  <c r="AO768" i="3"/>
  <c r="AO769" i="3"/>
  <c r="AO770" i="3"/>
  <c r="AO771" i="3"/>
  <c r="AO772" i="3"/>
  <c r="AO773" i="3"/>
  <c r="AO774" i="3"/>
  <c r="AO775" i="3"/>
  <c r="AO776" i="3"/>
  <c r="AO777" i="3"/>
  <c r="AO778" i="3"/>
  <c r="AO779" i="3"/>
  <c r="AO780" i="3"/>
  <c r="AO781" i="3"/>
  <c r="AO782" i="3"/>
  <c r="AO783" i="3"/>
  <c r="AO784" i="3"/>
  <c r="AO785" i="3"/>
  <c r="AO786" i="3"/>
  <c r="AO787" i="3"/>
  <c r="AO788" i="3"/>
  <c r="AO789" i="3"/>
  <c r="AO790" i="3"/>
  <c r="AO791" i="3"/>
  <c r="AO792" i="3"/>
  <c r="AO793" i="3"/>
  <c r="AO794" i="3"/>
  <c r="AO795" i="3"/>
  <c r="AO796" i="3"/>
  <c r="AO797" i="3"/>
  <c r="AO798" i="3"/>
  <c r="AO799" i="3"/>
  <c r="AO800" i="3"/>
  <c r="AO801" i="3"/>
  <c r="AO802" i="3"/>
  <c r="AO803" i="3"/>
  <c r="AO804" i="3"/>
  <c r="AO805" i="3"/>
  <c r="AO806" i="3"/>
  <c r="AO807" i="3"/>
  <c r="AO808" i="3"/>
  <c r="AO809" i="3"/>
  <c r="AO810" i="3"/>
  <c r="AO811" i="3"/>
  <c r="AO812" i="3"/>
  <c r="AO813" i="3"/>
  <c r="AO814" i="3"/>
  <c r="AO815" i="3"/>
  <c r="AO816" i="3"/>
  <c r="AO817" i="3"/>
  <c r="AO818" i="3"/>
  <c r="AO819" i="3"/>
  <c r="AO820" i="3"/>
  <c r="AO821" i="3"/>
  <c r="AO822" i="3"/>
  <c r="AO823" i="3"/>
  <c r="AO824" i="3"/>
  <c r="AO825" i="3"/>
  <c r="AO826" i="3"/>
  <c r="AO827" i="3"/>
  <c r="AO828" i="3"/>
  <c r="AO829" i="3"/>
  <c r="AO830" i="3"/>
  <c r="AO831" i="3"/>
  <c r="AO832" i="3"/>
  <c r="AO833" i="3"/>
  <c r="AO834" i="3"/>
  <c r="AO835" i="3"/>
  <c r="AO836" i="3"/>
  <c r="AO837" i="3"/>
  <c r="AO838" i="3"/>
  <c r="AO839" i="3"/>
  <c r="AO840" i="3"/>
  <c r="AO841" i="3"/>
  <c r="AO842" i="3"/>
  <c r="AO843" i="3"/>
  <c r="AO844" i="3"/>
  <c r="AO845" i="3"/>
  <c r="AO846" i="3"/>
  <c r="AO847" i="3"/>
  <c r="AO848" i="3"/>
  <c r="AO849" i="3"/>
  <c r="AO850" i="3"/>
  <c r="AO851" i="3"/>
  <c r="AO852" i="3"/>
  <c r="AO853" i="3"/>
  <c r="AO854" i="3"/>
  <c r="AO855" i="3"/>
  <c r="AO856" i="3"/>
  <c r="AO857" i="3"/>
  <c r="AO858" i="3"/>
  <c r="AO859" i="3"/>
  <c r="AO860" i="3"/>
  <c r="AO861" i="3"/>
  <c r="AO862" i="3"/>
  <c r="AO863" i="3"/>
  <c r="AO864" i="3"/>
  <c r="AO865" i="3"/>
  <c r="AO866" i="3"/>
  <c r="AO867" i="3"/>
  <c r="AO868" i="3"/>
  <c r="AO869" i="3"/>
  <c r="AO870" i="3"/>
  <c r="AO871" i="3"/>
  <c r="AO872" i="3"/>
  <c r="AO873" i="3"/>
  <c r="AO874" i="3"/>
  <c r="AO875" i="3"/>
  <c r="AO876" i="3"/>
  <c r="AO877" i="3"/>
  <c r="AO878" i="3"/>
  <c r="AO879" i="3"/>
  <c r="AO880" i="3"/>
  <c r="AO881" i="3"/>
  <c r="AO882" i="3"/>
  <c r="AO883" i="3"/>
  <c r="AO884" i="3"/>
  <c r="AO885" i="3"/>
  <c r="AO886" i="3"/>
  <c r="AO887" i="3"/>
  <c r="AO888" i="3"/>
  <c r="AO889" i="3"/>
  <c r="AO890" i="3"/>
  <c r="AO891" i="3"/>
  <c r="AO892" i="3"/>
  <c r="AO893" i="3"/>
  <c r="AO894" i="3"/>
  <c r="AO895" i="3"/>
  <c r="AO896" i="3"/>
  <c r="AO897" i="3"/>
  <c r="AO898" i="3"/>
  <c r="AO899" i="3"/>
  <c r="AO900" i="3"/>
  <c r="AO901" i="3"/>
  <c r="AO902" i="3"/>
  <c r="AO903" i="3"/>
  <c r="AO904" i="3"/>
  <c r="AO905" i="3"/>
  <c r="AO906" i="3"/>
  <c r="AO907" i="3"/>
  <c r="AO908" i="3"/>
  <c r="AO909" i="3"/>
  <c r="AO910" i="3"/>
  <c r="AO911" i="3"/>
  <c r="AO912" i="3"/>
  <c r="AO913" i="3"/>
  <c r="AO914" i="3"/>
  <c r="AO915" i="3"/>
  <c r="AO916" i="3"/>
  <c r="AO917" i="3"/>
  <c r="AO918" i="3"/>
  <c r="AO919" i="3"/>
  <c r="AO920" i="3"/>
  <c r="AO921" i="3"/>
  <c r="AO922" i="3"/>
  <c r="AO923" i="3"/>
  <c r="AO924" i="3"/>
  <c r="AO925" i="3"/>
  <c r="AO926" i="3"/>
  <c r="AO927" i="3"/>
  <c r="AO928" i="3"/>
  <c r="AO929" i="3"/>
  <c r="AO930" i="3"/>
  <c r="AO931" i="3"/>
  <c r="AO932" i="3"/>
  <c r="AO933" i="3"/>
  <c r="AO934" i="3"/>
  <c r="AO935" i="3"/>
  <c r="AO936" i="3"/>
  <c r="AO937" i="3"/>
  <c r="AO938" i="3"/>
  <c r="AO939" i="3"/>
  <c r="AO940" i="3"/>
  <c r="AO941" i="3"/>
  <c r="AO942" i="3"/>
  <c r="AO943" i="3"/>
  <c r="AO944" i="3"/>
  <c r="AO945" i="3"/>
  <c r="AO946" i="3"/>
  <c r="AO947" i="3"/>
  <c r="AO948" i="3"/>
  <c r="AO949" i="3"/>
  <c r="AO950" i="3"/>
  <c r="AO951" i="3"/>
  <c r="AO952" i="3"/>
  <c r="AO953" i="3"/>
  <c r="AO954" i="3"/>
  <c r="AO955" i="3"/>
  <c r="AO956" i="3"/>
  <c r="AO957" i="3"/>
  <c r="AO958" i="3"/>
  <c r="AO959" i="3"/>
  <c r="AO960" i="3"/>
  <c r="AO961" i="3"/>
  <c r="AO962" i="3"/>
  <c r="AO963" i="3"/>
  <c r="AO964" i="3"/>
  <c r="AO965" i="3"/>
  <c r="AO966" i="3"/>
  <c r="AO967" i="3"/>
  <c r="AO968" i="3"/>
  <c r="AO969" i="3"/>
  <c r="AO970" i="3"/>
  <c r="AO971" i="3"/>
  <c r="AO972" i="3"/>
  <c r="AO973" i="3"/>
  <c r="AO974" i="3"/>
  <c r="AO975" i="3"/>
  <c r="AO976" i="3"/>
  <c r="AO977" i="3"/>
  <c r="AO978" i="3"/>
  <c r="AO979" i="3"/>
  <c r="AO980" i="3"/>
  <c r="AO981" i="3"/>
  <c r="AO982" i="3"/>
  <c r="AO983" i="3"/>
  <c r="AO984" i="3"/>
  <c r="AO985" i="3"/>
  <c r="AO986" i="3"/>
  <c r="AO987" i="3"/>
  <c r="AO988" i="3"/>
  <c r="AO989" i="3"/>
  <c r="AO990" i="3"/>
  <c r="AO991" i="3"/>
  <c r="AO992" i="3"/>
  <c r="AO993" i="3"/>
  <c r="AO994" i="3"/>
  <c r="AO995" i="3"/>
  <c r="AO996" i="3"/>
  <c r="AO997" i="3"/>
  <c r="AO998" i="3"/>
  <c r="AO999" i="3"/>
  <c r="AO1000" i="3"/>
  <c r="AO1001" i="3"/>
  <c r="AO1002" i="3"/>
  <c r="AO1003" i="3"/>
  <c r="AO1004" i="3"/>
  <c r="AO1005" i="3"/>
  <c r="AO1006" i="3"/>
  <c r="AO1007" i="3"/>
  <c r="AO1008" i="3"/>
  <c r="AO1009" i="3"/>
  <c r="AO1010" i="3"/>
  <c r="AO1011" i="3"/>
  <c r="AO1012" i="3"/>
  <c r="AO1013" i="3"/>
  <c r="AO1014" i="3"/>
  <c r="AO1015" i="3"/>
  <c r="AO1016" i="3"/>
  <c r="AO1017" i="3"/>
  <c r="AO1018" i="3"/>
  <c r="AO1019" i="3"/>
  <c r="AO1020" i="3"/>
  <c r="AO1021" i="3"/>
  <c r="AO1022" i="3"/>
  <c r="AO1023" i="3"/>
  <c r="AO1024" i="3"/>
  <c r="AO1025" i="3"/>
  <c r="AO1026" i="3"/>
  <c r="AO1027" i="3"/>
  <c r="AO1028" i="3"/>
  <c r="AO1029" i="3"/>
  <c r="AO1030" i="3"/>
  <c r="AO1031" i="3"/>
  <c r="AO1032" i="3"/>
  <c r="AO1033" i="3"/>
  <c r="AO1034" i="3"/>
  <c r="AO1035" i="3"/>
  <c r="AO1036" i="3"/>
  <c r="AO1037" i="3"/>
  <c r="AO1038" i="3"/>
  <c r="AO1039" i="3"/>
  <c r="AO1040" i="3"/>
  <c r="AO1041" i="3"/>
  <c r="AO1042" i="3"/>
  <c r="AO1043" i="3"/>
  <c r="AO1044" i="3"/>
  <c r="AO1045" i="3"/>
  <c r="AO1046" i="3"/>
  <c r="AO1047" i="3"/>
  <c r="AO1048" i="3"/>
  <c r="AO1049" i="3"/>
  <c r="AO1050" i="3"/>
  <c r="AO1051" i="3"/>
  <c r="AO1052" i="3"/>
  <c r="AO1053" i="3"/>
  <c r="AO1054" i="3"/>
  <c r="AO1055" i="3"/>
  <c r="AO1056" i="3"/>
  <c r="AO1057" i="3"/>
  <c r="AO1058" i="3"/>
  <c r="AO1059" i="3"/>
  <c r="AO1060" i="3"/>
  <c r="AO1061" i="3"/>
  <c r="AO1062" i="3"/>
  <c r="AO1063" i="3"/>
  <c r="AO1064" i="3"/>
  <c r="AO1065" i="3"/>
  <c r="AO1066" i="3"/>
  <c r="AO1067" i="3"/>
  <c r="AO1068" i="3"/>
  <c r="AO1069" i="3"/>
  <c r="AO1070" i="3"/>
  <c r="AO1071" i="3"/>
  <c r="AO1072" i="3"/>
  <c r="AO1073" i="3"/>
  <c r="AO1074" i="3"/>
  <c r="AO1075" i="3"/>
  <c r="AO1076" i="3"/>
  <c r="AO1077" i="3"/>
  <c r="AO1078" i="3"/>
  <c r="AO1079" i="3"/>
  <c r="AO1080" i="3"/>
  <c r="AO1081" i="3"/>
  <c r="AO1082" i="3"/>
  <c r="AO1083" i="3"/>
  <c r="AO1084" i="3"/>
  <c r="AO1085" i="3"/>
  <c r="AO1086" i="3"/>
  <c r="AO1087" i="3"/>
  <c r="AO1088" i="3"/>
  <c r="AO1089" i="3"/>
  <c r="AO1090" i="3"/>
  <c r="AO1091" i="3"/>
  <c r="AO1092" i="3"/>
  <c r="AO1093" i="3"/>
  <c r="AO1094" i="3"/>
  <c r="AO1095" i="3"/>
  <c r="AO1096" i="3"/>
  <c r="AO1097" i="3"/>
  <c r="AO1098" i="3"/>
  <c r="AO1099" i="3"/>
  <c r="AO1100" i="3"/>
  <c r="AO1101" i="3"/>
  <c r="AO1102" i="3"/>
  <c r="AO1103" i="3"/>
  <c r="AO1104" i="3"/>
  <c r="AO1105" i="3"/>
  <c r="AO1106" i="3"/>
  <c r="AO1107" i="3"/>
  <c r="AO1108" i="3"/>
  <c r="AO1109" i="3"/>
  <c r="AO1110" i="3"/>
  <c r="AO1111" i="3"/>
  <c r="AO1112" i="3"/>
  <c r="AO1113" i="3"/>
  <c r="AO1114" i="3"/>
  <c r="AO1115" i="3"/>
  <c r="AO1116" i="3"/>
  <c r="AO1117" i="3"/>
  <c r="AO1118" i="3"/>
  <c r="AO1119" i="3"/>
  <c r="AO1120" i="3"/>
  <c r="AO1121" i="3"/>
  <c r="AO1122" i="3"/>
  <c r="AO1123" i="3"/>
  <c r="AO1124" i="3"/>
  <c r="AO1125" i="3"/>
  <c r="AO1126" i="3"/>
  <c r="AO1127" i="3"/>
  <c r="AO1128" i="3"/>
  <c r="AO1129" i="3"/>
  <c r="AO1130" i="3"/>
  <c r="AO1131" i="3"/>
  <c r="AO1132" i="3"/>
  <c r="AO1133" i="3"/>
  <c r="AO1134" i="3"/>
  <c r="AO1135" i="3"/>
  <c r="AO1136" i="3"/>
  <c r="AO1137" i="3"/>
  <c r="AO1138" i="3"/>
  <c r="AO1139" i="3"/>
  <c r="AO1140" i="3"/>
  <c r="AO1141" i="3"/>
  <c r="AO1142" i="3"/>
  <c r="AO1143" i="3"/>
  <c r="AO1144" i="3"/>
  <c r="AO1145" i="3"/>
  <c r="AO1146" i="3"/>
  <c r="AO1147" i="3"/>
  <c r="AO1148" i="3"/>
  <c r="AO1149" i="3"/>
  <c r="AO1150" i="3"/>
  <c r="AO1151" i="3"/>
  <c r="AO1152" i="3"/>
  <c r="AO1153" i="3"/>
  <c r="AO1154" i="3"/>
  <c r="AO1155" i="3"/>
  <c r="AO1156" i="3"/>
  <c r="AO1157" i="3"/>
  <c r="AO1158" i="3"/>
  <c r="AO1159" i="3"/>
  <c r="AO1160" i="3"/>
  <c r="AO1161" i="3"/>
  <c r="AO1162" i="3"/>
  <c r="AO1163" i="3"/>
  <c r="AO1164" i="3"/>
  <c r="AO1165" i="3"/>
  <c r="AO1166" i="3"/>
  <c r="AO1167" i="3"/>
  <c r="AO1168" i="3"/>
  <c r="AO1169" i="3"/>
  <c r="AO1170" i="3"/>
  <c r="AO1171" i="3"/>
  <c r="AO1172" i="3"/>
  <c r="AO1173" i="3"/>
  <c r="AO1174" i="3"/>
  <c r="AO1175" i="3"/>
  <c r="AO1176" i="3"/>
  <c r="AO1177" i="3"/>
  <c r="AO1178" i="3"/>
  <c r="AO1179" i="3"/>
  <c r="AO1180" i="3"/>
  <c r="AO1181" i="3"/>
  <c r="AO1182" i="3"/>
  <c r="AO1183" i="3"/>
  <c r="AO1184" i="3"/>
  <c r="AO1185" i="3"/>
  <c r="AO1186" i="3"/>
  <c r="AO1187" i="3"/>
  <c r="AO1188" i="3"/>
  <c r="AO1189" i="3"/>
  <c r="AO1190" i="3"/>
  <c r="AO1191" i="3"/>
  <c r="AO1192" i="3"/>
  <c r="AO1193" i="3"/>
  <c r="AO1194" i="3"/>
  <c r="AO1195" i="3"/>
  <c r="AO1196" i="3"/>
  <c r="AO1197" i="3"/>
  <c r="AO1198" i="3"/>
  <c r="AO1199" i="3"/>
  <c r="AO1200" i="3"/>
  <c r="AO1201" i="3"/>
  <c r="AO1202" i="3"/>
  <c r="AO1203" i="3"/>
  <c r="AO1204" i="3"/>
  <c r="AO1205" i="3"/>
  <c r="AO1206" i="3"/>
  <c r="AO1207" i="3"/>
  <c r="AO1208" i="3"/>
  <c r="AO1209" i="3"/>
  <c r="AO1210" i="3"/>
  <c r="AO1211" i="3"/>
  <c r="AO1212" i="3"/>
  <c r="AO1213" i="3"/>
  <c r="AO1214" i="3"/>
  <c r="AO1215" i="3"/>
  <c r="AO1216" i="3"/>
  <c r="AO1217" i="3"/>
  <c r="AO1218" i="3"/>
  <c r="AO1219" i="3"/>
  <c r="AO1220" i="3"/>
  <c r="AO1221" i="3"/>
  <c r="AO1222" i="3"/>
  <c r="AO1223" i="3"/>
  <c r="AO1224" i="3"/>
  <c r="AO1225" i="3"/>
  <c r="AO1226" i="3"/>
  <c r="AO1227" i="3"/>
  <c r="AO1228" i="3"/>
  <c r="AO1229" i="3"/>
  <c r="AO1230" i="3"/>
  <c r="AO1231" i="3"/>
  <c r="AO1232" i="3"/>
  <c r="AO1233" i="3"/>
  <c r="AO1234" i="3"/>
  <c r="AO1235" i="3"/>
  <c r="AO1236" i="3"/>
  <c r="AO1237" i="3"/>
  <c r="AO1238" i="3"/>
  <c r="AO1239" i="3"/>
  <c r="AO1240" i="3"/>
  <c r="AO1241" i="3"/>
  <c r="AO1242" i="3"/>
  <c r="AO1243" i="3"/>
  <c r="AO1244" i="3"/>
  <c r="AO1245" i="3"/>
  <c r="AO1246" i="3"/>
  <c r="AO1247" i="3"/>
  <c r="AO1248" i="3"/>
  <c r="AO1249" i="3"/>
  <c r="AO1250" i="3"/>
  <c r="AO1251" i="3"/>
  <c r="AO1252" i="3"/>
  <c r="AO1253" i="3"/>
  <c r="AO1254" i="3"/>
  <c r="AO1255" i="3"/>
  <c r="AO1256" i="3"/>
  <c r="AO1257" i="3"/>
  <c r="AO1258" i="3"/>
  <c r="AO1259" i="3"/>
  <c r="AO1260" i="3"/>
  <c r="AO1261" i="3"/>
  <c r="AO1262" i="3"/>
  <c r="AO1263" i="3"/>
  <c r="AO1264" i="3"/>
  <c r="AO1265" i="3"/>
  <c r="AO1266" i="3"/>
  <c r="AO1267" i="3"/>
  <c r="AO1268" i="3"/>
  <c r="AO1269" i="3"/>
  <c r="AO1270" i="3"/>
  <c r="AO1271" i="3"/>
  <c r="AO1272" i="3"/>
  <c r="AO1273" i="3"/>
  <c r="AO1274" i="3"/>
  <c r="AO1275" i="3"/>
  <c r="AO1276" i="3"/>
  <c r="AO1277" i="3"/>
  <c r="AO1278" i="3"/>
  <c r="AO1279" i="3"/>
  <c r="AO1280" i="3"/>
  <c r="AO1281" i="3"/>
  <c r="AO1282" i="3"/>
  <c r="AO1283" i="3"/>
  <c r="AO1284" i="3"/>
  <c r="AO1285" i="3"/>
  <c r="AO1286" i="3"/>
  <c r="AO1287" i="3"/>
  <c r="AO1288" i="3"/>
  <c r="AO1289" i="3"/>
  <c r="AO1290" i="3"/>
  <c r="AO1291" i="3"/>
  <c r="AO1292" i="3"/>
  <c r="AO1293" i="3"/>
  <c r="AO1294" i="3"/>
  <c r="AO1295" i="3"/>
  <c r="AO1296" i="3"/>
  <c r="AO1297" i="3"/>
  <c r="AO1298" i="3"/>
  <c r="AO1299" i="3"/>
  <c r="AO1300" i="3"/>
  <c r="AO1301" i="3"/>
  <c r="AO1302" i="3"/>
  <c r="AO1303" i="3"/>
  <c r="AO1304" i="3"/>
  <c r="AO1305" i="3"/>
  <c r="AO1306" i="3"/>
  <c r="AO1307" i="3"/>
  <c r="AO1308" i="3"/>
  <c r="AO1309" i="3"/>
  <c r="AO1310" i="3"/>
  <c r="AO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L1002" i="3"/>
  <c r="AL1003" i="3"/>
  <c r="AL1004" i="3"/>
  <c r="AL1005" i="3"/>
  <c r="AL1006" i="3"/>
  <c r="AL1007" i="3"/>
  <c r="AL1008" i="3"/>
  <c r="AL1009" i="3"/>
  <c r="AL1010" i="3"/>
  <c r="AL1011" i="3"/>
  <c r="AL1012" i="3"/>
  <c r="AL1013" i="3"/>
  <c r="AL1014" i="3"/>
  <c r="AL1015" i="3"/>
  <c r="AL1016" i="3"/>
  <c r="AL1017" i="3"/>
  <c r="AL1018" i="3"/>
  <c r="AL1019" i="3"/>
  <c r="AL1020" i="3"/>
  <c r="AL1021" i="3"/>
  <c r="AL1022" i="3"/>
  <c r="AL1023" i="3"/>
  <c r="AL1024" i="3"/>
  <c r="AL1025" i="3"/>
  <c r="AL1026" i="3"/>
  <c r="AL1027" i="3"/>
  <c r="AL1028" i="3"/>
  <c r="AL1029" i="3"/>
  <c r="AL1030" i="3"/>
  <c r="AL1031" i="3"/>
  <c r="AL1032" i="3"/>
  <c r="AL1033" i="3"/>
  <c r="AL1034" i="3"/>
  <c r="AL1035" i="3"/>
  <c r="AL1036" i="3"/>
  <c r="AL1037" i="3"/>
  <c r="AL1038" i="3"/>
  <c r="AL1039" i="3"/>
  <c r="AL1040" i="3"/>
  <c r="AL1041" i="3"/>
  <c r="AL1042" i="3"/>
  <c r="AL1043" i="3"/>
  <c r="AL1044" i="3"/>
  <c r="AL1045" i="3"/>
  <c r="AL1046" i="3"/>
  <c r="AL1047" i="3"/>
  <c r="AL1048" i="3"/>
  <c r="AL1049" i="3"/>
  <c r="AL1050" i="3"/>
  <c r="AL1051" i="3"/>
  <c r="AL1052" i="3"/>
  <c r="AL1053" i="3"/>
  <c r="AL1054" i="3"/>
  <c r="AL1055" i="3"/>
  <c r="AL1056" i="3"/>
  <c r="AL1057" i="3"/>
  <c r="AL1058" i="3"/>
  <c r="AL1059" i="3"/>
  <c r="AL1060" i="3"/>
  <c r="AL1061" i="3"/>
  <c r="AL1062" i="3"/>
  <c r="AL1063" i="3"/>
  <c r="AL1064" i="3"/>
  <c r="AL1065" i="3"/>
  <c r="AL1066" i="3"/>
  <c r="AL1067" i="3"/>
  <c r="AL1068" i="3"/>
  <c r="AL1069" i="3"/>
  <c r="AL1070" i="3"/>
  <c r="AL1071" i="3"/>
  <c r="AL1072" i="3"/>
  <c r="AL1073" i="3"/>
  <c r="AL1074" i="3"/>
  <c r="AL1075" i="3"/>
  <c r="AL1076" i="3"/>
  <c r="AL1077" i="3"/>
  <c r="AL1078" i="3"/>
  <c r="AL1079" i="3"/>
  <c r="AL1080" i="3"/>
  <c r="AL1081" i="3"/>
  <c r="AL1082" i="3"/>
  <c r="AL1083" i="3"/>
  <c r="AL1084" i="3"/>
  <c r="AL1085" i="3"/>
  <c r="AL1086" i="3"/>
  <c r="AL1087" i="3"/>
  <c r="AL1088" i="3"/>
  <c r="AL1089" i="3"/>
  <c r="AL1090" i="3"/>
  <c r="AL1091" i="3"/>
  <c r="AL1092" i="3"/>
  <c r="AL1093" i="3"/>
  <c r="AL1094" i="3"/>
  <c r="AL1095" i="3"/>
  <c r="AL1096" i="3"/>
  <c r="AL1097" i="3"/>
  <c r="AL1098" i="3"/>
  <c r="AL1099" i="3"/>
  <c r="AL1100" i="3"/>
  <c r="AL1101" i="3"/>
  <c r="AL1102" i="3"/>
  <c r="AL1103" i="3"/>
  <c r="AL1104" i="3"/>
  <c r="AL1105" i="3"/>
  <c r="AL1106" i="3"/>
  <c r="AL1107" i="3"/>
  <c r="AL1108" i="3"/>
  <c r="AL1109" i="3"/>
  <c r="AL1110" i="3"/>
  <c r="AL1111" i="3"/>
  <c r="AL1112" i="3"/>
  <c r="AL1113" i="3"/>
  <c r="AL1114" i="3"/>
  <c r="AL1115" i="3"/>
  <c r="AL1116" i="3"/>
  <c r="AL1117" i="3"/>
  <c r="AL1118" i="3"/>
  <c r="AL1119" i="3"/>
  <c r="AL1120" i="3"/>
  <c r="AL1121" i="3"/>
  <c r="AL1122" i="3"/>
  <c r="AL1123" i="3"/>
  <c r="AL1124" i="3"/>
  <c r="AL1125" i="3"/>
  <c r="AL1126" i="3"/>
  <c r="AL1127" i="3"/>
  <c r="AL1128" i="3"/>
  <c r="AL1129" i="3"/>
  <c r="AL1130" i="3"/>
  <c r="AL1131" i="3"/>
  <c r="AL1132" i="3"/>
  <c r="AL1133" i="3"/>
  <c r="AL1134" i="3"/>
  <c r="AL1135" i="3"/>
  <c r="AL1136" i="3"/>
  <c r="AL1137" i="3"/>
  <c r="AL1138" i="3"/>
  <c r="AL1139" i="3"/>
  <c r="AL1140" i="3"/>
  <c r="AL1141" i="3"/>
  <c r="AL1142" i="3"/>
  <c r="AL1143" i="3"/>
  <c r="AL1144" i="3"/>
  <c r="AL1145" i="3"/>
  <c r="AL1146" i="3"/>
  <c r="AL1147" i="3"/>
  <c r="AL1148" i="3"/>
  <c r="AL1149" i="3"/>
  <c r="AL1150" i="3"/>
  <c r="AL1151" i="3"/>
  <c r="AL1152" i="3"/>
  <c r="AL1153" i="3"/>
  <c r="AL1154" i="3"/>
  <c r="AL1155" i="3"/>
  <c r="AL1156" i="3"/>
  <c r="AL1157" i="3"/>
  <c r="AL1158" i="3"/>
  <c r="AL1159" i="3"/>
  <c r="AL1160" i="3"/>
  <c r="AL1161" i="3"/>
  <c r="AL1162" i="3"/>
  <c r="AL1163" i="3"/>
  <c r="AL1164" i="3"/>
  <c r="AL1165" i="3"/>
  <c r="AL1166" i="3"/>
  <c r="AL1167" i="3"/>
  <c r="AL1168" i="3"/>
  <c r="AL1169" i="3"/>
  <c r="AL1170" i="3"/>
  <c r="AL1171" i="3"/>
  <c r="AL1172" i="3"/>
  <c r="AL1173" i="3"/>
  <c r="AL1174" i="3"/>
  <c r="AL1175" i="3"/>
  <c r="AL1176" i="3"/>
  <c r="AL1177" i="3"/>
  <c r="AL1178" i="3"/>
  <c r="AL1179" i="3"/>
  <c r="AL1180" i="3"/>
  <c r="AL1181" i="3"/>
  <c r="AL1182" i="3"/>
  <c r="AL1183" i="3"/>
  <c r="AL1184" i="3"/>
  <c r="AL1185" i="3"/>
  <c r="AL1186" i="3"/>
  <c r="AL1187" i="3"/>
  <c r="AL1188" i="3"/>
  <c r="AL1189" i="3"/>
  <c r="AL1190" i="3"/>
  <c r="AL1191" i="3"/>
  <c r="AL1192" i="3"/>
  <c r="AL1193" i="3"/>
  <c r="AL1194" i="3"/>
  <c r="AL1195" i="3"/>
  <c r="AL1196" i="3"/>
  <c r="AL1197" i="3"/>
  <c r="AL1198" i="3"/>
  <c r="AL1199" i="3"/>
  <c r="AL1200" i="3"/>
  <c r="AL1201" i="3"/>
  <c r="AL1202" i="3"/>
  <c r="AL1203" i="3"/>
  <c r="AL1204" i="3"/>
  <c r="AL1205" i="3"/>
  <c r="AL1206" i="3"/>
  <c r="AL1207" i="3"/>
  <c r="AL1208" i="3"/>
  <c r="AL1209" i="3"/>
  <c r="AL1210" i="3"/>
  <c r="AL1211" i="3"/>
  <c r="AL1212" i="3"/>
  <c r="AL1213" i="3"/>
  <c r="AL1214" i="3"/>
  <c r="AL1215" i="3"/>
  <c r="AL1216" i="3"/>
  <c r="AL1217" i="3"/>
  <c r="AL1218" i="3"/>
  <c r="AL1219" i="3"/>
  <c r="AL1220" i="3"/>
  <c r="AL1221" i="3"/>
  <c r="AL1222" i="3"/>
  <c r="AL1223" i="3"/>
  <c r="AL1224" i="3"/>
  <c r="AL1225" i="3"/>
  <c r="AL1226" i="3"/>
  <c r="AL1227" i="3"/>
  <c r="AL1228" i="3"/>
  <c r="AL1229" i="3"/>
  <c r="AL1230" i="3"/>
  <c r="AL1231" i="3"/>
  <c r="AL1232" i="3"/>
  <c r="AL1233" i="3"/>
  <c r="AL1234" i="3"/>
  <c r="AL1235" i="3"/>
  <c r="AL1236" i="3"/>
  <c r="AL1237" i="3"/>
  <c r="AL1238" i="3"/>
  <c r="AL1239" i="3"/>
  <c r="AL1240" i="3"/>
  <c r="AL1241" i="3"/>
  <c r="AL1242" i="3"/>
  <c r="AL1243" i="3"/>
  <c r="AL1244" i="3"/>
  <c r="AL1245" i="3"/>
  <c r="AL1246" i="3"/>
  <c r="AL1247" i="3"/>
  <c r="AL1248" i="3"/>
  <c r="AL1249" i="3"/>
  <c r="AL1250" i="3"/>
  <c r="AL1251" i="3"/>
  <c r="AL1252" i="3"/>
  <c r="AL1253" i="3"/>
  <c r="AL1254" i="3"/>
  <c r="AL1255" i="3"/>
  <c r="AL1256" i="3"/>
  <c r="AL1257" i="3"/>
  <c r="AL1258" i="3"/>
  <c r="AL1259" i="3"/>
  <c r="AL1260" i="3"/>
  <c r="AL1261" i="3"/>
  <c r="AL1262" i="3"/>
  <c r="AL1263" i="3"/>
  <c r="AL1264" i="3"/>
  <c r="AL1265" i="3"/>
  <c r="AL1266" i="3"/>
  <c r="AL1267" i="3"/>
  <c r="AL1268" i="3"/>
  <c r="AL1269" i="3"/>
  <c r="AL1270" i="3"/>
  <c r="AL1271" i="3"/>
  <c r="AL1272" i="3"/>
  <c r="AL1273" i="3"/>
  <c r="AL1274" i="3"/>
  <c r="AL1275" i="3"/>
  <c r="AL1276" i="3"/>
  <c r="AL1277" i="3"/>
  <c r="AL1278" i="3"/>
  <c r="AL1279" i="3"/>
  <c r="AL1280" i="3"/>
  <c r="AL1281" i="3"/>
  <c r="AL1282" i="3"/>
  <c r="AL1283" i="3"/>
  <c r="AL1284" i="3"/>
  <c r="AL1285" i="3"/>
  <c r="AL1286" i="3"/>
  <c r="AL1287" i="3"/>
  <c r="AL1288" i="3"/>
  <c r="AL1289" i="3"/>
  <c r="AL1290" i="3"/>
  <c r="AL1291" i="3"/>
  <c r="AL1292" i="3"/>
  <c r="AL1293" i="3"/>
  <c r="AL1294" i="3"/>
  <c r="AL1295" i="3"/>
  <c r="AL1296" i="3"/>
  <c r="AL1297" i="3"/>
  <c r="AL1298" i="3"/>
  <c r="AL1299" i="3"/>
  <c r="AL1300" i="3"/>
  <c r="AL1301" i="3"/>
  <c r="AL1302" i="3"/>
  <c r="AL1303" i="3"/>
  <c r="AL1304" i="3"/>
  <c r="AL1305" i="3"/>
  <c r="AL1306" i="3"/>
  <c r="AL1307" i="3"/>
  <c r="AL1308" i="3"/>
  <c r="AL1309" i="3"/>
  <c r="AL1310" i="3"/>
  <c r="AL2" i="3"/>
  <c r="AJ2" i="3"/>
  <c r="AI2" i="3"/>
  <c r="AG3" i="3"/>
  <c r="AG7" i="3"/>
  <c r="AG8" i="3"/>
  <c r="AG10" i="3"/>
  <c r="AG13" i="3"/>
  <c r="AG14" i="3"/>
  <c r="AG15" i="3"/>
  <c r="AG16" i="3"/>
  <c r="AG19" i="3"/>
  <c r="AG20" i="3"/>
  <c r="AG21" i="3"/>
  <c r="AG22" i="3"/>
  <c r="AG23" i="3"/>
  <c r="AG24" i="3"/>
  <c r="AG25" i="3"/>
  <c r="AG26" i="3"/>
  <c r="AG28" i="3"/>
  <c r="AG29" i="3"/>
  <c r="AG30" i="3"/>
  <c r="AG31" i="3"/>
  <c r="AG33" i="3"/>
  <c r="AG34" i="3"/>
  <c r="AG35" i="3"/>
  <c r="AG37" i="3"/>
  <c r="AG38" i="3"/>
  <c r="AG39" i="3"/>
  <c r="AG43" i="3"/>
  <c r="AG44" i="3"/>
  <c r="AG45" i="3"/>
  <c r="AG46" i="3"/>
  <c r="AG49" i="3"/>
  <c r="AG50" i="3"/>
  <c r="AG51" i="3"/>
  <c r="AG52" i="3"/>
  <c r="AG56" i="3"/>
  <c r="AG57" i="3"/>
  <c r="AG58" i="3"/>
  <c r="AG59" i="3"/>
  <c r="AG61" i="3"/>
  <c r="AG63" i="3"/>
  <c r="AG65" i="3"/>
  <c r="AG66" i="3"/>
  <c r="AG67" i="3"/>
  <c r="AG68" i="3"/>
  <c r="AG69" i="3"/>
  <c r="AG70" i="3"/>
  <c r="AG71" i="3"/>
  <c r="AG74" i="3"/>
  <c r="AG75" i="3"/>
  <c r="AG78" i="3"/>
  <c r="AG80" i="3"/>
  <c r="AG81" i="3"/>
  <c r="AG84" i="3"/>
  <c r="AG85" i="3"/>
  <c r="AG87" i="3"/>
  <c r="AG88" i="3"/>
  <c r="AG89" i="3"/>
  <c r="AG90" i="3"/>
  <c r="AG92" i="3"/>
  <c r="AG93" i="3"/>
  <c r="AG94" i="3"/>
  <c r="AG95" i="3"/>
  <c r="AG96" i="3"/>
  <c r="AG97" i="3"/>
  <c r="AG99" i="3"/>
  <c r="AG100" i="3"/>
  <c r="AG101" i="3"/>
  <c r="AG102" i="3"/>
  <c r="AG104" i="3"/>
  <c r="AG105" i="3"/>
  <c r="AG106" i="3"/>
  <c r="AG109" i="3"/>
  <c r="AG110" i="3"/>
  <c r="AG111" i="3"/>
  <c r="AG113" i="3"/>
  <c r="AG114" i="3"/>
  <c r="AG115" i="3"/>
  <c r="AG118" i="3"/>
  <c r="AG119" i="3"/>
  <c r="AG121" i="3"/>
  <c r="AG122" i="3"/>
  <c r="AG123" i="3"/>
  <c r="AG124" i="3"/>
  <c r="AG125" i="3"/>
  <c r="AG126" i="3"/>
  <c r="AG129" i="3"/>
  <c r="AG131" i="3"/>
  <c r="AG132" i="3"/>
  <c r="AG133" i="3"/>
  <c r="AG135" i="3"/>
  <c r="AG136" i="3"/>
  <c r="AG138" i="3"/>
  <c r="AG139" i="3"/>
  <c r="AG141" i="3"/>
  <c r="AG142" i="3"/>
  <c r="AG143" i="3"/>
  <c r="AG145" i="3"/>
  <c r="AG146" i="3"/>
  <c r="AG147" i="3"/>
  <c r="AG148" i="3"/>
  <c r="AG151" i="3"/>
  <c r="AG153" i="3"/>
  <c r="AG154" i="3"/>
  <c r="AG155" i="3"/>
  <c r="AG157" i="3"/>
  <c r="AG161" i="3"/>
  <c r="AG162" i="3"/>
  <c r="AG163" i="3"/>
  <c r="AG165" i="3"/>
  <c r="AG166" i="3"/>
  <c r="AG167" i="3"/>
  <c r="AG168" i="3"/>
  <c r="AG169" i="3"/>
  <c r="AG170" i="3"/>
  <c r="AG172" i="3"/>
  <c r="AG178" i="3"/>
  <c r="AG179" i="3"/>
  <c r="AG180" i="3"/>
  <c r="AG182" i="3"/>
  <c r="AG183" i="3"/>
  <c r="AG184" i="3"/>
  <c r="AG185" i="3"/>
  <c r="AG188" i="3"/>
  <c r="AG189" i="3"/>
  <c r="AG190" i="3"/>
  <c r="AG192" i="3"/>
  <c r="AG195" i="3"/>
  <c r="AG197" i="3"/>
  <c r="AG198" i="3"/>
  <c r="AG200" i="3"/>
  <c r="AG201" i="3"/>
  <c r="AG204" i="3"/>
  <c r="AG206" i="3"/>
  <c r="AG209" i="3"/>
  <c r="AG210" i="3"/>
  <c r="AG211" i="3"/>
  <c r="AG215" i="3"/>
  <c r="AG216" i="3"/>
  <c r="AG218" i="3"/>
  <c r="AG220" i="3"/>
  <c r="AG221" i="3"/>
  <c r="AG222" i="3"/>
  <c r="AG229" i="3"/>
  <c r="AG231" i="3"/>
  <c r="AG232" i="3"/>
  <c r="AG233" i="3"/>
  <c r="AG235" i="3"/>
  <c r="AG237" i="3"/>
  <c r="AG240" i="3"/>
  <c r="AG242" i="3"/>
  <c r="AG244" i="3"/>
  <c r="AG247" i="3"/>
  <c r="AG249" i="3"/>
  <c r="AG251" i="3"/>
  <c r="AG252" i="3"/>
  <c r="AG253" i="3"/>
  <c r="AG255" i="3"/>
  <c r="AG256" i="3"/>
  <c r="AG257" i="3"/>
  <c r="AG258" i="3"/>
  <c r="AG259" i="3"/>
  <c r="AG260" i="3"/>
  <c r="AG261" i="3"/>
  <c r="AG262" i="3"/>
  <c r="AG263" i="3"/>
  <c r="AG265" i="3"/>
  <c r="AG266" i="3"/>
  <c r="AG267" i="3"/>
  <c r="AG272" i="3"/>
  <c r="AG273" i="3"/>
  <c r="AG274" i="3"/>
  <c r="AG275" i="3"/>
  <c r="AG276" i="3"/>
  <c r="AG277" i="3"/>
  <c r="AG279" i="3"/>
  <c r="AG280" i="3"/>
  <c r="AG282" i="3"/>
  <c r="AG283" i="3"/>
  <c r="AG284" i="3"/>
  <c r="AG286" i="3"/>
  <c r="AG290" i="3"/>
  <c r="AG291" i="3"/>
  <c r="AG293" i="3"/>
  <c r="AG294" i="3"/>
  <c r="AG295" i="3"/>
  <c r="AG297" i="3"/>
  <c r="AG298" i="3"/>
  <c r="AG299" i="3"/>
  <c r="AG300" i="3"/>
  <c r="AG304" i="3"/>
  <c r="AG306" i="3"/>
  <c r="AG310" i="3"/>
  <c r="AG311" i="3"/>
  <c r="AG313" i="3"/>
  <c r="AG316" i="3"/>
  <c r="AG317" i="3"/>
  <c r="AG319" i="3"/>
  <c r="AG321" i="3"/>
  <c r="AG322" i="3"/>
  <c r="AG324" i="3"/>
  <c r="AG326" i="3"/>
  <c r="AG331" i="3"/>
  <c r="AG335" i="3"/>
  <c r="AG338" i="3"/>
  <c r="AG339" i="3"/>
  <c r="AG341" i="3"/>
  <c r="AG342" i="3"/>
  <c r="AG343" i="3"/>
  <c r="AG344" i="3"/>
  <c r="AG345" i="3"/>
  <c r="AG346" i="3"/>
  <c r="AG351" i="3"/>
  <c r="AG352" i="3"/>
  <c r="AG354" i="3"/>
  <c r="AG355" i="3"/>
  <c r="AG357" i="3"/>
  <c r="AG361" i="3"/>
  <c r="AG362" i="3"/>
  <c r="AG363" i="3"/>
  <c r="AG364" i="3"/>
  <c r="AG372" i="3"/>
  <c r="AG373" i="3"/>
  <c r="AG375" i="3"/>
  <c r="AG378" i="3"/>
  <c r="AG379" i="3"/>
  <c r="AG381" i="3"/>
  <c r="AG382" i="3"/>
  <c r="AG387" i="3"/>
  <c r="AG389" i="3"/>
  <c r="AG390" i="3"/>
  <c r="AG394" i="3"/>
  <c r="AG400" i="3"/>
  <c r="AG402" i="3"/>
  <c r="AG403" i="3"/>
  <c r="AG404" i="3"/>
  <c r="AG409" i="3"/>
  <c r="AG417" i="3"/>
  <c r="AG429" i="3"/>
  <c r="AG430" i="3"/>
  <c r="AG432" i="3"/>
  <c r="AG434" i="3"/>
  <c r="AG436" i="3"/>
  <c r="AG438" i="3"/>
  <c r="AG439" i="3"/>
  <c r="AG440" i="3"/>
  <c r="AG442" i="3"/>
  <c r="AG443" i="3"/>
  <c r="AG448" i="3"/>
  <c r="AG451" i="3"/>
  <c r="AG454" i="3"/>
  <c r="AG456" i="3"/>
  <c r="AG462" i="3"/>
  <c r="AG467" i="3"/>
  <c r="AG469" i="3"/>
  <c r="AG471" i="3"/>
  <c r="AG473" i="3"/>
  <c r="AG480" i="3"/>
  <c r="AG481" i="3"/>
  <c r="AG483" i="3"/>
  <c r="AG484" i="3"/>
  <c r="AG485" i="3"/>
  <c r="AG486" i="3"/>
  <c r="AG494" i="3"/>
  <c r="AG496" i="3"/>
  <c r="AG503" i="3"/>
  <c r="AG504" i="3"/>
  <c r="AG505" i="3"/>
  <c r="AG516" i="3"/>
  <c r="AG517" i="3"/>
  <c r="AG522" i="3"/>
  <c r="AG523" i="3"/>
  <c r="AG525" i="3"/>
  <c r="AG526" i="3"/>
  <c r="AG528" i="3"/>
  <c r="AG531" i="3"/>
  <c r="AG535" i="3"/>
  <c r="AG536" i="3"/>
  <c r="AG538" i="3"/>
  <c r="AG540" i="3"/>
  <c r="AG542" i="3"/>
  <c r="AG543" i="3"/>
  <c r="AG544" i="3"/>
  <c r="AG546" i="3"/>
  <c r="AG548" i="3"/>
  <c r="AG550" i="3"/>
  <c r="AG551" i="3"/>
  <c r="AG552" i="3"/>
  <c r="AG553" i="3"/>
  <c r="AG555" i="3"/>
  <c r="AG559" i="3"/>
  <c r="AG560" i="3"/>
  <c r="AG561" i="3"/>
  <c r="AG562" i="3"/>
  <c r="AG564" i="3"/>
  <c r="AG566" i="3"/>
  <c r="AG572" i="3"/>
  <c r="AG575" i="3"/>
  <c r="AG579" i="3"/>
  <c r="AG582" i="3"/>
  <c r="AG584" i="3"/>
  <c r="AG585" i="3"/>
  <c r="AG586" i="3"/>
  <c r="AG588" i="3"/>
  <c r="AG589" i="3"/>
  <c r="AG590" i="3"/>
  <c r="AG591" i="3"/>
  <c r="AG592" i="3"/>
  <c r="AG593" i="3"/>
  <c r="AG595" i="3"/>
  <c r="AG598" i="3"/>
  <c r="AG599" i="3"/>
  <c r="AG600" i="3"/>
  <c r="AG605" i="3"/>
  <c r="AG606" i="3"/>
  <c r="AG607" i="3"/>
  <c r="AG608" i="3"/>
  <c r="AG609" i="3"/>
  <c r="AG613" i="3"/>
  <c r="AG614" i="3"/>
  <c r="AG615" i="3"/>
  <c r="AG623" i="3"/>
  <c r="AG627" i="3"/>
  <c r="AG632" i="3"/>
  <c r="AG643" i="3"/>
  <c r="AG645" i="3"/>
  <c r="AG647" i="3"/>
  <c r="AG648" i="3"/>
  <c r="AG649" i="3"/>
  <c r="AG655" i="3"/>
  <c r="AG657" i="3"/>
  <c r="AG659" i="3"/>
  <c r="AG660" i="3"/>
  <c r="AG661" i="3"/>
  <c r="AG662" i="3"/>
  <c r="AG663" i="3"/>
  <c r="AG666" i="3"/>
  <c r="AG676" i="3"/>
  <c r="AG688" i="3"/>
  <c r="AG695" i="3"/>
  <c r="AG711" i="3"/>
  <c r="AG716" i="3"/>
  <c r="AG721" i="3"/>
  <c r="AG727" i="3"/>
  <c r="AG735" i="3"/>
  <c r="AG736" i="3"/>
  <c r="AG737" i="3"/>
  <c r="AG740" i="3"/>
  <c r="AG744" i="3"/>
  <c r="AG747" i="3"/>
  <c r="AG748" i="3"/>
  <c r="AG759" i="3"/>
  <c r="AG760" i="3"/>
  <c r="AG761" i="3"/>
  <c r="AG762" i="3"/>
  <c r="AG764" i="3"/>
  <c r="AG765" i="3"/>
  <c r="AG767" i="3"/>
  <c r="AG773" i="3"/>
  <c r="AG779" i="3"/>
  <c r="AG780" i="3"/>
  <c r="AG785" i="3"/>
  <c r="AG787" i="3"/>
  <c r="AG796" i="3"/>
  <c r="AG800" i="3"/>
  <c r="AG807" i="3"/>
  <c r="AG820" i="3"/>
  <c r="AG821" i="3"/>
  <c r="AG822" i="3"/>
  <c r="AG825" i="3"/>
  <c r="AG847" i="3"/>
  <c r="AG853" i="3"/>
  <c r="AG855" i="3"/>
  <c r="AG858" i="3"/>
  <c r="AG859" i="3"/>
  <c r="AG860" i="3"/>
  <c r="AG864" i="3"/>
  <c r="AG868" i="3"/>
  <c r="AG869" i="3"/>
  <c r="AG874" i="3"/>
  <c r="AG876" i="3"/>
  <c r="AG882" i="3"/>
  <c r="AG883" i="3"/>
  <c r="AG888" i="3"/>
  <c r="AG889" i="3"/>
  <c r="AG891" i="3"/>
  <c r="AG896" i="3"/>
  <c r="AG897" i="3"/>
  <c r="AG901" i="3"/>
  <c r="AG907" i="3"/>
  <c r="AG911" i="3"/>
  <c r="AG915" i="3"/>
  <c r="AG918" i="3"/>
  <c r="AG919" i="3"/>
  <c r="AG923" i="3"/>
  <c r="AG924" i="3"/>
  <c r="AG925" i="3"/>
  <c r="AG936" i="3"/>
  <c r="AG937" i="3"/>
  <c r="AG938" i="3"/>
  <c r="AG943" i="3"/>
  <c r="AG947" i="3"/>
  <c r="AG949" i="3"/>
  <c r="AG951" i="3"/>
  <c r="AG955" i="3"/>
  <c r="AG970" i="3"/>
  <c r="AG971" i="3"/>
  <c r="AG972" i="3"/>
  <c r="AG980" i="3"/>
  <c r="AG982" i="3"/>
  <c r="AG983" i="3"/>
  <c r="AG986" i="3"/>
  <c r="AG987" i="3"/>
  <c r="AG993" i="3"/>
  <c r="AG995" i="3"/>
  <c r="AG999" i="3"/>
  <c r="AG1001" i="3"/>
  <c r="AG1003" i="3"/>
  <c r="AG1004" i="3"/>
  <c r="AG1005" i="3"/>
  <c r="AG1006" i="3"/>
  <c r="AG1008" i="3"/>
  <c r="AG1019" i="3"/>
  <c r="AG1025" i="3"/>
  <c r="AG1027" i="3"/>
  <c r="AG1028" i="3"/>
  <c r="AG1030" i="3"/>
  <c r="AG1035" i="3"/>
  <c r="AG1036" i="3"/>
  <c r="AG1037" i="3"/>
  <c r="AG1038" i="3"/>
  <c r="AG1041" i="3"/>
  <c r="AG1042" i="3"/>
  <c r="AG1044" i="3"/>
  <c r="AG1045" i="3"/>
  <c r="AG1046" i="3"/>
  <c r="AG1049" i="3"/>
  <c r="AG1050" i="3"/>
  <c r="AG1051" i="3"/>
  <c r="AG1052" i="3"/>
  <c r="AG1058" i="3"/>
  <c r="AG1059" i="3"/>
  <c r="AG1062" i="3"/>
  <c r="AG1063" i="3"/>
  <c r="AG1066" i="3"/>
  <c r="AG1069" i="3"/>
  <c r="AG1079" i="3"/>
  <c r="AG1081" i="3"/>
  <c r="AG1082" i="3"/>
  <c r="AG1083" i="3"/>
  <c r="AG1084" i="3"/>
  <c r="AG1090" i="3"/>
  <c r="AG1122" i="3"/>
  <c r="AG1123" i="3"/>
  <c r="AG1124" i="3"/>
  <c r="AG1125" i="3"/>
  <c r="AG1133" i="3"/>
  <c r="AG1151" i="3"/>
  <c r="AG1161" i="3"/>
  <c r="AG1164" i="3"/>
  <c r="AG1184" i="3"/>
  <c r="AG1189" i="3"/>
  <c r="AG1190" i="3"/>
  <c r="AG1191" i="3"/>
  <c r="AG1192" i="3"/>
  <c r="AG1198" i="3"/>
  <c r="AG1207" i="3"/>
  <c r="AG1218" i="3"/>
  <c r="AG1225" i="3"/>
  <c r="AG1230" i="3"/>
  <c r="AG1234" i="3"/>
  <c r="AG1235" i="3"/>
  <c r="AG1238" i="3"/>
  <c r="AG1240" i="3"/>
  <c r="AG1242" i="3"/>
  <c r="AG1246" i="3"/>
  <c r="AG1249" i="3"/>
  <c r="AG1256" i="3"/>
  <c r="AG1258" i="3"/>
  <c r="AG1259" i="3"/>
  <c r="AG1260" i="3"/>
  <c r="AG1262" i="3"/>
  <c r="AG1263" i="3"/>
  <c r="AG1279" i="3"/>
  <c r="AG1288" i="3"/>
  <c r="AG1301" i="3"/>
  <c r="AG2" i="3"/>
  <c r="AE2" i="3"/>
  <c r="AB3" i="3"/>
  <c r="AC3" i="3" s="1"/>
  <c r="AB4" i="3"/>
  <c r="AC4" i="3" s="1"/>
  <c r="AB5" i="3"/>
  <c r="AC5" i="3" s="1"/>
  <c r="AB6" i="3"/>
  <c r="AC6" i="3" s="1"/>
  <c r="AB7" i="3"/>
  <c r="AC7" i="3" s="1"/>
  <c r="AB8" i="3"/>
  <c r="AC8" i="3" s="1"/>
  <c r="AB9" i="3"/>
  <c r="AC9" i="3" s="1"/>
  <c r="AB10" i="3"/>
  <c r="AC10" i="3" s="1"/>
  <c r="AB11" i="3"/>
  <c r="AC11" i="3" s="1"/>
  <c r="AB12" i="3"/>
  <c r="AC12" i="3" s="1"/>
  <c r="AB13" i="3"/>
  <c r="AC13" i="3" s="1"/>
  <c r="AB14" i="3"/>
  <c r="AC14" i="3" s="1"/>
  <c r="AB15" i="3"/>
  <c r="AC15" i="3" s="1"/>
  <c r="AB16" i="3"/>
  <c r="AC16" i="3" s="1"/>
  <c r="AB17" i="3"/>
  <c r="AC17" i="3" s="1"/>
  <c r="AB18" i="3"/>
  <c r="AC18" i="3" s="1"/>
  <c r="AB19" i="3"/>
  <c r="AC19" i="3" s="1"/>
  <c r="AB20" i="3"/>
  <c r="AC20" i="3" s="1"/>
  <c r="AB21" i="3"/>
  <c r="AC21" i="3" s="1"/>
  <c r="AB22" i="3"/>
  <c r="AC22" i="3" s="1"/>
  <c r="AB23" i="3"/>
  <c r="AC23" i="3" s="1"/>
  <c r="AB24" i="3"/>
  <c r="AC24" i="3" s="1"/>
  <c r="AB25" i="3"/>
  <c r="AC25" i="3" s="1"/>
  <c r="AB26" i="3"/>
  <c r="AC26" i="3" s="1"/>
  <c r="AB27" i="3"/>
  <c r="AC27" i="3" s="1"/>
  <c r="AB28" i="3"/>
  <c r="AC28" i="3" s="1"/>
  <c r="AB29" i="3"/>
  <c r="AC29" i="3" s="1"/>
  <c r="AB30" i="3"/>
  <c r="AC30" i="3" s="1"/>
  <c r="AB31" i="3"/>
  <c r="AC31" i="3" s="1"/>
  <c r="AB32" i="3"/>
  <c r="AC32" i="3" s="1"/>
  <c r="AB33" i="3"/>
  <c r="AC33" i="3" s="1"/>
  <c r="AB34" i="3"/>
  <c r="AC34" i="3" s="1"/>
  <c r="AB35" i="3"/>
  <c r="AC35" i="3" s="1"/>
  <c r="AB36" i="3"/>
  <c r="AC36" i="3" s="1"/>
  <c r="AB37" i="3"/>
  <c r="AC37" i="3" s="1"/>
  <c r="AB38" i="3"/>
  <c r="AC38" i="3" s="1"/>
  <c r="AB39" i="3"/>
  <c r="AC39" i="3" s="1"/>
  <c r="AB40" i="3"/>
  <c r="AC40" i="3" s="1"/>
  <c r="AB41" i="3"/>
  <c r="AC41" i="3" s="1"/>
  <c r="AB42" i="3"/>
  <c r="AC42" i="3" s="1"/>
  <c r="AB43" i="3"/>
  <c r="AC43" i="3" s="1"/>
  <c r="AB44" i="3"/>
  <c r="AC44" i="3" s="1"/>
  <c r="AB45" i="3"/>
  <c r="AC45" i="3" s="1"/>
  <c r="AB46" i="3"/>
  <c r="AC46" i="3" s="1"/>
  <c r="AB47" i="3"/>
  <c r="AC47" i="3" s="1"/>
  <c r="AB48" i="3"/>
  <c r="AC48" i="3" s="1"/>
  <c r="AB49" i="3"/>
  <c r="AC49" i="3" s="1"/>
  <c r="AB50" i="3"/>
  <c r="AC50" i="3" s="1"/>
  <c r="AB51" i="3"/>
  <c r="AC51" i="3" s="1"/>
  <c r="AB52" i="3"/>
  <c r="AC52" i="3" s="1"/>
  <c r="AB53" i="3"/>
  <c r="AC53" i="3" s="1"/>
  <c r="AB54" i="3"/>
  <c r="AC54" i="3" s="1"/>
  <c r="AB55" i="3"/>
  <c r="AC55" i="3" s="1"/>
  <c r="AB56" i="3"/>
  <c r="AC56" i="3" s="1"/>
  <c r="AB57" i="3"/>
  <c r="AC57" i="3" s="1"/>
  <c r="AB58" i="3"/>
  <c r="AC58" i="3" s="1"/>
  <c r="AB59" i="3"/>
  <c r="AC59" i="3" s="1"/>
  <c r="AB60" i="3"/>
  <c r="AC60" i="3" s="1"/>
  <c r="AB61" i="3"/>
  <c r="AC61" i="3" s="1"/>
  <c r="AB62" i="3"/>
  <c r="AC62" i="3" s="1"/>
  <c r="AB63" i="3"/>
  <c r="AC63" i="3" s="1"/>
  <c r="AB64" i="3"/>
  <c r="AC64" i="3" s="1"/>
  <c r="AB65" i="3"/>
  <c r="AC65" i="3" s="1"/>
  <c r="AB66" i="3"/>
  <c r="AC66" i="3" s="1"/>
  <c r="AB67" i="3"/>
  <c r="AC67" i="3" s="1"/>
  <c r="AB68" i="3"/>
  <c r="AC68" i="3" s="1"/>
  <c r="AB69" i="3"/>
  <c r="AC69" i="3" s="1"/>
  <c r="AB70" i="3"/>
  <c r="AC70" i="3" s="1"/>
  <c r="AB71" i="3"/>
  <c r="AC71" i="3" s="1"/>
  <c r="AB72" i="3"/>
  <c r="AC72" i="3" s="1"/>
  <c r="AB73" i="3"/>
  <c r="AC73" i="3" s="1"/>
  <c r="AB74" i="3"/>
  <c r="AC74" i="3" s="1"/>
  <c r="AB75" i="3"/>
  <c r="AC75" i="3" s="1"/>
  <c r="AB76" i="3"/>
  <c r="AC76" i="3" s="1"/>
  <c r="AB77" i="3"/>
  <c r="AC77" i="3" s="1"/>
  <c r="AB78" i="3"/>
  <c r="AC78" i="3" s="1"/>
  <c r="AB79" i="3"/>
  <c r="AC79" i="3" s="1"/>
  <c r="AB80" i="3"/>
  <c r="AC80" i="3" s="1"/>
  <c r="AB81" i="3"/>
  <c r="AC81" i="3" s="1"/>
  <c r="AB82" i="3"/>
  <c r="AC82" i="3" s="1"/>
  <c r="AB83" i="3"/>
  <c r="AC83" i="3" s="1"/>
  <c r="AB84" i="3"/>
  <c r="AC84" i="3" s="1"/>
  <c r="AB85" i="3"/>
  <c r="AC85" i="3" s="1"/>
  <c r="AB86" i="3"/>
  <c r="AC86" i="3" s="1"/>
  <c r="AB87" i="3"/>
  <c r="AC87" i="3" s="1"/>
  <c r="AB88" i="3"/>
  <c r="AC88" i="3" s="1"/>
  <c r="AB89" i="3"/>
  <c r="AC89" i="3" s="1"/>
  <c r="AB90" i="3"/>
  <c r="AC90" i="3" s="1"/>
  <c r="AB91" i="3"/>
  <c r="AC91" i="3" s="1"/>
  <c r="AB92" i="3"/>
  <c r="AC92" i="3" s="1"/>
  <c r="AB93" i="3"/>
  <c r="AC93" i="3" s="1"/>
  <c r="AB94" i="3"/>
  <c r="AC94" i="3" s="1"/>
  <c r="AB95" i="3"/>
  <c r="AC95" i="3" s="1"/>
  <c r="AB96" i="3"/>
  <c r="AC96" i="3" s="1"/>
  <c r="AB97" i="3"/>
  <c r="AC97" i="3" s="1"/>
  <c r="AB98" i="3"/>
  <c r="AC98" i="3" s="1"/>
  <c r="AB99" i="3"/>
  <c r="AC99" i="3" s="1"/>
  <c r="AB100" i="3"/>
  <c r="AC100" i="3" s="1"/>
  <c r="AB101" i="3"/>
  <c r="AC101" i="3" s="1"/>
  <c r="AB102" i="3"/>
  <c r="AC102" i="3" s="1"/>
  <c r="AB103" i="3"/>
  <c r="AC103" i="3" s="1"/>
  <c r="AB104" i="3"/>
  <c r="AC104" i="3" s="1"/>
  <c r="AB105" i="3"/>
  <c r="AC105" i="3" s="1"/>
  <c r="AB106" i="3"/>
  <c r="AC106" i="3" s="1"/>
  <c r="AB107" i="3"/>
  <c r="AC107" i="3" s="1"/>
  <c r="AB108" i="3"/>
  <c r="AC108" i="3" s="1"/>
  <c r="AB109" i="3"/>
  <c r="AC109" i="3" s="1"/>
  <c r="AB110" i="3"/>
  <c r="AC110" i="3" s="1"/>
  <c r="AB111" i="3"/>
  <c r="AC111" i="3" s="1"/>
  <c r="AB112" i="3"/>
  <c r="AC112" i="3" s="1"/>
  <c r="AB113" i="3"/>
  <c r="AC113" i="3" s="1"/>
  <c r="AB114" i="3"/>
  <c r="AC114" i="3" s="1"/>
  <c r="AB115" i="3"/>
  <c r="AC115" i="3" s="1"/>
  <c r="AB116" i="3"/>
  <c r="AC116" i="3" s="1"/>
  <c r="AB117" i="3"/>
  <c r="AC117" i="3" s="1"/>
  <c r="AB118" i="3"/>
  <c r="AC118" i="3" s="1"/>
  <c r="AB119" i="3"/>
  <c r="AC119" i="3" s="1"/>
  <c r="AB120" i="3"/>
  <c r="AC120" i="3" s="1"/>
  <c r="AB121" i="3"/>
  <c r="AC121" i="3" s="1"/>
  <c r="AB122" i="3"/>
  <c r="AC122" i="3" s="1"/>
  <c r="AB123" i="3"/>
  <c r="AC123" i="3" s="1"/>
  <c r="AB124" i="3"/>
  <c r="AC124" i="3" s="1"/>
  <c r="AB125" i="3"/>
  <c r="AC125" i="3" s="1"/>
  <c r="AB126" i="3"/>
  <c r="AC126" i="3" s="1"/>
  <c r="AB127" i="3"/>
  <c r="AC127" i="3" s="1"/>
  <c r="AB128" i="3"/>
  <c r="AC128" i="3" s="1"/>
  <c r="AB129" i="3"/>
  <c r="AC129" i="3" s="1"/>
  <c r="AB130" i="3"/>
  <c r="AC130" i="3" s="1"/>
  <c r="AB131" i="3"/>
  <c r="AC131" i="3" s="1"/>
  <c r="AB132" i="3"/>
  <c r="AC132" i="3" s="1"/>
  <c r="AB133" i="3"/>
  <c r="AC133" i="3" s="1"/>
  <c r="AB134" i="3"/>
  <c r="AC134" i="3" s="1"/>
  <c r="AB135" i="3"/>
  <c r="AC135" i="3" s="1"/>
  <c r="AB136" i="3"/>
  <c r="AC136" i="3" s="1"/>
  <c r="AB137" i="3"/>
  <c r="AC137" i="3" s="1"/>
  <c r="AB138" i="3"/>
  <c r="AC138" i="3" s="1"/>
  <c r="AB139" i="3"/>
  <c r="AC139" i="3" s="1"/>
  <c r="AB140" i="3"/>
  <c r="AC140" i="3" s="1"/>
  <c r="AB141" i="3"/>
  <c r="AC141" i="3" s="1"/>
  <c r="AB142" i="3"/>
  <c r="AC142" i="3" s="1"/>
  <c r="AB143" i="3"/>
  <c r="AC143" i="3" s="1"/>
  <c r="AB144" i="3"/>
  <c r="AC144" i="3" s="1"/>
  <c r="AB145" i="3"/>
  <c r="AC145" i="3" s="1"/>
  <c r="AB146" i="3"/>
  <c r="AC146" i="3" s="1"/>
  <c r="AB147" i="3"/>
  <c r="AC147" i="3" s="1"/>
  <c r="AB148" i="3"/>
  <c r="AC148" i="3" s="1"/>
  <c r="AB149" i="3"/>
  <c r="AC149" i="3" s="1"/>
  <c r="AB150" i="3"/>
  <c r="AC150" i="3" s="1"/>
  <c r="AB151" i="3"/>
  <c r="AC151" i="3" s="1"/>
  <c r="AB152" i="3"/>
  <c r="AC152" i="3" s="1"/>
  <c r="AB153" i="3"/>
  <c r="AC153" i="3" s="1"/>
  <c r="AB154" i="3"/>
  <c r="AC154" i="3" s="1"/>
  <c r="AB155" i="3"/>
  <c r="AC155" i="3" s="1"/>
  <c r="AB156" i="3"/>
  <c r="AC156" i="3" s="1"/>
  <c r="AB157" i="3"/>
  <c r="AC157" i="3" s="1"/>
  <c r="AB158" i="3"/>
  <c r="AC158" i="3" s="1"/>
  <c r="AB159" i="3"/>
  <c r="AC159" i="3" s="1"/>
  <c r="AB160" i="3"/>
  <c r="AC160" i="3" s="1"/>
  <c r="AB161" i="3"/>
  <c r="AC161" i="3" s="1"/>
  <c r="AB162" i="3"/>
  <c r="AC162" i="3" s="1"/>
  <c r="AB163" i="3"/>
  <c r="AC163" i="3" s="1"/>
  <c r="AB164" i="3"/>
  <c r="AC164" i="3" s="1"/>
  <c r="AB165" i="3"/>
  <c r="AC165" i="3" s="1"/>
  <c r="AB166" i="3"/>
  <c r="AC166" i="3" s="1"/>
  <c r="AB167" i="3"/>
  <c r="AC167" i="3" s="1"/>
  <c r="AB168" i="3"/>
  <c r="AC168" i="3" s="1"/>
  <c r="AB169" i="3"/>
  <c r="AC169" i="3" s="1"/>
  <c r="AB170" i="3"/>
  <c r="AC170" i="3" s="1"/>
  <c r="AB171" i="3"/>
  <c r="AC171" i="3" s="1"/>
  <c r="AB172" i="3"/>
  <c r="AC172" i="3" s="1"/>
  <c r="AB173" i="3"/>
  <c r="AC173" i="3" s="1"/>
  <c r="AB174" i="3"/>
  <c r="AC174" i="3" s="1"/>
  <c r="AB175" i="3"/>
  <c r="AC175" i="3" s="1"/>
  <c r="AB176" i="3"/>
  <c r="AC176" i="3" s="1"/>
  <c r="AB177" i="3"/>
  <c r="AC177" i="3" s="1"/>
  <c r="AB178" i="3"/>
  <c r="AC178" i="3" s="1"/>
  <c r="AB179" i="3"/>
  <c r="AC179" i="3" s="1"/>
  <c r="AB180" i="3"/>
  <c r="AC180" i="3" s="1"/>
  <c r="AB181" i="3"/>
  <c r="AC181" i="3" s="1"/>
  <c r="AB182" i="3"/>
  <c r="AC182" i="3" s="1"/>
  <c r="AB183" i="3"/>
  <c r="AC183" i="3" s="1"/>
  <c r="AB184" i="3"/>
  <c r="AC184" i="3" s="1"/>
  <c r="AB185" i="3"/>
  <c r="AC185" i="3" s="1"/>
  <c r="AB186" i="3"/>
  <c r="AC186" i="3" s="1"/>
  <c r="AB187" i="3"/>
  <c r="AC187" i="3" s="1"/>
  <c r="AB188" i="3"/>
  <c r="AC188" i="3" s="1"/>
  <c r="AB189" i="3"/>
  <c r="AC189" i="3" s="1"/>
  <c r="AB190" i="3"/>
  <c r="AC190" i="3" s="1"/>
  <c r="AB191" i="3"/>
  <c r="AC191" i="3" s="1"/>
  <c r="AB192" i="3"/>
  <c r="AC192" i="3" s="1"/>
  <c r="AB193" i="3"/>
  <c r="AC193" i="3" s="1"/>
  <c r="AB194" i="3"/>
  <c r="AC194" i="3" s="1"/>
  <c r="AB195" i="3"/>
  <c r="AC195" i="3" s="1"/>
  <c r="AB196" i="3"/>
  <c r="AC196" i="3" s="1"/>
  <c r="AB197" i="3"/>
  <c r="AC197" i="3" s="1"/>
  <c r="AB198" i="3"/>
  <c r="AC198" i="3" s="1"/>
  <c r="AB199" i="3"/>
  <c r="AC199" i="3" s="1"/>
  <c r="AB200" i="3"/>
  <c r="AC200" i="3" s="1"/>
  <c r="AB201" i="3"/>
  <c r="AC201" i="3" s="1"/>
  <c r="AB202" i="3"/>
  <c r="AC202" i="3" s="1"/>
  <c r="AB203" i="3"/>
  <c r="AC203" i="3" s="1"/>
  <c r="AB204" i="3"/>
  <c r="AC204" i="3" s="1"/>
  <c r="AB205" i="3"/>
  <c r="AC205" i="3" s="1"/>
  <c r="AB206" i="3"/>
  <c r="AC206" i="3" s="1"/>
  <c r="AB207" i="3"/>
  <c r="AC207" i="3" s="1"/>
  <c r="AB208" i="3"/>
  <c r="AC208" i="3" s="1"/>
  <c r="AB209" i="3"/>
  <c r="AC209" i="3" s="1"/>
  <c r="AB210" i="3"/>
  <c r="AC210" i="3" s="1"/>
  <c r="AB211" i="3"/>
  <c r="AC211" i="3" s="1"/>
  <c r="AB212" i="3"/>
  <c r="AC212" i="3" s="1"/>
  <c r="AB213" i="3"/>
  <c r="AC213" i="3" s="1"/>
  <c r="AB214" i="3"/>
  <c r="AC214" i="3" s="1"/>
  <c r="AB215" i="3"/>
  <c r="AC215" i="3" s="1"/>
  <c r="AB216" i="3"/>
  <c r="AC216" i="3" s="1"/>
  <c r="AB217" i="3"/>
  <c r="AC217" i="3" s="1"/>
  <c r="AB218" i="3"/>
  <c r="AC218" i="3" s="1"/>
  <c r="AB219" i="3"/>
  <c r="AC219" i="3" s="1"/>
  <c r="AB220" i="3"/>
  <c r="AC220" i="3" s="1"/>
  <c r="AB221" i="3"/>
  <c r="AC221" i="3" s="1"/>
  <c r="AB222" i="3"/>
  <c r="AC222" i="3" s="1"/>
  <c r="AB223" i="3"/>
  <c r="AC223" i="3" s="1"/>
  <c r="AB224" i="3"/>
  <c r="AC224" i="3" s="1"/>
  <c r="AB225" i="3"/>
  <c r="AC225" i="3" s="1"/>
  <c r="AB226" i="3"/>
  <c r="AC226" i="3" s="1"/>
  <c r="AB227" i="3"/>
  <c r="AC227" i="3" s="1"/>
  <c r="AB228" i="3"/>
  <c r="AC228" i="3" s="1"/>
  <c r="AB229" i="3"/>
  <c r="AC229" i="3" s="1"/>
  <c r="AB230" i="3"/>
  <c r="AC230" i="3" s="1"/>
  <c r="AB231" i="3"/>
  <c r="AC231" i="3" s="1"/>
  <c r="AB232" i="3"/>
  <c r="AC232" i="3" s="1"/>
  <c r="AB233" i="3"/>
  <c r="AC233" i="3" s="1"/>
  <c r="AB234" i="3"/>
  <c r="AC234" i="3" s="1"/>
  <c r="AB235" i="3"/>
  <c r="AC235" i="3" s="1"/>
  <c r="AB236" i="3"/>
  <c r="AC236" i="3" s="1"/>
  <c r="AB237" i="3"/>
  <c r="AC237" i="3" s="1"/>
  <c r="AB238" i="3"/>
  <c r="AC238" i="3" s="1"/>
  <c r="AB239" i="3"/>
  <c r="AC239" i="3" s="1"/>
  <c r="AB240" i="3"/>
  <c r="AC240" i="3" s="1"/>
  <c r="AB241" i="3"/>
  <c r="AC241" i="3" s="1"/>
  <c r="AB242" i="3"/>
  <c r="AC242" i="3" s="1"/>
  <c r="AB243" i="3"/>
  <c r="AC243" i="3" s="1"/>
  <c r="AB244" i="3"/>
  <c r="AC244" i="3" s="1"/>
  <c r="AB245" i="3"/>
  <c r="AC245" i="3" s="1"/>
  <c r="AB246" i="3"/>
  <c r="AC246" i="3" s="1"/>
  <c r="AB247" i="3"/>
  <c r="AC247" i="3" s="1"/>
  <c r="AB248" i="3"/>
  <c r="AC248" i="3" s="1"/>
  <c r="AB249" i="3"/>
  <c r="AC249" i="3" s="1"/>
  <c r="AB250" i="3"/>
  <c r="AC250" i="3" s="1"/>
  <c r="AB251" i="3"/>
  <c r="AC251" i="3" s="1"/>
  <c r="AB252" i="3"/>
  <c r="AC252" i="3" s="1"/>
  <c r="AB253" i="3"/>
  <c r="AC253" i="3" s="1"/>
  <c r="AB254" i="3"/>
  <c r="AC254" i="3" s="1"/>
  <c r="AB255" i="3"/>
  <c r="AC255" i="3" s="1"/>
  <c r="AB256" i="3"/>
  <c r="AC256" i="3" s="1"/>
  <c r="AB257" i="3"/>
  <c r="AC257" i="3" s="1"/>
  <c r="AB258" i="3"/>
  <c r="AC258" i="3" s="1"/>
  <c r="AB259" i="3"/>
  <c r="AC259" i="3" s="1"/>
  <c r="AB260" i="3"/>
  <c r="AC260" i="3" s="1"/>
  <c r="AB261" i="3"/>
  <c r="AC261" i="3" s="1"/>
  <c r="AB262" i="3"/>
  <c r="AC262" i="3" s="1"/>
  <c r="AB263" i="3"/>
  <c r="AC263" i="3" s="1"/>
  <c r="AB264" i="3"/>
  <c r="AC264" i="3" s="1"/>
  <c r="AB265" i="3"/>
  <c r="AC265" i="3" s="1"/>
  <c r="AB266" i="3"/>
  <c r="AC266" i="3" s="1"/>
  <c r="AB267" i="3"/>
  <c r="AC267" i="3" s="1"/>
  <c r="AB268" i="3"/>
  <c r="AC268" i="3" s="1"/>
  <c r="AB269" i="3"/>
  <c r="AC269" i="3" s="1"/>
  <c r="AB270" i="3"/>
  <c r="AC270" i="3" s="1"/>
  <c r="AB271" i="3"/>
  <c r="AC271" i="3" s="1"/>
  <c r="AB272" i="3"/>
  <c r="AC272" i="3" s="1"/>
  <c r="AB273" i="3"/>
  <c r="AC273" i="3" s="1"/>
  <c r="AB274" i="3"/>
  <c r="AC274" i="3" s="1"/>
  <c r="AB275" i="3"/>
  <c r="AC275" i="3" s="1"/>
  <c r="AB276" i="3"/>
  <c r="AC276" i="3" s="1"/>
  <c r="AB277" i="3"/>
  <c r="AC277" i="3" s="1"/>
  <c r="AB278" i="3"/>
  <c r="AC278" i="3" s="1"/>
  <c r="AB279" i="3"/>
  <c r="AC279" i="3" s="1"/>
  <c r="AB280" i="3"/>
  <c r="AC280" i="3" s="1"/>
  <c r="AB281" i="3"/>
  <c r="AC281" i="3" s="1"/>
  <c r="AB282" i="3"/>
  <c r="AC282" i="3" s="1"/>
  <c r="AB283" i="3"/>
  <c r="AC283" i="3" s="1"/>
  <c r="AB284" i="3"/>
  <c r="AC284" i="3" s="1"/>
  <c r="AB285" i="3"/>
  <c r="AC285" i="3" s="1"/>
  <c r="AB286" i="3"/>
  <c r="AC286" i="3" s="1"/>
  <c r="AB287" i="3"/>
  <c r="AC287" i="3" s="1"/>
  <c r="AB288" i="3"/>
  <c r="AC288" i="3" s="1"/>
  <c r="AB289" i="3"/>
  <c r="AC289" i="3" s="1"/>
  <c r="AB290" i="3"/>
  <c r="AC290" i="3" s="1"/>
  <c r="AB291" i="3"/>
  <c r="AC291" i="3" s="1"/>
  <c r="AB292" i="3"/>
  <c r="AC292" i="3" s="1"/>
  <c r="AB293" i="3"/>
  <c r="AC293" i="3" s="1"/>
  <c r="AB294" i="3"/>
  <c r="AC294" i="3" s="1"/>
  <c r="AB295" i="3"/>
  <c r="AC295" i="3" s="1"/>
  <c r="AB296" i="3"/>
  <c r="AC296" i="3" s="1"/>
  <c r="AB297" i="3"/>
  <c r="AC297" i="3" s="1"/>
  <c r="AB298" i="3"/>
  <c r="AC298" i="3" s="1"/>
  <c r="AB299" i="3"/>
  <c r="AC299" i="3" s="1"/>
  <c r="AB300" i="3"/>
  <c r="AC300" i="3" s="1"/>
  <c r="AB301" i="3"/>
  <c r="AC301" i="3" s="1"/>
  <c r="AB302" i="3"/>
  <c r="AC302" i="3" s="1"/>
  <c r="AB303" i="3"/>
  <c r="AC303" i="3" s="1"/>
  <c r="AB304" i="3"/>
  <c r="AC304" i="3" s="1"/>
  <c r="AB305" i="3"/>
  <c r="AC305" i="3" s="1"/>
  <c r="AB306" i="3"/>
  <c r="AC306" i="3" s="1"/>
  <c r="AB307" i="3"/>
  <c r="AC307" i="3" s="1"/>
  <c r="AB308" i="3"/>
  <c r="AC308" i="3" s="1"/>
  <c r="AB309" i="3"/>
  <c r="AC309" i="3" s="1"/>
  <c r="AB310" i="3"/>
  <c r="AC310" i="3" s="1"/>
  <c r="AB311" i="3"/>
  <c r="AC311" i="3" s="1"/>
  <c r="AB312" i="3"/>
  <c r="AC312" i="3" s="1"/>
  <c r="AB313" i="3"/>
  <c r="AC313" i="3" s="1"/>
  <c r="AB314" i="3"/>
  <c r="AC314" i="3" s="1"/>
  <c r="AB315" i="3"/>
  <c r="AC315" i="3" s="1"/>
  <c r="AB316" i="3"/>
  <c r="AC316" i="3" s="1"/>
  <c r="AB317" i="3"/>
  <c r="AC317" i="3" s="1"/>
  <c r="AB318" i="3"/>
  <c r="AC318" i="3" s="1"/>
  <c r="AB319" i="3"/>
  <c r="AC319" i="3" s="1"/>
  <c r="AB320" i="3"/>
  <c r="AC320" i="3" s="1"/>
  <c r="AB321" i="3"/>
  <c r="AC321" i="3" s="1"/>
  <c r="AB322" i="3"/>
  <c r="AC322" i="3" s="1"/>
  <c r="AB323" i="3"/>
  <c r="AC323" i="3" s="1"/>
  <c r="AB324" i="3"/>
  <c r="AC324" i="3" s="1"/>
  <c r="AB325" i="3"/>
  <c r="AC325" i="3" s="1"/>
  <c r="AB326" i="3"/>
  <c r="AC326" i="3" s="1"/>
  <c r="AB327" i="3"/>
  <c r="AC327" i="3" s="1"/>
  <c r="AB328" i="3"/>
  <c r="AC328" i="3" s="1"/>
  <c r="AB329" i="3"/>
  <c r="AC329" i="3" s="1"/>
  <c r="AB330" i="3"/>
  <c r="AC330" i="3" s="1"/>
  <c r="AB331" i="3"/>
  <c r="AC331" i="3" s="1"/>
  <c r="AB332" i="3"/>
  <c r="AC332" i="3" s="1"/>
  <c r="AB333" i="3"/>
  <c r="AC333" i="3" s="1"/>
  <c r="AB334" i="3"/>
  <c r="AC334" i="3" s="1"/>
  <c r="AB335" i="3"/>
  <c r="AC335" i="3" s="1"/>
  <c r="AB336" i="3"/>
  <c r="AC336" i="3" s="1"/>
  <c r="AB337" i="3"/>
  <c r="AC337" i="3" s="1"/>
  <c r="AB338" i="3"/>
  <c r="AC338" i="3" s="1"/>
  <c r="AB339" i="3"/>
  <c r="AC339" i="3" s="1"/>
  <c r="AB340" i="3"/>
  <c r="AC340" i="3" s="1"/>
  <c r="AB341" i="3"/>
  <c r="AC341" i="3" s="1"/>
  <c r="AB342" i="3"/>
  <c r="AC342" i="3" s="1"/>
  <c r="AB343" i="3"/>
  <c r="AC343" i="3" s="1"/>
  <c r="AB344" i="3"/>
  <c r="AC344" i="3" s="1"/>
  <c r="AB345" i="3"/>
  <c r="AC345" i="3" s="1"/>
  <c r="AB346" i="3"/>
  <c r="AC346" i="3" s="1"/>
  <c r="AB347" i="3"/>
  <c r="AC347" i="3" s="1"/>
  <c r="AB348" i="3"/>
  <c r="AC348" i="3" s="1"/>
  <c r="AB349" i="3"/>
  <c r="AC349" i="3" s="1"/>
  <c r="AB350" i="3"/>
  <c r="AC350" i="3" s="1"/>
  <c r="AB351" i="3"/>
  <c r="AC351" i="3" s="1"/>
  <c r="AB352" i="3"/>
  <c r="AC352" i="3" s="1"/>
  <c r="AB353" i="3"/>
  <c r="AC353" i="3" s="1"/>
  <c r="AB354" i="3"/>
  <c r="AC354" i="3" s="1"/>
  <c r="AB355" i="3"/>
  <c r="AC355" i="3" s="1"/>
  <c r="AB356" i="3"/>
  <c r="AC356" i="3" s="1"/>
  <c r="AB357" i="3"/>
  <c r="AC357" i="3" s="1"/>
  <c r="AB358" i="3"/>
  <c r="AC358" i="3" s="1"/>
  <c r="AB359" i="3"/>
  <c r="AC359" i="3" s="1"/>
  <c r="AB360" i="3"/>
  <c r="AC360" i="3" s="1"/>
  <c r="AB361" i="3"/>
  <c r="AC361" i="3" s="1"/>
  <c r="AB362" i="3"/>
  <c r="AC362" i="3" s="1"/>
  <c r="AB363" i="3"/>
  <c r="AC363" i="3" s="1"/>
  <c r="AB364" i="3"/>
  <c r="AC364" i="3" s="1"/>
  <c r="AB365" i="3"/>
  <c r="AC365" i="3" s="1"/>
  <c r="AB366" i="3"/>
  <c r="AC366" i="3" s="1"/>
  <c r="AB367" i="3"/>
  <c r="AC367" i="3" s="1"/>
  <c r="AB368" i="3"/>
  <c r="AC368" i="3" s="1"/>
  <c r="AB369" i="3"/>
  <c r="AC369" i="3" s="1"/>
  <c r="AB370" i="3"/>
  <c r="AC370" i="3" s="1"/>
  <c r="AB371" i="3"/>
  <c r="AC371" i="3" s="1"/>
  <c r="AB372" i="3"/>
  <c r="AC372" i="3" s="1"/>
  <c r="AB373" i="3"/>
  <c r="AC373" i="3" s="1"/>
  <c r="AB374" i="3"/>
  <c r="AC374" i="3" s="1"/>
  <c r="AB375" i="3"/>
  <c r="AC375" i="3" s="1"/>
  <c r="AB376" i="3"/>
  <c r="AC376" i="3" s="1"/>
  <c r="AB377" i="3"/>
  <c r="AC377" i="3" s="1"/>
  <c r="AB378" i="3"/>
  <c r="AC378" i="3" s="1"/>
  <c r="AB379" i="3"/>
  <c r="AC379" i="3" s="1"/>
  <c r="AB380" i="3"/>
  <c r="AC380" i="3" s="1"/>
  <c r="AB381" i="3"/>
  <c r="AC381" i="3" s="1"/>
  <c r="AB382" i="3"/>
  <c r="AC382" i="3" s="1"/>
  <c r="AB383" i="3"/>
  <c r="AC383" i="3" s="1"/>
  <c r="AB384" i="3"/>
  <c r="AC384" i="3" s="1"/>
  <c r="AB385" i="3"/>
  <c r="AC385" i="3" s="1"/>
  <c r="AB386" i="3"/>
  <c r="AC386" i="3" s="1"/>
  <c r="AB387" i="3"/>
  <c r="AC387" i="3" s="1"/>
  <c r="AB388" i="3"/>
  <c r="AC388" i="3" s="1"/>
  <c r="AB389" i="3"/>
  <c r="AC389" i="3" s="1"/>
  <c r="AB390" i="3"/>
  <c r="AC390" i="3" s="1"/>
  <c r="AB391" i="3"/>
  <c r="AC391" i="3" s="1"/>
  <c r="AB392" i="3"/>
  <c r="AC392" i="3" s="1"/>
  <c r="AB393" i="3"/>
  <c r="AC393" i="3" s="1"/>
  <c r="AB394" i="3"/>
  <c r="AC394" i="3" s="1"/>
  <c r="AB395" i="3"/>
  <c r="AC395" i="3" s="1"/>
  <c r="AB396" i="3"/>
  <c r="AC396" i="3" s="1"/>
  <c r="AB397" i="3"/>
  <c r="AC397" i="3" s="1"/>
  <c r="AB398" i="3"/>
  <c r="AC398" i="3" s="1"/>
  <c r="AB399" i="3"/>
  <c r="AC399" i="3" s="1"/>
  <c r="AB400" i="3"/>
  <c r="AC400" i="3" s="1"/>
  <c r="AB401" i="3"/>
  <c r="AC401" i="3" s="1"/>
  <c r="AB402" i="3"/>
  <c r="AC402" i="3" s="1"/>
  <c r="AB403" i="3"/>
  <c r="AC403" i="3" s="1"/>
  <c r="AB404" i="3"/>
  <c r="AC404" i="3" s="1"/>
  <c r="AB405" i="3"/>
  <c r="AC405" i="3" s="1"/>
  <c r="AB406" i="3"/>
  <c r="AC406" i="3" s="1"/>
  <c r="AB407" i="3"/>
  <c r="AC407" i="3" s="1"/>
  <c r="AB408" i="3"/>
  <c r="AC408" i="3" s="1"/>
  <c r="AB409" i="3"/>
  <c r="AC409" i="3" s="1"/>
  <c r="AB410" i="3"/>
  <c r="AC410" i="3" s="1"/>
  <c r="AB411" i="3"/>
  <c r="AC411" i="3" s="1"/>
  <c r="AB412" i="3"/>
  <c r="AC412" i="3" s="1"/>
  <c r="AB413" i="3"/>
  <c r="AC413" i="3" s="1"/>
  <c r="AB414" i="3"/>
  <c r="AC414" i="3" s="1"/>
  <c r="AB415" i="3"/>
  <c r="AC415" i="3" s="1"/>
  <c r="AB416" i="3"/>
  <c r="AC416" i="3" s="1"/>
  <c r="AB417" i="3"/>
  <c r="AC417" i="3" s="1"/>
  <c r="AB418" i="3"/>
  <c r="AC418" i="3" s="1"/>
  <c r="AB419" i="3"/>
  <c r="AC419" i="3" s="1"/>
  <c r="AB420" i="3"/>
  <c r="AC420" i="3" s="1"/>
  <c r="AB421" i="3"/>
  <c r="AC421" i="3" s="1"/>
  <c r="AB422" i="3"/>
  <c r="AC422" i="3" s="1"/>
  <c r="AB423" i="3"/>
  <c r="AC423" i="3" s="1"/>
  <c r="AB424" i="3"/>
  <c r="AC424" i="3" s="1"/>
  <c r="AB425" i="3"/>
  <c r="AC425" i="3" s="1"/>
  <c r="AB426" i="3"/>
  <c r="AC426" i="3" s="1"/>
  <c r="AB427" i="3"/>
  <c r="AC427" i="3" s="1"/>
  <c r="AB428" i="3"/>
  <c r="AC428" i="3" s="1"/>
  <c r="AB429" i="3"/>
  <c r="AC429" i="3" s="1"/>
  <c r="AB430" i="3"/>
  <c r="AC430" i="3" s="1"/>
  <c r="AB431" i="3"/>
  <c r="AC431" i="3" s="1"/>
  <c r="AB432" i="3"/>
  <c r="AC432" i="3" s="1"/>
  <c r="AB433" i="3"/>
  <c r="AC433" i="3" s="1"/>
  <c r="AB434" i="3"/>
  <c r="AC434" i="3" s="1"/>
  <c r="AB435" i="3"/>
  <c r="AC435" i="3" s="1"/>
  <c r="AB436" i="3"/>
  <c r="AC436" i="3" s="1"/>
  <c r="AB437" i="3"/>
  <c r="AC437" i="3" s="1"/>
  <c r="AB438" i="3"/>
  <c r="AC438" i="3" s="1"/>
  <c r="AB439" i="3"/>
  <c r="AC439" i="3" s="1"/>
  <c r="AB440" i="3"/>
  <c r="AC440" i="3" s="1"/>
  <c r="AB441" i="3"/>
  <c r="AC441" i="3" s="1"/>
  <c r="AB442" i="3"/>
  <c r="AC442" i="3" s="1"/>
  <c r="AB443" i="3"/>
  <c r="AC443" i="3" s="1"/>
  <c r="AB444" i="3"/>
  <c r="AC444" i="3" s="1"/>
  <c r="AB445" i="3"/>
  <c r="AC445" i="3" s="1"/>
  <c r="AB446" i="3"/>
  <c r="AC446" i="3" s="1"/>
  <c r="AB447" i="3"/>
  <c r="AC447" i="3" s="1"/>
  <c r="AB448" i="3"/>
  <c r="AC448" i="3" s="1"/>
  <c r="AB449" i="3"/>
  <c r="AC449" i="3" s="1"/>
  <c r="AB450" i="3"/>
  <c r="AC450" i="3" s="1"/>
  <c r="AB451" i="3"/>
  <c r="AC451" i="3" s="1"/>
  <c r="AB452" i="3"/>
  <c r="AC452" i="3" s="1"/>
  <c r="AB453" i="3"/>
  <c r="AC453" i="3" s="1"/>
  <c r="AB454" i="3"/>
  <c r="AC454" i="3" s="1"/>
  <c r="AB455" i="3"/>
  <c r="AC455" i="3" s="1"/>
  <c r="AB456" i="3"/>
  <c r="AC456" i="3" s="1"/>
  <c r="AB457" i="3"/>
  <c r="AC457" i="3" s="1"/>
  <c r="AB458" i="3"/>
  <c r="AC458" i="3" s="1"/>
  <c r="AB459" i="3"/>
  <c r="AC459" i="3" s="1"/>
  <c r="AB460" i="3"/>
  <c r="AC460" i="3" s="1"/>
  <c r="AB461" i="3"/>
  <c r="AC461" i="3" s="1"/>
  <c r="AB462" i="3"/>
  <c r="AC462" i="3" s="1"/>
  <c r="AB463" i="3"/>
  <c r="AC463" i="3" s="1"/>
  <c r="AB464" i="3"/>
  <c r="AC464" i="3" s="1"/>
  <c r="AB465" i="3"/>
  <c r="AC465" i="3" s="1"/>
  <c r="AB466" i="3"/>
  <c r="AC466" i="3" s="1"/>
  <c r="AB467" i="3"/>
  <c r="AC467" i="3" s="1"/>
  <c r="AB468" i="3"/>
  <c r="AC468" i="3" s="1"/>
  <c r="AB469" i="3"/>
  <c r="AC469" i="3" s="1"/>
  <c r="AB470" i="3"/>
  <c r="AC470" i="3" s="1"/>
  <c r="AB471" i="3"/>
  <c r="AC471" i="3" s="1"/>
  <c r="AB472" i="3"/>
  <c r="AC472" i="3" s="1"/>
  <c r="AB473" i="3"/>
  <c r="AC473" i="3" s="1"/>
  <c r="AB474" i="3"/>
  <c r="AC474" i="3" s="1"/>
  <c r="AB475" i="3"/>
  <c r="AC475" i="3" s="1"/>
  <c r="AB476" i="3"/>
  <c r="AC476" i="3" s="1"/>
  <c r="AB477" i="3"/>
  <c r="AC477" i="3" s="1"/>
  <c r="AB478" i="3"/>
  <c r="AC478" i="3" s="1"/>
  <c r="AB479" i="3"/>
  <c r="AC479" i="3" s="1"/>
  <c r="AB480" i="3"/>
  <c r="AC480" i="3" s="1"/>
  <c r="AB481" i="3"/>
  <c r="AC481" i="3" s="1"/>
  <c r="AB482" i="3"/>
  <c r="AC482" i="3" s="1"/>
  <c r="AB483" i="3"/>
  <c r="AC483" i="3" s="1"/>
  <c r="AB484" i="3"/>
  <c r="AC484" i="3" s="1"/>
  <c r="AB485" i="3"/>
  <c r="AC485" i="3" s="1"/>
  <c r="AB486" i="3"/>
  <c r="AC486" i="3" s="1"/>
  <c r="AB487" i="3"/>
  <c r="AC487" i="3" s="1"/>
  <c r="AB488" i="3"/>
  <c r="AC488" i="3" s="1"/>
  <c r="AB489" i="3"/>
  <c r="AC489" i="3" s="1"/>
  <c r="AB490" i="3"/>
  <c r="AC490" i="3" s="1"/>
  <c r="AB491" i="3"/>
  <c r="AC491" i="3" s="1"/>
  <c r="AB492" i="3"/>
  <c r="AC492" i="3" s="1"/>
  <c r="AB493" i="3"/>
  <c r="AC493" i="3" s="1"/>
  <c r="AB494" i="3"/>
  <c r="AC494" i="3" s="1"/>
  <c r="AB495" i="3"/>
  <c r="AC495" i="3" s="1"/>
  <c r="AB496" i="3"/>
  <c r="AC496" i="3" s="1"/>
  <c r="AB497" i="3"/>
  <c r="AC497" i="3" s="1"/>
  <c r="AB498" i="3"/>
  <c r="AC498" i="3" s="1"/>
  <c r="AB499" i="3"/>
  <c r="AC499" i="3" s="1"/>
  <c r="AB500" i="3"/>
  <c r="AC500" i="3" s="1"/>
  <c r="AB501" i="3"/>
  <c r="AC501" i="3" s="1"/>
  <c r="AB502" i="3"/>
  <c r="AC502" i="3" s="1"/>
  <c r="AB503" i="3"/>
  <c r="AC503" i="3" s="1"/>
  <c r="AB504" i="3"/>
  <c r="AC504" i="3" s="1"/>
  <c r="AB505" i="3"/>
  <c r="AC505" i="3" s="1"/>
  <c r="AB506" i="3"/>
  <c r="AC506" i="3" s="1"/>
  <c r="AB507" i="3"/>
  <c r="AC507" i="3" s="1"/>
  <c r="AB508" i="3"/>
  <c r="AC508" i="3" s="1"/>
  <c r="AB509" i="3"/>
  <c r="AC509" i="3" s="1"/>
  <c r="AB510" i="3"/>
  <c r="AC510" i="3" s="1"/>
  <c r="AB511" i="3"/>
  <c r="AC511" i="3" s="1"/>
  <c r="AB512" i="3"/>
  <c r="AC512" i="3" s="1"/>
  <c r="AB513" i="3"/>
  <c r="AC513" i="3" s="1"/>
  <c r="AB514" i="3"/>
  <c r="AC514" i="3" s="1"/>
  <c r="AB515" i="3"/>
  <c r="AC515" i="3" s="1"/>
  <c r="AB516" i="3"/>
  <c r="AC516" i="3" s="1"/>
  <c r="AB517" i="3"/>
  <c r="AC517" i="3" s="1"/>
  <c r="AB518" i="3"/>
  <c r="AC518" i="3" s="1"/>
  <c r="AB519" i="3"/>
  <c r="AC519" i="3" s="1"/>
  <c r="AB520" i="3"/>
  <c r="AC520" i="3" s="1"/>
  <c r="AB521" i="3"/>
  <c r="AC521" i="3" s="1"/>
  <c r="AB522" i="3"/>
  <c r="AC522" i="3" s="1"/>
  <c r="AB523" i="3"/>
  <c r="AC523" i="3" s="1"/>
  <c r="AB524" i="3"/>
  <c r="AC524" i="3" s="1"/>
  <c r="AB525" i="3"/>
  <c r="AC525" i="3" s="1"/>
  <c r="AB526" i="3"/>
  <c r="AC526" i="3" s="1"/>
  <c r="AB527" i="3"/>
  <c r="AC527" i="3" s="1"/>
  <c r="AB528" i="3"/>
  <c r="AC528" i="3" s="1"/>
  <c r="AB529" i="3"/>
  <c r="AC529" i="3" s="1"/>
  <c r="AB530" i="3"/>
  <c r="AC530" i="3" s="1"/>
  <c r="AB531" i="3"/>
  <c r="AC531" i="3" s="1"/>
  <c r="AB532" i="3"/>
  <c r="AC532" i="3" s="1"/>
  <c r="AB533" i="3"/>
  <c r="AC533" i="3" s="1"/>
  <c r="AB534" i="3"/>
  <c r="AC534" i="3" s="1"/>
  <c r="AB535" i="3"/>
  <c r="AC535" i="3" s="1"/>
  <c r="AB536" i="3"/>
  <c r="AC536" i="3" s="1"/>
  <c r="AB537" i="3"/>
  <c r="AC537" i="3" s="1"/>
  <c r="AB538" i="3"/>
  <c r="AC538" i="3" s="1"/>
  <c r="AB539" i="3"/>
  <c r="AC539" i="3" s="1"/>
  <c r="AB540" i="3"/>
  <c r="AC540" i="3" s="1"/>
  <c r="AB541" i="3"/>
  <c r="AC541" i="3" s="1"/>
  <c r="AB542" i="3"/>
  <c r="AC542" i="3" s="1"/>
  <c r="AB543" i="3"/>
  <c r="AC543" i="3" s="1"/>
  <c r="AB544" i="3"/>
  <c r="AC544" i="3" s="1"/>
  <c r="AB545" i="3"/>
  <c r="AC545" i="3" s="1"/>
  <c r="AB546" i="3"/>
  <c r="AC546" i="3" s="1"/>
  <c r="AB547" i="3"/>
  <c r="AC547" i="3" s="1"/>
  <c r="AB548" i="3"/>
  <c r="AC548" i="3" s="1"/>
  <c r="AB549" i="3"/>
  <c r="AC549" i="3" s="1"/>
  <c r="AB550" i="3"/>
  <c r="AC550" i="3" s="1"/>
  <c r="AB551" i="3"/>
  <c r="AC551" i="3" s="1"/>
  <c r="AB552" i="3"/>
  <c r="AC552" i="3" s="1"/>
  <c r="AB553" i="3"/>
  <c r="AC553" i="3" s="1"/>
  <c r="AB554" i="3"/>
  <c r="AC554" i="3" s="1"/>
  <c r="AB555" i="3"/>
  <c r="AC555" i="3" s="1"/>
  <c r="AB556" i="3"/>
  <c r="AC556" i="3" s="1"/>
  <c r="AB557" i="3"/>
  <c r="AC557" i="3" s="1"/>
  <c r="AB558" i="3"/>
  <c r="AC558" i="3" s="1"/>
  <c r="AB559" i="3"/>
  <c r="AC559" i="3" s="1"/>
  <c r="AB560" i="3"/>
  <c r="AC560" i="3" s="1"/>
  <c r="AB561" i="3"/>
  <c r="AC561" i="3" s="1"/>
  <c r="AB562" i="3"/>
  <c r="AC562" i="3" s="1"/>
  <c r="AB563" i="3"/>
  <c r="AC563" i="3" s="1"/>
  <c r="AB564" i="3"/>
  <c r="AC564" i="3" s="1"/>
  <c r="AB565" i="3"/>
  <c r="AC565" i="3" s="1"/>
  <c r="AB566" i="3"/>
  <c r="AC566" i="3" s="1"/>
  <c r="AB567" i="3"/>
  <c r="AC567" i="3" s="1"/>
  <c r="AB568" i="3"/>
  <c r="AC568" i="3" s="1"/>
  <c r="AB569" i="3"/>
  <c r="AC569" i="3" s="1"/>
  <c r="AB570" i="3"/>
  <c r="AC570" i="3" s="1"/>
  <c r="AB571" i="3"/>
  <c r="AC571" i="3" s="1"/>
  <c r="AB572" i="3"/>
  <c r="AC572" i="3" s="1"/>
  <c r="AB573" i="3"/>
  <c r="AC573" i="3" s="1"/>
  <c r="AB574" i="3"/>
  <c r="AC574" i="3" s="1"/>
  <c r="AB575" i="3"/>
  <c r="AC575" i="3" s="1"/>
  <c r="AB576" i="3"/>
  <c r="AC576" i="3" s="1"/>
  <c r="AB577" i="3"/>
  <c r="AC577" i="3" s="1"/>
  <c r="AB578" i="3"/>
  <c r="AC578" i="3" s="1"/>
  <c r="AB579" i="3"/>
  <c r="AC579" i="3" s="1"/>
  <c r="AB580" i="3"/>
  <c r="AC580" i="3" s="1"/>
  <c r="AB581" i="3"/>
  <c r="AC581" i="3" s="1"/>
  <c r="AB582" i="3"/>
  <c r="AC582" i="3" s="1"/>
  <c r="AB583" i="3"/>
  <c r="AC583" i="3" s="1"/>
  <c r="AB584" i="3"/>
  <c r="AC584" i="3" s="1"/>
  <c r="AB585" i="3"/>
  <c r="AC585" i="3" s="1"/>
  <c r="AB586" i="3"/>
  <c r="AC586" i="3" s="1"/>
  <c r="AB587" i="3"/>
  <c r="AC587" i="3" s="1"/>
  <c r="AB588" i="3"/>
  <c r="AC588" i="3" s="1"/>
  <c r="AB589" i="3"/>
  <c r="AC589" i="3" s="1"/>
  <c r="AB590" i="3"/>
  <c r="AC590" i="3" s="1"/>
  <c r="AB591" i="3"/>
  <c r="AC591" i="3" s="1"/>
  <c r="AB592" i="3"/>
  <c r="AC592" i="3" s="1"/>
  <c r="AB593" i="3"/>
  <c r="AC593" i="3" s="1"/>
  <c r="AB594" i="3"/>
  <c r="AC594" i="3" s="1"/>
  <c r="AB595" i="3"/>
  <c r="AC595" i="3" s="1"/>
  <c r="AB596" i="3"/>
  <c r="AC596" i="3" s="1"/>
  <c r="AB597" i="3"/>
  <c r="AC597" i="3" s="1"/>
  <c r="AB598" i="3"/>
  <c r="AC598" i="3" s="1"/>
  <c r="AB599" i="3"/>
  <c r="AC599" i="3" s="1"/>
  <c r="AB600" i="3"/>
  <c r="AC600" i="3" s="1"/>
  <c r="AB601" i="3"/>
  <c r="AC601" i="3" s="1"/>
  <c r="AB602" i="3"/>
  <c r="AC602" i="3" s="1"/>
  <c r="AB603" i="3"/>
  <c r="AC603" i="3" s="1"/>
  <c r="AB604" i="3"/>
  <c r="AC604" i="3" s="1"/>
  <c r="AB605" i="3"/>
  <c r="AC605" i="3" s="1"/>
  <c r="AB606" i="3"/>
  <c r="AC606" i="3" s="1"/>
  <c r="AB607" i="3"/>
  <c r="AC607" i="3" s="1"/>
  <c r="AB608" i="3"/>
  <c r="AC608" i="3" s="1"/>
  <c r="AB609" i="3"/>
  <c r="AC609" i="3" s="1"/>
  <c r="AB610" i="3"/>
  <c r="AC610" i="3" s="1"/>
  <c r="AB611" i="3"/>
  <c r="AC611" i="3" s="1"/>
  <c r="AB612" i="3"/>
  <c r="AC612" i="3" s="1"/>
  <c r="AB613" i="3"/>
  <c r="AC613" i="3" s="1"/>
  <c r="AB614" i="3"/>
  <c r="AC614" i="3" s="1"/>
  <c r="AB615" i="3"/>
  <c r="AC615" i="3" s="1"/>
  <c r="AB616" i="3"/>
  <c r="AC616" i="3" s="1"/>
  <c r="AB617" i="3"/>
  <c r="AC617" i="3" s="1"/>
  <c r="AB618" i="3"/>
  <c r="AC618" i="3" s="1"/>
  <c r="AB619" i="3"/>
  <c r="AC619" i="3" s="1"/>
  <c r="AB620" i="3"/>
  <c r="AC620" i="3" s="1"/>
  <c r="AB621" i="3"/>
  <c r="AC621" i="3" s="1"/>
  <c r="AB622" i="3"/>
  <c r="AC622" i="3" s="1"/>
  <c r="AB623" i="3"/>
  <c r="AC623" i="3" s="1"/>
  <c r="AB624" i="3"/>
  <c r="AC624" i="3" s="1"/>
  <c r="AB625" i="3"/>
  <c r="AC625" i="3" s="1"/>
  <c r="AB626" i="3"/>
  <c r="AC626" i="3" s="1"/>
  <c r="AB627" i="3"/>
  <c r="AC627" i="3" s="1"/>
  <c r="AB628" i="3"/>
  <c r="AC628" i="3" s="1"/>
  <c r="AB629" i="3"/>
  <c r="AC629" i="3" s="1"/>
  <c r="AB630" i="3"/>
  <c r="AC630" i="3" s="1"/>
  <c r="AB631" i="3"/>
  <c r="AC631" i="3" s="1"/>
  <c r="AB632" i="3"/>
  <c r="AC632" i="3" s="1"/>
  <c r="AB633" i="3"/>
  <c r="AC633" i="3" s="1"/>
  <c r="AB634" i="3"/>
  <c r="AC634" i="3" s="1"/>
  <c r="AB635" i="3"/>
  <c r="AC635" i="3" s="1"/>
  <c r="AB636" i="3"/>
  <c r="AC636" i="3" s="1"/>
  <c r="AB637" i="3"/>
  <c r="AC637" i="3" s="1"/>
  <c r="AB638" i="3"/>
  <c r="AC638" i="3" s="1"/>
  <c r="AB639" i="3"/>
  <c r="AC639" i="3" s="1"/>
  <c r="AB640" i="3"/>
  <c r="AC640" i="3" s="1"/>
  <c r="AB641" i="3"/>
  <c r="AC641" i="3" s="1"/>
  <c r="AB642" i="3"/>
  <c r="AC642" i="3" s="1"/>
  <c r="AB643" i="3"/>
  <c r="AC643" i="3" s="1"/>
  <c r="AB644" i="3"/>
  <c r="AC644" i="3" s="1"/>
  <c r="AB645" i="3"/>
  <c r="AC645" i="3" s="1"/>
  <c r="AB646" i="3"/>
  <c r="AC646" i="3" s="1"/>
  <c r="AB647" i="3"/>
  <c r="AC647" i="3" s="1"/>
  <c r="AB648" i="3"/>
  <c r="AC648" i="3" s="1"/>
  <c r="AB649" i="3"/>
  <c r="AC649" i="3" s="1"/>
  <c r="AB650" i="3"/>
  <c r="AC650" i="3" s="1"/>
  <c r="AB651" i="3"/>
  <c r="AC651" i="3" s="1"/>
  <c r="AB652" i="3"/>
  <c r="AC652" i="3" s="1"/>
  <c r="AB653" i="3"/>
  <c r="AC653" i="3" s="1"/>
  <c r="AB654" i="3"/>
  <c r="AC654" i="3" s="1"/>
  <c r="AB655" i="3"/>
  <c r="AC655" i="3" s="1"/>
  <c r="AB656" i="3"/>
  <c r="AC656" i="3" s="1"/>
  <c r="AB657" i="3"/>
  <c r="AC657" i="3" s="1"/>
  <c r="AB658" i="3"/>
  <c r="AC658" i="3" s="1"/>
  <c r="AB659" i="3"/>
  <c r="AC659" i="3" s="1"/>
  <c r="AB660" i="3"/>
  <c r="AC660" i="3" s="1"/>
  <c r="AB661" i="3"/>
  <c r="AC661" i="3" s="1"/>
  <c r="AB662" i="3"/>
  <c r="AC662" i="3" s="1"/>
  <c r="AB663" i="3"/>
  <c r="AC663" i="3" s="1"/>
  <c r="AB664" i="3"/>
  <c r="AC664" i="3" s="1"/>
  <c r="AB665" i="3"/>
  <c r="AC665" i="3" s="1"/>
  <c r="AB666" i="3"/>
  <c r="AC666" i="3" s="1"/>
  <c r="AB667" i="3"/>
  <c r="AC667" i="3" s="1"/>
  <c r="AB668" i="3"/>
  <c r="AC668" i="3" s="1"/>
  <c r="AB669" i="3"/>
  <c r="AC669" i="3" s="1"/>
  <c r="AB670" i="3"/>
  <c r="AC670" i="3" s="1"/>
  <c r="AB671" i="3"/>
  <c r="AC671" i="3" s="1"/>
  <c r="AB672" i="3"/>
  <c r="AC672" i="3" s="1"/>
  <c r="AB673" i="3"/>
  <c r="AC673" i="3" s="1"/>
  <c r="AB674" i="3"/>
  <c r="AC674" i="3" s="1"/>
  <c r="AB675" i="3"/>
  <c r="AC675" i="3" s="1"/>
  <c r="AB676" i="3"/>
  <c r="AC676" i="3" s="1"/>
  <c r="AB677" i="3"/>
  <c r="AC677" i="3" s="1"/>
  <c r="AB678" i="3"/>
  <c r="AC678" i="3" s="1"/>
  <c r="AB679" i="3"/>
  <c r="AC679" i="3" s="1"/>
  <c r="AB680" i="3"/>
  <c r="AC680" i="3" s="1"/>
  <c r="AB681" i="3"/>
  <c r="AC681" i="3" s="1"/>
  <c r="AB682" i="3"/>
  <c r="AC682" i="3" s="1"/>
  <c r="AB683" i="3"/>
  <c r="AC683" i="3" s="1"/>
  <c r="AB684" i="3"/>
  <c r="AC684" i="3" s="1"/>
  <c r="AB685" i="3"/>
  <c r="AC685" i="3" s="1"/>
  <c r="AB686" i="3"/>
  <c r="AC686" i="3" s="1"/>
  <c r="AB687" i="3"/>
  <c r="AC687" i="3" s="1"/>
  <c r="AB688" i="3"/>
  <c r="AC688" i="3" s="1"/>
  <c r="AB689" i="3"/>
  <c r="AC689" i="3" s="1"/>
  <c r="AB690" i="3"/>
  <c r="AC690" i="3" s="1"/>
  <c r="AB691" i="3"/>
  <c r="AC691" i="3" s="1"/>
  <c r="AB692" i="3"/>
  <c r="AC692" i="3" s="1"/>
  <c r="AB693" i="3"/>
  <c r="AC693" i="3" s="1"/>
  <c r="AB694" i="3"/>
  <c r="AC694" i="3" s="1"/>
  <c r="AB695" i="3"/>
  <c r="AC695" i="3" s="1"/>
  <c r="AB696" i="3"/>
  <c r="AC696" i="3" s="1"/>
  <c r="AB697" i="3"/>
  <c r="AC697" i="3" s="1"/>
  <c r="AB698" i="3"/>
  <c r="AC698" i="3" s="1"/>
  <c r="AB699" i="3"/>
  <c r="AC699" i="3" s="1"/>
  <c r="AB700" i="3"/>
  <c r="AC700" i="3" s="1"/>
  <c r="AB701" i="3"/>
  <c r="AC701" i="3" s="1"/>
  <c r="AB702" i="3"/>
  <c r="AC702" i="3" s="1"/>
  <c r="AB703" i="3"/>
  <c r="AC703" i="3" s="1"/>
  <c r="AB704" i="3"/>
  <c r="AC704" i="3" s="1"/>
  <c r="AB705" i="3"/>
  <c r="AC705" i="3" s="1"/>
  <c r="AB706" i="3"/>
  <c r="AC706" i="3" s="1"/>
  <c r="AB707" i="3"/>
  <c r="AC707" i="3" s="1"/>
  <c r="AB708" i="3"/>
  <c r="AC708" i="3" s="1"/>
  <c r="AB709" i="3"/>
  <c r="AC709" i="3" s="1"/>
  <c r="AB710" i="3"/>
  <c r="AC710" i="3" s="1"/>
  <c r="AB711" i="3"/>
  <c r="AC711" i="3" s="1"/>
  <c r="AB712" i="3"/>
  <c r="AC712" i="3" s="1"/>
  <c r="AB713" i="3"/>
  <c r="AC713" i="3" s="1"/>
  <c r="AB714" i="3"/>
  <c r="AC714" i="3" s="1"/>
  <c r="AB715" i="3"/>
  <c r="AC715" i="3" s="1"/>
  <c r="AB716" i="3"/>
  <c r="AC716" i="3" s="1"/>
  <c r="AB717" i="3"/>
  <c r="AC717" i="3" s="1"/>
  <c r="AB718" i="3"/>
  <c r="AC718" i="3" s="1"/>
  <c r="AB719" i="3"/>
  <c r="AC719" i="3" s="1"/>
  <c r="AB720" i="3"/>
  <c r="AC720" i="3" s="1"/>
  <c r="AB721" i="3"/>
  <c r="AC721" i="3" s="1"/>
  <c r="AB722" i="3"/>
  <c r="AC722" i="3" s="1"/>
  <c r="AB723" i="3"/>
  <c r="AC723" i="3" s="1"/>
  <c r="AB724" i="3"/>
  <c r="AC724" i="3" s="1"/>
  <c r="AB725" i="3"/>
  <c r="AC725" i="3" s="1"/>
  <c r="AB726" i="3"/>
  <c r="AC726" i="3" s="1"/>
  <c r="AB727" i="3"/>
  <c r="AC727" i="3" s="1"/>
  <c r="AB728" i="3"/>
  <c r="AC728" i="3" s="1"/>
  <c r="AB729" i="3"/>
  <c r="AC729" i="3" s="1"/>
  <c r="AB730" i="3"/>
  <c r="AC730" i="3" s="1"/>
  <c r="AB731" i="3"/>
  <c r="AC731" i="3" s="1"/>
  <c r="AB732" i="3"/>
  <c r="AC732" i="3" s="1"/>
  <c r="AB733" i="3"/>
  <c r="AC733" i="3" s="1"/>
  <c r="AB734" i="3"/>
  <c r="AC734" i="3" s="1"/>
  <c r="AB735" i="3"/>
  <c r="AC735" i="3" s="1"/>
  <c r="AB736" i="3"/>
  <c r="AC736" i="3" s="1"/>
  <c r="AB737" i="3"/>
  <c r="AC737" i="3" s="1"/>
  <c r="AB738" i="3"/>
  <c r="AC738" i="3" s="1"/>
  <c r="AB739" i="3"/>
  <c r="AC739" i="3" s="1"/>
  <c r="AB740" i="3"/>
  <c r="AC740" i="3" s="1"/>
  <c r="AB741" i="3"/>
  <c r="AC741" i="3" s="1"/>
  <c r="AB742" i="3"/>
  <c r="AC742" i="3" s="1"/>
  <c r="AB743" i="3"/>
  <c r="AC743" i="3" s="1"/>
  <c r="AB744" i="3"/>
  <c r="AC744" i="3" s="1"/>
  <c r="AB745" i="3"/>
  <c r="AC745" i="3" s="1"/>
  <c r="AB746" i="3"/>
  <c r="AC746" i="3" s="1"/>
  <c r="AB747" i="3"/>
  <c r="AC747" i="3" s="1"/>
  <c r="AB748" i="3"/>
  <c r="AC748" i="3" s="1"/>
  <c r="AB749" i="3"/>
  <c r="AC749" i="3" s="1"/>
  <c r="AB750" i="3"/>
  <c r="AC750" i="3" s="1"/>
  <c r="AB751" i="3"/>
  <c r="AC751" i="3" s="1"/>
  <c r="AB752" i="3"/>
  <c r="AC752" i="3" s="1"/>
  <c r="AB753" i="3"/>
  <c r="AC753" i="3" s="1"/>
  <c r="AB754" i="3"/>
  <c r="AC754" i="3" s="1"/>
  <c r="AB755" i="3"/>
  <c r="AC755" i="3" s="1"/>
  <c r="AB756" i="3"/>
  <c r="AC756" i="3" s="1"/>
  <c r="AB757" i="3"/>
  <c r="AC757" i="3" s="1"/>
  <c r="AB758" i="3"/>
  <c r="AC758" i="3" s="1"/>
  <c r="AB759" i="3"/>
  <c r="AC759" i="3" s="1"/>
  <c r="AB760" i="3"/>
  <c r="AC760" i="3" s="1"/>
  <c r="AB761" i="3"/>
  <c r="AC761" i="3" s="1"/>
  <c r="AB762" i="3"/>
  <c r="AC762" i="3" s="1"/>
  <c r="AB763" i="3"/>
  <c r="AC763" i="3" s="1"/>
  <c r="AB764" i="3"/>
  <c r="AC764" i="3" s="1"/>
  <c r="AB765" i="3"/>
  <c r="AC765" i="3" s="1"/>
  <c r="AB766" i="3"/>
  <c r="AC766" i="3" s="1"/>
  <c r="AB767" i="3"/>
  <c r="AC767" i="3" s="1"/>
  <c r="AB768" i="3"/>
  <c r="AC768" i="3" s="1"/>
  <c r="AB769" i="3"/>
  <c r="AC769" i="3" s="1"/>
  <c r="AB770" i="3"/>
  <c r="AC770" i="3" s="1"/>
  <c r="AB771" i="3"/>
  <c r="AC771" i="3" s="1"/>
  <c r="AB772" i="3"/>
  <c r="AC772" i="3" s="1"/>
  <c r="AB773" i="3"/>
  <c r="AC773" i="3" s="1"/>
  <c r="AB774" i="3"/>
  <c r="AC774" i="3" s="1"/>
  <c r="AB775" i="3"/>
  <c r="AC775" i="3" s="1"/>
  <c r="AB776" i="3"/>
  <c r="AC776" i="3" s="1"/>
  <c r="AB777" i="3"/>
  <c r="AC777" i="3" s="1"/>
  <c r="AB778" i="3"/>
  <c r="AC778" i="3" s="1"/>
  <c r="AB779" i="3"/>
  <c r="AC779" i="3" s="1"/>
  <c r="AB780" i="3"/>
  <c r="AC780" i="3" s="1"/>
  <c r="AB781" i="3"/>
  <c r="AC781" i="3" s="1"/>
  <c r="AB782" i="3"/>
  <c r="AC782" i="3" s="1"/>
  <c r="AB783" i="3"/>
  <c r="AC783" i="3" s="1"/>
  <c r="AB784" i="3"/>
  <c r="AC784" i="3" s="1"/>
  <c r="AB785" i="3"/>
  <c r="AC785" i="3" s="1"/>
  <c r="AB786" i="3"/>
  <c r="AC786" i="3" s="1"/>
  <c r="AB787" i="3"/>
  <c r="AC787" i="3" s="1"/>
  <c r="AB788" i="3"/>
  <c r="AC788" i="3" s="1"/>
  <c r="AB789" i="3"/>
  <c r="AC789" i="3" s="1"/>
  <c r="AB790" i="3"/>
  <c r="AC790" i="3" s="1"/>
  <c r="AB791" i="3"/>
  <c r="AC791" i="3" s="1"/>
  <c r="AB792" i="3"/>
  <c r="AC792" i="3" s="1"/>
  <c r="AB793" i="3"/>
  <c r="AC793" i="3" s="1"/>
  <c r="AB794" i="3"/>
  <c r="AC794" i="3" s="1"/>
  <c r="AB795" i="3"/>
  <c r="AC795" i="3" s="1"/>
  <c r="AB796" i="3"/>
  <c r="AC796" i="3" s="1"/>
  <c r="AB797" i="3"/>
  <c r="AC797" i="3" s="1"/>
  <c r="AB798" i="3"/>
  <c r="AC798" i="3" s="1"/>
  <c r="AB799" i="3"/>
  <c r="AC799" i="3" s="1"/>
  <c r="AB800" i="3"/>
  <c r="AC800" i="3" s="1"/>
  <c r="AB801" i="3"/>
  <c r="AC801" i="3" s="1"/>
  <c r="AB802" i="3"/>
  <c r="AC802" i="3" s="1"/>
  <c r="AB803" i="3"/>
  <c r="AC803" i="3" s="1"/>
  <c r="AB804" i="3"/>
  <c r="AC804" i="3" s="1"/>
  <c r="AB805" i="3"/>
  <c r="AC805" i="3" s="1"/>
  <c r="AB806" i="3"/>
  <c r="AC806" i="3" s="1"/>
  <c r="AB807" i="3"/>
  <c r="AC807" i="3" s="1"/>
  <c r="AB808" i="3"/>
  <c r="AC808" i="3" s="1"/>
  <c r="AB809" i="3"/>
  <c r="AC809" i="3" s="1"/>
  <c r="AB810" i="3"/>
  <c r="AC810" i="3" s="1"/>
  <c r="AB811" i="3"/>
  <c r="AC811" i="3" s="1"/>
  <c r="AB812" i="3"/>
  <c r="AC812" i="3" s="1"/>
  <c r="AB813" i="3"/>
  <c r="AC813" i="3" s="1"/>
  <c r="AB814" i="3"/>
  <c r="AC814" i="3" s="1"/>
  <c r="AB815" i="3"/>
  <c r="AC815" i="3" s="1"/>
  <c r="AB816" i="3"/>
  <c r="AC816" i="3" s="1"/>
  <c r="AB817" i="3"/>
  <c r="AC817" i="3" s="1"/>
  <c r="AB818" i="3"/>
  <c r="AC818" i="3" s="1"/>
  <c r="AB819" i="3"/>
  <c r="AC819" i="3" s="1"/>
  <c r="AB820" i="3"/>
  <c r="AC820" i="3" s="1"/>
  <c r="AB821" i="3"/>
  <c r="AC821" i="3" s="1"/>
  <c r="AB822" i="3"/>
  <c r="AC822" i="3" s="1"/>
  <c r="AB823" i="3"/>
  <c r="AC823" i="3" s="1"/>
  <c r="AB824" i="3"/>
  <c r="AC824" i="3" s="1"/>
  <c r="AB825" i="3"/>
  <c r="AC825" i="3" s="1"/>
  <c r="AB826" i="3"/>
  <c r="AC826" i="3" s="1"/>
  <c r="AB827" i="3"/>
  <c r="AC827" i="3" s="1"/>
  <c r="AB828" i="3"/>
  <c r="AC828" i="3" s="1"/>
  <c r="AB829" i="3"/>
  <c r="AC829" i="3" s="1"/>
  <c r="AB830" i="3"/>
  <c r="AC830" i="3" s="1"/>
  <c r="AB831" i="3"/>
  <c r="AC831" i="3" s="1"/>
  <c r="AB832" i="3"/>
  <c r="AC832" i="3" s="1"/>
  <c r="AB833" i="3"/>
  <c r="AC833" i="3" s="1"/>
  <c r="AB834" i="3"/>
  <c r="AC834" i="3" s="1"/>
  <c r="AB835" i="3"/>
  <c r="AC835" i="3" s="1"/>
  <c r="AB836" i="3"/>
  <c r="AC836" i="3" s="1"/>
  <c r="AB837" i="3"/>
  <c r="AC837" i="3" s="1"/>
  <c r="AB838" i="3"/>
  <c r="AC838" i="3" s="1"/>
  <c r="AB839" i="3"/>
  <c r="AC839" i="3" s="1"/>
  <c r="AB840" i="3"/>
  <c r="AC840" i="3" s="1"/>
  <c r="AB841" i="3"/>
  <c r="AC841" i="3" s="1"/>
  <c r="AB842" i="3"/>
  <c r="AC842" i="3" s="1"/>
  <c r="AB843" i="3"/>
  <c r="AC843" i="3" s="1"/>
  <c r="AB844" i="3"/>
  <c r="AC844" i="3" s="1"/>
  <c r="AB845" i="3"/>
  <c r="AC845" i="3" s="1"/>
  <c r="AB846" i="3"/>
  <c r="AC846" i="3" s="1"/>
  <c r="AB847" i="3"/>
  <c r="AC847" i="3" s="1"/>
  <c r="AB848" i="3"/>
  <c r="AC848" i="3" s="1"/>
  <c r="AB849" i="3"/>
  <c r="AC849" i="3" s="1"/>
  <c r="AB850" i="3"/>
  <c r="AC850" i="3" s="1"/>
  <c r="AB851" i="3"/>
  <c r="AC851" i="3" s="1"/>
  <c r="AB852" i="3"/>
  <c r="AC852" i="3" s="1"/>
  <c r="AB853" i="3"/>
  <c r="AC853" i="3" s="1"/>
  <c r="AB854" i="3"/>
  <c r="AC854" i="3" s="1"/>
  <c r="AB855" i="3"/>
  <c r="AC855" i="3" s="1"/>
  <c r="AB856" i="3"/>
  <c r="AC856" i="3" s="1"/>
  <c r="AB857" i="3"/>
  <c r="AC857" i="3" s="1"/>
  <c r="AB858" i="3"/>
  <c r="AC858" i="3" s="1"/>
  <c r="AB859" i="3"/>
  <c r="AC859" i="3" s="1"/>
  <c r="AB860" i="3"/>
  <c r="AC860" i="3" s="1"/>
  <c r="AB861" i="3"/>
  <c r="AC861" i="3" s="1"/>
  <c r="AB862" i="3"/>
  <c r="AC862" i="3" s="1"/>
  <c r="AB863" i="3"/>
  <c r="AC863" i="3" s="1"/>
  <c r="AB864" i="3"/>
  <c r="AC864" i="3" s="1"/>
  <c r="AB865" i="3"/>
  <c r="AC865" i="3" s="1"/>
  <c r="AB866" i="3"/>
  <c r="AC866" i="3" s="1"/>
  <c r="AB867" i="3"/>
  <c r="AC867" i="3" s="1"/>
  <c r="AB868" i="3"/>
  <c r="AC868" i="3" s="1"/>
  <c r="AB869" i="3"/>
  <c r="AC869" i="3" s="1"/>
  <c r="AB870" i="3"/>
  <c r="AC870" i="3" s="1"/>
  <c r="AB871" i="3"/>
  <c r="AC871" i="3" s="1"/>
  <c r="AB872" i="3"/>
  <c r="AC872" i="3" s="1"/>
  <c r="AB873" i="3"/>
  <c r="AC873" i="3" s="1"/>
  <c r="AB874" i="3"/>
  <c r="AC874" i="3" s="1"/>
  <c r="AB875" i="3"/>
  <c r="AC875" i="3" s="1"/>
  <c r="AB876" i="3"/>
  <c r="AC876" i="3" s="1"/>
  <c r="AB877" i="3"/>
  <c r="AC877" i="3" s="1"/>
  <c r="AB878" i="3"/>
  <c r="AC878" i="3" s="1"/>
  <c r="AB879" i="3"/>
  <c r="AC879" i="3" s="1"/>
  <c r="AB880" i="3"/>
  <c r="AC880" i="3" s="1"/>
  <c r="AB881" i="3"/>
  <c r="AC881" i="3" s="1"/>
  <c r="AB882" i="3"/>
  <c r="AC882" i="3" s="1"/>
  <c r="AB883" i="3"/>
  <c r="AC883" i="3" s="1"/>
  <c r="AB884" i="3"/>
  <c r="AC884" i="3" s="1"/>
  <c r="AB885" i="3"/>
  <c r="AC885" i="3" s="1"/>
  <c r="AB886" i="3"/>
  <c r="AC886" i="3" s="1"/>
  <c r="AB887" i="3"/>
  <c r="AC887" i="3" s="1"/>
  <c r="AB888" i="3"/>
  <c r="AC888" i="3" s="1"/>
  <c r="AB889" i="3"/>
  <c r="AC889" i="3" s="1"/>
  <c r="AB890" i="3"/>
  <c r="AC890" i="3" s="1"/>
  <c r="AB891" i="3"/>
  <c r="AC891" i="3" s="1"/>
  <c r="AB892" i="3"/>
  <c r="AC892" i="3" s="1"/>
  <c r="AB893" i="3"/>
  <c r="AC893" i="3" s="1"/>
  <c r="AB894" i="3"/>
  <c r="AC894" i="3" s="1"/>
  <c r="AB895" i="3"/>
  <c r="AC895" i="3" s="1"/>
  <c r="AB896" i="3"/>
  <c r="AC896" i="3" s="1"/>
  <c r="AB897" i="3"/>
  <c r="AC897" i="3" s="1"/>
  <c r="AB898" i="3"/>
  <c r="AC898" i="3" s="1"/>
  <c r="AB899" i="3"/>
  <c r="AC899" i="3" s="1"/>
  <c r="AB900" i="3"/>
  <c r="AC900" i="3" s="1"/>
  <c r="AB901" i="3"/>
  <c r="AC901" i="3" s="1"/>
  <c r="AB902" i="3"/>
  <c r="AC902" i="3" s="1"/>
  <c r="AB903" i="3"/>
  <c r="AC903" i="3" s="1"/>
  <c r="AB904" i="3"/>
  <c r="AC904" i="3" s="1"/>
  <c r="AB905" i="3"/>
  <c r="AC905" i="3" s="1"/>
  <c r="AB906" i="3"/>
  <c r="AC906" i="3" s="1"/>
  <c r="AB907" i="3"/>
  <c r="AC907" i="3" s="1"/>
  <c r="AB908" i="3"/>
  <c r="AC908" i="3" s="1"/>
  <c r="AB909" i="3"/>
  <c r="AC909" i="3" s="1"/>
  <c r="AB910" i="3"/>
  <c r="AC910" i="3" s="1"/>
  <c r="AB911" i="3"/>
  <c r="AC911" i="3" s="1"/>
  <c r="AB912" i="3"/>
  <c r="AC912" i="3" s="1"/>
  <c r="AB913" i="3"/>
  <c r="AC913" i="3" s="1"/>
  <c r="AB914" i="3"/>
  <c r="AC914" i="3" s="1"/>
  <c r="AB915" i="3"/>
  <c r="AC915" i="3" s="1"/>
  <c r="AB916" i="3"/>
  <c r="AC916" i="3" s="1"/>
  <c r="AB917" i="3"/>
  <c r="AC917" i="3" s="1"/>
  <c r="AB918" i="3"/>
  <c r="AC918" i="3" s="1"/>
  <c r="AB919" i="3"/>
  <c r="AC919" i="3" s="1"/>
  <c r="AB920" i="3"/>
  <c r="AC920" i="3" s="1"/>
  <c r="AB921" i="3"/>
  <c r="AC921" i="3" s="1"/>
  <c r="AB922" i="3"/>
  <c r="AC922" i="3" s="1"/>
  <c r="AB923" i="3"/>
  <c r="AC923" i="3" s="1"/>
  <c r="AB924" i="3"/>
  <c r="AC924" i="3" s="1"/>
  <c r="AB925" i="3"/>
  <c r="AC925" i="3" s="1"/>
  <c r="AB926" i="3"/>
  <c r="AC926" i="3" s="1"/>
  <c r="AB927" i="3"/>
  <c r="AC927" i="3" s="1"/>
  <c r="AB928" i="3"/>
  <c r="AC928" i="3" s="1"/>
  <c r="AB929" i="3"/>
  <c r="AC929" i="3" s="1"/>
  <c r="AB930" i="3"/>
  <c r="AC930" i="3" s="1"/>
  <c r="AB931" i="3"/>
  <c r="AC931" i="3" s="1"/>
  <c r="AB932" i="3"/>
  <c r="AC932" i="3" s="1"/>
  <c r="AB933" i="3"/>
  <c r="AC933" i="3" s="1"/>
  <c r="AB934" i="3"/>
  <c r="AC934" i="3" s="1"/>
  <c r="AB935" i="3"/>
  <c r="AC935" i="3" s="1"/>
  <c r="AB936" i="3"/>
  <c r="AC936" i="3" s="1"/>
  <c r="AB937" i="3"/>
  <c r="AC937" i="3" s="1"/>
  <c r="AB938" i="3"/>
  <c r="AC938" i="3" s="1"/>
  <c r="AB939" i="3"/>
  <c r="AC939" i="3" s="1"/>
  <c r="AB940" i="3"/>
  <c r="AC940" i="3" s="1"/>
  <c r="AB941" i="3"/>
  <c r="AC941" i="3" s="1"/>
  <c r="AB942" i="3"/>
  <c r="AC942" i="3" s="1"/>
  <c r="AB943" i="3"/>
  <c r="AC943" i="3" s="1"/>
  <c r="AB944" i="3"/>
  <c r="AC944" i="3" s="1"/>
  <c r="AB945" i="3"/>
  <c r="AC945" i="3" s="1"/>
  <c r="AB946" i="3"/>
  <c r="AC946" i="3" s="1"/>
  <c r="AB947" i="3"/>
  <c r="AC947" i="3" s="1"/>
  <c r="AB948" i="3"/>
  <c r="AC948" i="3" s="1"/>
  <c r="AB949" i="3"/>
  <c r="AC949" i="3" s="1"/>
  <c r="AB950" i="3"/>
  <c r="AC950" i="3" s="1"/>
  <c r="AB951" i="3"/>
  <c r="AC951" i="3" s="1"/>
  <c r="AB952" i="3"/>
  <c r="AC952" i="3" s="1"/>
  <c r="AB953" i="3"/>
  <c r="AC953" i="3" s="1"/>
  <c r="AB954" i="3"/>
  <c r="AC954" i="3" s="1"/>
  <c r="AB955" i="3"/>
  <c r="AC955" i="3" s="1"/>
  <c r="AB956" i="3"/>
  <c r="AC956" i="3" s="1"/>
  <c r="AB957" i="3"/>
  <c r="AC957" i="3" s="1"/>
  <c r="AB958" i="3"/>
  <c r="AC958" i="3" s="1"/>
  <c r="AB959" i="3"/>
  <c r="AC959" i="3" s="1"/>
  <c r="AB960" i="3"/>
  <c r="AC960" i="3" s="1"/>
  <c r="AB961" i="3"/>
  <c r="AC961" i="3" s="1"/>
  <c r="AB962" i="3"/>
  <c r="AC962" i="3" s="1"/>
  <c r="AB963" i="3"/>
  <c r="AC963" i="3" s="1"/>
  <c r="AB964" i="3"/>
  <c r="AC964" i="3" s="1"/>
  <c r="AB965" i="3"/>
  <c r="AC965" i="3" s="1"/>
  <c r="AB966" i="3"/>
  <c r="AC966" i="3" s="1"/>
  <c r="AB967" i="3"/>
  <c r="AC967" i="3" s="1"/>
  <c r="AB968" i="3"/>
  <c r="AC968" i="3" s="1"/>
  <c r="AB969" i="3"/>
  <c r="AC969" i="3" s="1"/>
  <c r="AB970" i="3"/>
  <c r="AC970" i="3" s="1"/>
  <c r="AB971" i="3"/>
  <c r="AC971" i="3" s="1"/>
  <c r="AB972" i="3"/>
  <c r="AC972" i="3" s="1"/>
  <c r="AB973" i="3"/>
  <c r="AC973" i="3" s="1"/>
  <c r="AB974" i="3"/>
  <c r="AC974" i="3" s="1"/>
  <c r="AB975" i="3"/>
  <c r="AC975" i="3" s="1"/>
  <c r="AB976" i="3"/>
  <c r="AC976" i="3" s="1"/>
  <c r="AB977" i="3"/>
  <c r="AC977" i="3" s="1"/>
  <c r="AB978" i="3"/>
  <c r="AC978" i="3" s="1"/>
  <c r="AB979" i="3"/>
  <c r="AC979" i="3" s="1"/>
  <c r="AB980" i="3"/>
  <c r="AC980" i="3" s="1"/>
  <c r="AB981" i="3"/>
  <c r="AC981" i="3" s="1"/>
  <c r="AB982" i="3"/>
  <c r="AC982" i="3" s="1"/>
  <c r="AB983" i="3"/>
  <c r="AC983" i="3" s="1"/>
  <c r="AB984" i="3"/>
  <c r="AC984" i="3" s="1"/>
  <c r="AB985" i="3"/>
  <c r="AC985" i="3" s="1"/>
  <c r="AB986" i="3"/>
  <c r="AC986" i="3" s="1"/>
  <c r="AB987" i="3"/>
  <c r="AC987" i="3" s="1"/>
  <c r="AB988" i="3"/>
  <c r="AC988" i="3" s="1"/>
  <c r="AB989" i="3"/>
  <c r="AC989" i="3" s="1"/>
  <c r="AB990" i="3"/>
  <c r="AC990" i="3" s="1"/>
  <c r="AB991" i="3"/>
  <c r="AC991" i="3" s="1"/>
  <c r="AB992" i="3"/>
  <c r="AC992" i="3" s="1"/>
  <c r="AB993" i="3"/>
  <c r="AC993" i="3" s="1"/>
  <c r="AB994" i="3"/>
  <c r="AC994" i="3" s="1"/>
  <c r="AB995" i="3"/>
  <c r="AC995" i="3" s="1"/>
  <c r="AB996" i="3"/>
  <c r="AC996" i="3" s="1"/>
  <c r="AB997" i="3"/>
  <c r="AC997" i="3" s="1"/>
  <c r="AB998" i="3"/>
  <c r="AC998" i="3" s="1"/>
  <c r="AB999" i="3"/>
  <c r="AC999" i="3" s="1"/>
  <c r="AB1000" i="3"/>
  <c r="AC1000" i="3" s="1"/>
  <c r="AB1001" i="3"/>
  <c r="AC1001" i="3" s="1"/>
  <c r="AB1002" i="3"/>
  <c r="AC1002" i="3" s="1"/>
  <c r="AB1003" i="3"/>
  <c r="AC1003" i="3" s="1"/>
  <c r="AB1004" i="3"/>
  <c r="AC1004" i="3" s="1"/>
  <c r="AB1005" i="3"/>
  <c r="AC1005" i="3" s="1"/>
  <c r="AB1006" i="3"/>
  <c r="AC1006" i="3" s="1"/>
  <c r="AB1007" i="3"/>
  <c r="AC1007" i="3" s="1"/>
  <c r="AB1008" i="3"/>
  <c r="AC1008" i="3" s="1"/>
  <c r="AB1009" i="3"/>
  <c r="AC1009" i="3" s="1"/>
  <c r="AB1010" i="3"/>
  <c r="AC1010" i="3" s="1"/>
  <c r="AB1011" i="3"/>
  <c r="AC1011" i="3" s="1"/>
  <c r="AB1012" i="3"/>
  <c r="AC1012" i="3" s="1"/>
  <c r="AB1013" i="3"/>
  <c r="AC1013" i="3" s="1"/>
  <c r="AB1014" i="3"/>
  <c r="AC1014" i="3" s="1"/>
  <c r="AB1015" i="3"/>
  <c r="AC1015" i="3" s="1"/>
  <c r="AB1016" i="3"/>
  <c r="AC1016" i="3" s="1"/>
  <c r="AB1017" i="3"/>
  <c r="AC1017" i="3" s="1"/>
  <c r="AB1018" i="3"/>
  <c r="AC1018" i="3" s="1"/>
  <c r="AB1019" i="3"/>
  <c r="AC1019" i="3" s="1"/>
  <c r="AB1020" i="3"/>
  <c r="AC1020" i="3" s="1"/>
  <c r="AB1021" i="3"/>
  <c r="AC1021" i="3" s="1"/>
  <c r="AB1022" i="3"/>
  <c r="AC1022" i="3" s="1"/>
  <c r="AB1023" i="3"/>
  <c r="AC1023" i="3" s="1"/>
  <c r="AB1024" i="3"/>
  <c r="AC1024" i="3" s="1"/>
  <c r="AB1025" i="3"/>
  <c r="AC1025" i="3" s="1"/>
  <c r="AB1026" i="3"/>
  <c r="AC1026" i="3" s="1"/>
  <c r="AB1027" i="3"/>
  <c r="AC1027" i="3" s="1"/>
  <c r="AB1028" i="3"/>
  <c r="AC1028" i="3" s="1"/>
  <c r="AB1029" i="3"/>
  <c r="AC1029" i="3" s="1"/>
  <c r="AB1030" i="3"/>
  <c r="AC1030" i="3" s="1"/>
  <c r="AB1031" i="3"/>
  <c r="AC1031" i="3" s="1"/>
  <c r="AB1032" i="3"/>
  <c r="AC1032" i="3" s="1"/>
  <c r="AB1033" i="3"/>
  <c r="AC1033" i="3" s="1"/>
  <c r="AB1034" i="3"/>
  <c r="AC1034" i="3" s="1"/>
  <c r="AB1035" i="3"/>
  <c r="AC1035" i="3" s="1"/>
  <c r="AB1036" i="3"/>
  <c r="AC1036" i="3" s="1"/>
  <c r="AB1037" i="3"/>
  <c r="AC1037" i="3" s="1"/>
  <c r="AB1038" i="3"/>
  <c r="AC1038" i="3" s="1"/>
  <c r="AB1039" i="3"/>
  <c r="AC1039" i="3" s="1"/>
  <c r="AB1040" i="3"/>
  <c r="AC1040" i="3" s="1"/>
  <c r="AB1041" i="3"/>
  <c r="AC1041" i="3" s="1"/>
  <c r="AB1042" i="3"/>
  <c r="AC1042" i="3" s="1"/>
  <c r="AB1043" i="3"/>
  <c r="AC1043" i="3" s="1"/>
  <c r="AB1044" i="3"/>
  <c r="AC1044" i="3" s="1"/>
  <c r="AB1045" i="3"/>
  <c r="AC1045" i="3" s="1"/>
  <c r="AB1046" i="3"/>
  <c r="AC1046" i="3" s="1"/>
  <c r="AB1047" i="3"/>
  <c r="AC1047" i="3" s="1"/>
  <c r="AB1048" i="3"/>
  <c r="AC1048" i="3" s="1"/>
  <c r="AB1049" i="3"/>
  <c r="AC1049" i="3" s="1"/>
  <c r="AB1050" i="3"/>
  <c r="AC1050" i="3" s="1"/>
  <c r="AB1051" i="3"/>
  <c r="AC1051" i="3" s="1"/>
  <c r="AB1052" i="3"/>
  <c r="AC1052" i="3" s="1"/>
  <c r="AB1053" i="3"/>
  <c r="AC1053" i="3" s="1"/>
  <c r="AB1054" i="3"/>
  <c r="AC1054" i="3" s="1"/>
  <c r="AB1055" i="3"/>
  <c r="AC1055" i="3" s="1"/>
  <c r="AB1056" i="3"/>
  <c r="AC1056" i="3" s="1"/>
  <c r="AB1057" i="3"/>
  <c r="AC1057" i="3" s="1"/>
  <c r="AB1058" i="3"/>
  <c r="AC1058" i="3" s="1"/>
  <c r="AB1059" i="3"/>
  <c r="AC1059" i="3" s="1"/>
  <c r="AB1060" i="3"/>
  <c r="AC1060" i="3" s="1"/>
  <c r="AB1061" i="3"/>
  <c r="AC1061" i="3" s="1"/>
  <c r="AB1062" i="3"/>
  <c r="AC1062" i="3" s="1"/>
  <c r="AB1063" i="3"/>
  <c r="AC1063" i="3" s="1"/>
  <c r="AB1064" i="3"/>
  <c r="AC1064" i="3" s="1"/>
  <c r="AB1065" i="3"/>
  <c r="AC1065" i="3" s="1"/>
  <c r="AB1066" i="3"/>
  <c r="AC1066" i="3" s="1"/>
  <c r="AB1067" i="3"/>
  <c r="AC1067" i="3" s="1"/>
  <c r="AB1068" i="3"/>
  <c r="AC1068" i="3" s="1"/>
  <c r="AB1069" i="3"/>
  <c r="AC1069" i="3" s="1"/>
  <c r="AB1070" i="3"/>
  <c r="AC1070" i="3" s="1"/>
  <c r="AB1071" i="3"/>
  <c r="AC1071" i="3" s="1"/>
  <c r="AB1072" i="3"/>
  <c r="AC1072" i="3" s="1"/>
  <c r="AB1073" i="3"/>
  <c r="AC1073" i="3" s="1"/>
  <c r="AB1074" i="3"/>
  <c r="AC1074" i="3" s="1"/>
  <c r="AB1075" i="3"/>
  <c r="AC1075" i="3" s="1"/>
  <c r="AB1076" i="3"/>
  <c r="AC1076" i="3" s="1"/>
  <c r="AB1077" i="3"/>
  <c r="AC1077" i="3" s="1"/>
  <c r="AB1078" i="3"/>
  <c r="AC1078" i="3" s="1"/>
  <c r="AB1079" i="3"/>
  <c r="AC1079" i="3" s="1"/>
  <c r="AB1080" i="3"/>
  <c r="AC1080" i="3" s="1"/>
  <c r="AB1081" i="3"/>
  <c r="AC1081" i="3" s="1"/>
  <c r="AB1082" i="3"/>
  <c r="AC1082" i="3" s="1"/>
  <c r="AB1083" i="3"/>
  <c r="AC1083" i="3" s="1"/>
  <c r="AB1084" i="3"/>
  <c r="AC1084" i="3" s="1"/>
  <c r="AB1085" i="3"/>
  <c r="AC1085" i="3" s="1"/>
  <c r="AB1086" i="3"/>
  <c r="AC1086" i="3" s="1"/>
  <c r="AB1087" i="3"/>
  <c r="AC1087" i="3" s="1"/>
  <c r="AB1088" i="3"/>
  <c r="AC1088" i="3" s="1"/>
  <c r="AB1089" i="3"/>
  <c r="AC1089" i="3" s="1"/>
  <c r="AB1090" i="3"/>
  <c r="AC1090" i="3" s="1"/>
  <c r="AB1091" i="3"/>
  <c r="AC1091" i="3" s="1"/>
  <c r="AB1092" i="3"/>
  <c r="AC1092" i="3" s="1"/>
  <c r="AB1093" i="3"/>
  <c r="AC1093" i="3" s="1"/>
  <c r="AB1094" i="3"/>
  <c r="AC1094" i="3" s="1"/>
  <c r="AB1095" i="3"/>
  <c r="AC1095" i="3" s="1"/>
  <c r="AB1096" i="3"/>
  <c r="AC1096" i="3" s="1"/>
  <c r="AB1097" i="3"/>
  <c r="AC1097" i="3" s="1"/>
  <c r="AB1098" i="3"/>
  <c r="AC1098" i="3" s="1"/>
  <c r="AB1099" i="3"/>
  <c r="AC1099" i="3" s="1"/>
  <c r="AB1100" i="3"/>
  <c r="AC1100" i="3" s="1"/>
  <c r="AB1101" i="3"/>
  <c r="AC1101" i="3" s="1"/>
  <c r="AB1102" i="3"/>
  <c r="AC1102" i="3" s="1"/>
  <c r="AB1103" i="3"/>
  <c r="AC1103" i="3" s="1"/>
  <c r="AB1104" i="3"/>
  <c r="AC1104" i="3" s="1"/>
  <c r="AB1105" i="3"/>
  <c r="AC1105" i="3" s="1"/>
  <c r="AB1106" i="3"/>
  <c r="AC1106" i="3" s="1"/>
  <c r="AB1107" i="3"/>
  <c r="AC1107" i="3" s="1"/>
  <c r="AB1108" i="3"/>
  <c r="AC1108" i="3" s="1"/>
  <c r="AB1109" i="3"/>
  <c r="AC1109" i="3" s="1"/>
  <c r="AB1110" i="3"/>
  <c r="AC1110" i="3" s="1"/>
  <c r="AB1111" i="3"/>
  <c r="AC1111" i="3" s="1"/>
  <c r="AB1112" i="3"/>
  <c r="AC1112" i="3" s="1"/>
  <c r="AB1113" i="3"/>
  <c r="AC1113" i="3" s="1"/>
  <c r="AB1114" i="3"/>
  <c r="AC1114" i="3" s="1"/>
  <c r="AB1115" i="3"/>
  <c r="AC1115" i="3" s="1"/>
  <c r="AB1116" i="3"/>
  <c r="AC1116" i="3" s="1"/>
  <c r="AB1117" i="3"/>
  <c r="AC1117" i="3" s="1"/>
  <c r="AB1118" i="3"/>
  <c r="AC1118" i="3" s="1"/>
  <c r="AB1119" i="3"/>
  <c r="AC1119" i="3" s="1"/>
  <c r="AB1120" i="3"/>
  <c r="AC1120" i="3" s="1"/>
  <c r="AB1121" i="3"/>
  <c r="AC1121" i="3" s="1"/>
  <c r="AB1122" i="3"/>
  <c r="AC1122" i="3" s="1"/>
  <c r="AB1123" i="3"/>
  <c r="AC1123" i="3" s="1"/>
  <c r="AB1124" i="3"/>
  <c r="AC1124" i="3" s="1"/>
  <c r="AB1125" i="3"/>
  <c r="AC1125" i="3" s="1"/>
  <c r="AB1126" i="3"/>
  <c r="AC1126" i="3" s="1"/>
  <c r="AB1127" i="3"/>
  <c r="AC1127" i="3" s="1"/>
  <c r="AB1128" i="3"/>
  <c r="AC1128" i="3" s="1"/>
  <c r="AB1129" i="3"/>
  <c r="AC1129" i="3" s="1"/>
  <c r="AB1130" i="3"/>
  <c r="AC1130" i="3" s="1"/>
  <c r="AB1131" i="3"/>
  <c r="AC1131" i="3" s="1"/>
  <c r="AB1132" i="3"/>
  <c r="AC1132" i="3" s="1"/>
  <c r="AB1133" i="3"/>
  <c r="AC1133" i="3" s="1"/>
  <c r="AB1134" i="3"/>
  <c r="AC1134" i="3" s="1"/>
  <c r="AB1135" i="3"/>
  <c r="AC1135" i="3" s="1"/>
  <c r="AB1136" i="3"/>
  <c r="AC1136" i="3" s="1"/>
  <c r="AB1137" i="3"/>
  <c r="AC1137" i="3" s="1"/>
  <c r="AB1138" i="3"/>
  <c r="AC1138" i="3" s="1"/>
  <c r="AB1139" i="3"/>
  <c r="AC1139" i="3" s="1"/>
  <c r="AB1140" i="3"/>
  <c r="AC1140" i="3" s="1"/>
  <c r="AB1141" i="3"/>
  <c r="AC1141" i="3" s="1"/>
  <c r="AB1142" i="3"/>
  <c r="AC1142" i="3" s="1"/>
  <c r="AB1143" i="3"/>
  <c r="AC1143" i="3" s="1"/>
  <c r="AB1144" i="3"/>
  <c r="AC1144" i="3" s="1"/>
  <c r="AB1145" i="3"/>
  <c r="AC1145" i="3" s="1"/>
  <c r="AB1146" i="3"/>
  <c r="AC1146" i="3" s="1"/>
  <c r="AB1147" i="3"/>
  <c r="AC1147" i="3" s="1"/>
  <c r="AB1148" i="3"/>
  <c r="AC1148" i="3" s="1"/>
  <c r="AB1149" i="3"/>
  <c r="AC1149" i="3" s="1"/>
  <c r="AB1150" i="3"/>
  <c r="AC1150" i="3" s="1"/>
  <c r="AB1151" i="3"/>
  <c r="AC1151" i="3" s="1"/>
  <c r="AB1152" i="3"/>
  <c r="AC1152" i="3" s="1"/>
  <c r="AB1153" i="3"/>
  <c r="AC1153" i="3" s="1"/>
  <c r="AB1154" i="3"/>
  <c r="AC1154" i="3" s="1"/>
  <c r="AB1155" i="3"/>
  <c r="AC1155" i="3" s="1"/>
  <c r="AB1156" i="3"/>
  <c r="AC1156" i="3" s="1"/>
  <c r="AB1157" i="3"/>
  <c r="AC1157" i="3" s="1"/>
  <c r="AB1158" i="3"/>
  <c r="AC1158" i="3" s="1"/>
  <c r="AB1159" i="3"/>
  <c r="AC1159" i="3" s="1"/>
  <c r="AB1160" i="3"/>
  <c r="AC1160" i="3" s="1"/>
  <c r="AB1161" i="3"/>
  <c r="AC1161" i="3" s="1"/>
  <c r="AB1162" i="3"/>
  <c r="AC1162" i="3" s="1"/>
  <c r="AB1163" i="3"/>
  <c r="AC1163" i="3" s="1"/>
  <c r="AB1164" i="3"/>
  <c r="AC1164" i="3" s="1"/>
  <c r="AB1165" i="3"/>
  <c r="AC1165" i="3" s="1"/>
  <c r="AB1166" i="3"/>
  <c r="AC1166" i="3" s="1"/>
  <c r="AB1167" i="3"/>
  <c r="AC1167" i="3" s="1"/>
  <c r="AB1168" i="3"/>
  <c r="AC1168" i="3" s="1"/>
  <c r="AB1169" i="3"/>
  <c r="AC1169" i="3" s="1"/>
  <c r="AB1170" i="3"/>
  <c r="AC1170" i="3" s="1"/>
  <c r="AB1171" i="3"/>
  <c r="AC1171" i="3" s="1"/>
  <c r="AB1172" i="3"/>
  <c r="AC1172" i="3" s="1"/>
  <c r="AB1173" i="3"/>
  <c r="AC1173" i="3" s="1"/>
  <c r="AB1174" i="3"/>
  <c r="AC1174" i="3" s="1"/>
  <c r="AB1175" i="3"/>
  <c r="AC1175" i="3" s="1"/>
  <c r="AB1176" i="3"/>
  <c r="AC1176" i="3" s="1"/>
  <c r="AB1177" i="3"/>
  <c r="AC1177" i="3" s="1"/>
  <c r="AB1178" i="3"/>
  <c r="AC1178" i="3" s="1"/>
  <c r="AB1179" i="3"/>
  <c r="AC1179" i="3" s="1"/>
  <c r="AB1180" i="3"/>
  <c r="AC1180" i="3" s="1"/>
  <c r="AB1181" i="3"/>
  <c r="AC1181" i="3" s="1"/>
  <c r="AB1182" i="3"/>
  <c r="AC1182" i="3" s="1"/>
  <c r="AB1183" i="3"/>
  <c r="AC1183" i="3" s="1"/>
  <c r="AB1184" i="3"/>
  <c r="AC1184" i="3" s="1"/>
  <c r="AB1185" i="3"/>
  <c r="AC1185" i="3" s="1"/>
  <c r="AB1186" i="3"/>
  <c r="AC1186" i="3" s="1"/>
  <c r="AB1187" i="3"/>
  <c r="AC1187" i="3" s="1"/>
  <c r="AB1188" i="3"/>
  <c r="AC1188" i="3" s="1"/>
  <c r="AB1189" i="3"/>
  <c r="AC1189" i="3" s="1"/>
  <c r="AB1190" i="3"/>
  <c r="AC1190" i="3" s="1"/>
  <c r="AB1191" i="3"/>
  <c r="AC1191" i="3" s="1"/>
  <c r="AB1192" i="3"/>
  <c r="AC1192" i="3" s="1"/>
  <c r="AB1193" i="3"/>
  <c r="AC1193" i="3" s="1"/>
  <c r="AB1194" i="3"/>
  <c r="AC1194" i="3" s="1"/>
  <c r="AB1195" i="3"/>
  <c r="AC1195" i="3" s="1"/>
  <c r="AB1196" i="3"/>
  <c r="AC1196" i="3" s="1"/>
  <c r="AB1197" i="3"/>
  <c r="AC1197" i="3" s="1"/>
  <c r="AB1198" i="3"/>
  <c r="AC1198" i="3" s="1"/>
  <c r="AB1199" i="3"/>
  <c r="AC1199" i="3" s="1"/>
  <c r="AB1200" i="3"/>
  <c r="AC1200" i="3" s="1"/>
  <c r="AB1201" i="3"/>
  <c r="AC1201" i="3" s="1"/>
  <c r="AB1202" i="3"/>
  <c r="AC1202" i="3" s="1"/>
  <c r="AB1203" i="3"/>
  <c r="AC1203" i="3" s="1"/>
  <c r="AB1204" i="3"/>
  <c r="AC1204" i="3" s="1"/>
  <c r="AB1205" i="3"/>
  <c r="AC1205" i="3" s="1"/>
  <c r="AB1206" i="3"/>
  <c r="AC1206" i="3" s="1"/>
  <c r="AB1207" i="3"/>
  <c r="AC1207" i="3" s="1"/>
  <c r="AB1208" i="3"/>
  <c r="AC1208" i="3" s="1"/>
  <c r="AB1209" i="3"/>
  <c r="AC1209" i="3" s="1"/>
  <c r="AB1210" i="3"/>
  <c r="AC1210" i="3" s="1"/>
  <c r="AB1211" i="3"/>
  <c r="AC1211" i="3" s="1"/>
  <c r="AB1212" i="3"/>
  <c r="AC1212" i="3" s="1"/>
  <c r="AB1213" i="3"/>
  <c r="AC1213" i="3" s="1"/>
  <c r="AB1214" i="3"/>
  <c r="AC1214" i="3" s="1"/>
  <c r="AB1215" i="3"/>
  <c r="AC1215" i="3" s="1"/>
  <c r="AB1216" i="3"/>
  <c r="AC1216" i="3" s="1"/>
  <c r="AB1217" i="3"/>
  <c r="AC1217" i="3" s="1"/>
  <c r="AB1218" i="3"/>
  <c r="AC1218" i="3" s="1"/>
  <c r="AB1219" i="3"/>
  <c r="AC1219" i="3" s="1"/>
  <c r="AB1220" i="3"/>
  <c r="AC1220" i="3" s="1"/>
  <c r="AB1221" i="3"/>
  <c r="AC1221" i="3" s="1"/>
  <c r="AB1222" i="3"/>
  <c r="AC1222" i="3" s="1"/>
  <c r="AB1223" i="3"/>
  <c r="AC1223" i="3" s="1"/>
  <c r="AB1224" i="3"/>
  <c r="AC1224" i="3" s="1"/>
  <c r="AB1225" i="3"/>
  <c r="AC1225" i="3" s="1"/>
  <c r="AB1226" i="3"/>
  <c r="AC1226" i="3" s="1"/>
  <c r="AB1227" i="3"/>
  <c r="AC1227" i="3" s="1"/>
  <c r="AB1228" i="3"/>
  <c r="AC1228" i="3" s="1"/>
  <c r="AB1229" i="3"/>
  <c r="AC1229" i="3" s="1"/>
  <c r="AB1230" i="3"/>
  <c r="AC1230" i="3" s="1"/>
  <c r="AB1231" i="3"/>
  <c r="AC1231" i="3" s="1"/>
  <c r="AB1232" i="3"/>
  <c r="AC1232" i="3" s="1"/>
  <c r="AB1233" i="3"/>
  <c r="AC1233" i="3" s="1"/>
  <c r="AB1234" i="3"/>
  <c r="AC1234" i="3" s="1"/>
  <c r="AB1235" i="3"/>
  <c r="AC1235" i="3" s="1"/>
  <c r="AB1236" i="3"/>
  <c r="AC1236" i="3" s="1"/>
  <c r="AB1237" i="3"/>
  <c r="AC1237" i="3" s="1"/>
  <c r="AB1238" i="3"/>
  <c r="AC1238" i="3" s="1"/>
  <c r="AB1239" i="3"/>
  <c r="AC1239" i="3" s="1"/>
  <c r="AB1240" i="3"/>
  <c r="AC1240" i="3" s="1"/>
  <c r="AB1241" i="3"/>
  <c r="AC1241" i="3" s="1"/>
  <c r="AB1242" i="3"/>
  <c r="AC1242" i="3" s="1"/>
  <c r="AB1243" i="3"/>
  <c r="AC1243" i="3" s="1"/>
  <c r="AB1244" i="3"/>
  <c r="AC1244" i="3" s="1"/>
  <c r="AB1245" i="3"/>
  <c r="AC1245" i="3" s="1"/>
  <c r="AB1246" i="3"/>
  <c r="AC1246" i="3" s="1"/>
  <c r="AB1247" i="3"/>
  <c r="AC1247" i="3" s="1"/>
  <c r="AB1248" i="3"/>
  <c r="AC1248" i="3" s="1"/>
  <c r="AB1249" i="3"/>
  <c r="AC1249" i="3" s="1"/>
  <c r="AB1250" i="3"/>
  <c r="AC1250" i="3" s="1"/>
  <c r="AB1251" i="3"/>
  <c r="AC1251" i="3" s="1"/>
  <c r="AB1252" i="3"/>
  <c r="AC1252" i="3" s="1"/>
  <c r="AB1253" i="3"/>
  <c r="AC1253" i="3" s="1"/>
  <c r="AB1254" i="3"/>
  <c r="AC1254" i="3" s="1"/>
  <c r="AB1255" i="3"/>
  <c r="AC1255" i="3" s="1"/>
  <c r="AB1256" i="3"/>
  <c r="AC1256" i="3" s="1"/>
  <c r="AB1257" i="3"/>
  <c r="AC1257" i="3" s="1"/>
  <c r="AB1258" i="3"/>
  <c r="AC1258" i="3" s="1"/>
  <c r="AB1259" i="3"/>
  <c r="AC1259" i="3" s="1"/>
  <c r="AB1260" i="3"/>
  <c r="AC1260" i="3" s="1"/>
  <c r="AB1261" i="3"/>
  <c r="AC1261" i="3" s="1"/>
  <c r="AB1262" i="3"/>
  <c r="AC1262" i="3" s="1"/>
  <c r="AB1263" i="3"/>
  <c r="AC1263" i="3" s="1"/>
  <c r="AB1264" i="3"/>
  <c r="AC1264" i="3" s="1"/>
  <c r="AB1265" i="3"/>
  <c r="AC1265" i="3" s="1"/>
  <c r="AB1266" i="3"/>
  <c r="AC1266" i="3" s="1"/>
  <c r="AB1267" i="3"/>
  <c r="AC1267" i="3" s="1"/>
  <c r="AB1268" i="3"/>
  <c r="AC1268" i="3" s="1"/>
  <c r="AB1269" i="3"/>
  <c r="AC1269" i="3" s="1"/>
  <c r="AB1270" i="3"/>
  <c r="AC1270" i="3" s="1"/>
  <c r="AB1271" i="3"/>
  <c r="AC1271" i="3" s="1"/>
  <c r="AB1272" i="3"/>
  <c r="AC1272" i="3" s="1"/>
  <c r="AB1273" i="3"/>
  <c r="AC1273" i="3" s="1"/>
  <c r="AB1274" i="3"/>
  <c r="AC1274" i="3" s="1"/>
  <c r="AB1275" i="3"/>
  <c r="AC1275" i="3" s="1"/>
  <c r="AB1276" i="3"/>
  <c r="AC1276" i="3" s="1"/>
  <c r="AB1277" i="3"/>
  <c r="AC1277" i="3" s="1"/>
  <c r="AB1278" i="3"/>
  <c r="AC1278" i="3" s="1"/>
  <c r="AB1279" i="3"/>
  <c r="AC1279" i="3" s="1"/>
  <c r="AB1280" i="3"/>
  <c r="AC1280" i="3" s="1"/>
  <c r="AB1281" i="3"/>
  <c r="AC1281" i="3" s="1"/>
  <c r="AB1282" i="3"/>
  <c r="AC1282" i="3" s="1"/>
  <c r="AB1283" i="3"/>
  <c r="AC1283" i="3" s="1"/>
  <c r="AB1284" i="3"/>
  <c r="AC1284" i="3" s="1"/>
  <c r="AB1285" i="3"/>
  <c r="AC1285" i="3" s="1"/>
  <c r="AB1286" i="3"/>
  <c r="AC1286" i="3" s="1"/>
  <c r="AB1287" i="3"/>
  <c r="AC1287" i="3" s="1"/>
  <c r="AB1288" i="3"/>
  <c r="AC1288" i="3" s="1"/>
  <c r="AB1289" i="3"/>
  <c r="AC1289" i="3" s="1"/>
  <c r="AB1290" i="3"/>
  <c r="AC1290" i="3" s="1"/>
  <c r="AB1291" i="3"/>
  <c r="AC1291" i="3" s="1"/>
  <c r="AB1292" i="3"/>
  <c r="AC1292" i="3" s="1"/>
  <c r="AB1293" i="3"/>
  <c r="AC1293" i="3" s="1"/>
  <c r="AB1294" i="3"/>
  <c r="AC1294" i="3" s="1"/>
  <c r="AB1295" i="3"/>
  <c r="AC1295" i="3" s="1"/>
  <c r="AB1296" i="3"/>
  <c r="AC1296" i="3" s="1"/>
  <c r="AB1297" i="3"/>
  <c r="AC1297" i="3" s="1"/>
  <c r="AB1298" i="3"/>
  <c r="AC1298" i="3" s="1"/>
  <c r="AB1299" i="3"/>
  <c r="AC1299" i="3" s="1"/>
  <c r="AB1300" i="3"/>
  <c r="AC1300" i="3" s="1"/>
  <c r="AB1301" i="3"/>
  <c r="AC1301" i="3" s="1"/>
  <c r="AB1302" i="3"/>
  <c r="AC1302" i="3" s="1"/>
  <c r="AB1303" i="3"/>
  <c r="AC1303" i="3" s="1"/>
  <c r="AB1304" i="3"/>
  <c r="AC1304" i="3" s="1"/>
  <c r="AB1305" i="3"/>
  <c r="AC1305" i="3" s="1"/>
  <c r="AB1306" i="3"/>
  <c r="AC1306" i="3" s="1"/>
  <c r="AB1307" i="3"/>
  <c r="AC1307" i="3" s="1"/>
  <c r="AB1308" i="3"/>
  <c r="AC1308" i="3" s="1"/>
  <c r="AB1309" i="3"/>
  <c r="AC1309" i="3" s="1"/>
  <c r="AB1310" i="3"/>
  <c r="AC1310" i="3" s="1"/>
  <c r="AB2" i="3"/>
  <c r="AC2" i="3" s="1"/>
  <c r="Z1"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178" i="3"/>
  <c r="X179" i="3"/>
  <c r="X180" i="3"/>
  <c r="X181" i="3"/>
  <c r="X182" i="3"/>
  <c r="X183" i="3"/>
  <c r="X184" i="3"/>
  <c r="X185" i="3"/>
  <c r="X186" i="3"/>
  <c r="X187" i="3"/>
  <c r="X188" i="3"/>
  <c r="X189" i="3"/>
  <c r="X190" i="3"/>
  <c r="X191" i="3"/>
  <c r="X192" i="3"/>
  <c r="X193" i="3"/>
  <c r="X194" i="3"/>
  <c r="X195" i="3"/>
  <c r="X196" i="3"/>
  <c r="X197" i="3"/>
  <c r="X198" i="3"/>
  <c r="X199" i="3"/>
  <c r="X200" i="3"/>
  <c r="X201" i="3"/>
  <c r="X202" i="3"/>
  <c r="X203" i="3"/>
  <c r="X204" i="3"/>
  <c r="X205" i="3"/>
  <c r="X206" i="3"/>
  <c r="X207" i="3"/>
  <c r="X208" i="3"/>
  <c r="X209" i="3"/>
  <c r="X210" i="3"/>
  <c r="X211" i="3"/>
  <c r="X212" i="3"/>
  <c r="X213" i="3"/>
  <c r="X214" i="3"/>
  <c r="X215" i="3"/>
  <c r="X216" i="3"/>
  <c r="X217" i="3"/>
  <c r="X218" i="3"/>
  <c r="X219" i="3"/>
  <c r="X220" i="3"/>
  <c r="X221" i="3"/>
  <c r="X222" i="3"/>
  <c r="X223" i="3"/>
  <c r="X224" i="3"/>
  <c r="X225" i="3"/>
  <c r="X226" i="3"/>
  <c r="X227" i="3"/>
  <c r="X228" i="3"/>
  <c r="X229" i="3"/>
  <c r="X230" i="3"/>
  <c r="X231" i="3"/>
  <c r="X232" i="3"/>
  <c r="X233" i="3"/>
  <c r="X234" i="3"/>
  <c r="X235" i="3"/>
  <c r="X236" i="3"/>
  <c r="X237" i="3"/>
  <c r="X238" i="3"/>
  <c r="X239" i="3"/>
  <c r="X240" i="3"/>
  <c r="X241" i="3"/>
  <c r="X242" i="3"/>
  <c r="X243" i="3"/>
  <c r="X244" i="3"/>
  <c r="X245" i="3"/>
  <c r="X246" i="3"/>
  <c r="X247" i="3"/>
  <c r="X248" i="3"/>
  <c r="X249" i="3"/>
  <c r="X250" i="3"/>
  <c r="X251" i="3"/>
  <c r="X252" i="3"/>
  <c r="X253" i="3"/>
  <c r="X254" i="3"/>
  <c r="X255" i="3"/>
  <c r="X256" i="3"/>
  <c r="X257" i="3"/>
  <c r="X258" i="3"/>
  <c r="X259" i="3"/>
  <c r="X260" i="3"/>
  <c r="X261" i="3"/>
  <c r="X262" i="3"/>
  <c r="X263" i="3"/>
  <c r="X264" i="3"/>
  <c r="X265" i="3"/>
  <c r="X266" i="3"/>
  <c r="X267" i="3"/>
  <c r="X268" i="3"/>
  <c r="X269" i="3"/>
  <c r="X270" i="3"/>
  <c r="X271" i="3"/>
  <c r="X272" i="3"/>
  <c r="X273" i="3"/>
  <c r="X274" i="3"/>
  <c r="X275" i="3"/>
  <c r="X276" i="3"/>
  <c r="X277" i="3"/>
  <c r="X278" i="3"/>
  <c r="X279" i="3"/>
  <c r="X280" i="3"/>
  <c r="X281" i="3"/>
  <c r="X282" i="3"/>
  <c r="X283" i="3"/>
  <c r="X284" i="3"/>
  <c r="X285" i="3"/>
  <c r="X286" i="3"/>
  <c r="X287" i="3"/>
  <c r="X288" i="3"/>
  <c r="X289" i="3"/>
  <c r="X290" i="3"/>
  <c r="X291" i="3"/>
  <c r="X292" i="3"/>
  <c r="X293" i="3"/>
  <c r="X294" i="3"/>
  <c r="X295" i="3"/>
  <c r="X296" i="3"/>
  <c r="X297" i="3"/>
  <c r="X298" i="3"/>
  <c r="X299" i="3"/>
  <c r="X300" i="3"/>
  <c r="X301" i="3"/>
  <c r="X302" i="3"/>
  <c r="X303" i="3"/>
  <c r="X304" i="3"/>
  <c r="X305" i="3"/>
  <c r="X306" i="3"/>
  <c r="X307" i="3"/>
  <c r="X308" i="3"/>
  <c r="X309" i="3"/>
  <c r="X310" i="3"/>
  <c r="X311" i="3"/>
  <c r="X312" i="3"/>
  <c r="X313" i="3"/>
  <c r="X314" i="3"/>
  <c r="X315" i="3"/>
  <c r="X316" i="3"/>
  <c r="X317" i="3"/>
  <c r="X318" i="3"/>
  <c r="X319" i="3"/>
  <c r="X320" i="3"/>
  <c r="X321" i="3"/>
  <c r="X322" i="3"/>
  <c r="X323" i="3"/>
  <c r="X324" i="3"/>
  <c r="X325" i="3"/>
  <c r="X326" i="3"/>
  <c r="X327" i="3"/>
  <c r="X328" i="3"/>
  <c r="X329" i="3"/>
  <c r="X330" i="3"/>
  <c r="X331" i="3"/>
  <c r="X332" i="3"/>
  <c r="X333" i="3"/>
  <c r="X334" i="3"/>
  <c r="X335" i="3"/>
  <c r="X336" i="3"/>
  <c r="X337" i="3"/>
  <c r="X338" i="3"/>
  <c r="X339" i="3"/>
  <c r="X340" i="3"/>
  <c r="X341" i="3"/>
  <c r="X342" i="3"/>
  <c r="X343" i="3"/>
  <c r="X344" i="3"/>
  <c r="X345" i="3"/>
  <c r="X346" i="3"/>
  <c r="X347" i="3"/>
  <c r="X348" i="3"/>
  <c r="X349" i="3"/>
  <c r="X350" i="3"/>
  <c r="X351" i="3"/>
  <c r="X352" i="3"/>
  <c r="X353" i="3"/>
  <c r="X354" i="3"/>
  <c r="X355" i="3"/>
  <c r="X356" i="3"/>
  <c r="X357" i="3"/>
  <c r="X358" i="3"/>
  <c r="X359" i="3"/>
  <c r="X360" i="3"/>
  <c r="X361" i="3"/>
  <c r="X362" i="3"/>
  <c r="X363" i="3"/>
  <c r="X364" i="3"/>
  <c r="X365" i="3"/>
  <c r="X366" i="3"/>
  <c r="X367" i="3"/>
  <c r="X368" i="3"/>
  <c r="X369" i="3"/>
  <c r="X370" i="3"/>
  <c r="X371" i="3"/>
  <c r="X372" i="3"/>
  <c r="X373" i="3"/>
  <c r="X374" i="3"/>
  <c r="X375" i="3"/>
  <c r="X376" i="3"/>
  <c r="X377" i="3"/>
  <c r="X378" i="3"/>
  <c r="X379" i="3"/>
  <c r="X380" i="3"/>
  <c r="X381" i="3"/>
  <c r="X382" i="3"/>
  <c r="X383" i="3"/>
  <c r="X384" i="3"/>
  <c r="X385" i="3"/>
  <c r="X386" i="3"/>
  <c r="X387" i="3"/>
  <c r="X388" i="3"/>
  <c r="X389" i="3"/>
  <c r="X390" i="3"/>
  <c r="X391" i="3"/>
  <c r="X392" i="3"/>
  <c r="X393" i="3"/>
  <c r="X394" i="3"/>
  <c r="X395" i="3"/>
  <c r="X396" i="3"/>
  <c r="X397" i="3"/>
  <c r="X398" i="3"/>
  <c r="X399" i="3"/>
  <c r="X400" i="3"/>
  <c r="X401" i="3"/>
  <c r="X402" i="3"/>
  <c r="X403" i="3"/>
  <c r="X404" i="3"/>
  <c r="X405" i="3"/>
  <c r="X406" i="3"/>
  <c r="X407" i="3"/>
  <c r="X408" i="3"/>
  <c r="X409" i="3"/>
  <c r="X410" i="3"/>
  <c r="X411" i="3"/>
  <c r="X412" i="3"/>
  <c r="X413" i="3"/>
  <c r="X414" i="3"/>
  <c r="X415" i="3"/>
  <c r="X416" i="3"/>
  <c r="X417" i="3"/>
  <c r="X418" i="3"/>
  <c r="X419" i="3"/>
  <c r="X420" i="3"/>
  <c r="X421" i="3"/>
  <c r="X422" i="3"/>
  <c r="X423" i="3"/>
  <c r="X424" i="3"/>
  <c r="X425" i="3"/>
  <c r="X426" i="3"/>
  <c r="X427" i="3"/>
  <c r="X428" i="3"/>
  <c r="X429" i="3"/>
  <c r="X430" i="3"/>
  <c r="X431" i="3"/>
  <c r="X432" i="3"/>
  <c r="X433" i="3"/>
  <c r="X434" i="3"/>
  <c r="X435" i="3"/>
  <c r="X436" i="3"/>
  <c r="X437" i="3"/>
  <c r="X438" i="3"/>
  <c r="X439" i="3"/>
  <c r="X440" i="3"/>
  <c r="X441" i="3"/>
  <c r="X442" i="3"/>
  <c r="X443" i="3"/>
  <c r="X444" i="3"/>
  <c r="X445" i="3"/>
  <c r="X446" i="3"/>
  <c r="X447" i="3"/>
  <c r="X448" i="3"/>
  <c r="X449" i="3"/>
  <c r="X450" i="3"/>
  <c r="X451" i="3"/>
  <c r="X452" i="3"/>
  <c r="X453" i="3"/>
  <c r="X454" i="3"/>
  <c r="X455" i="3"/>
  <c r="X456" i="3"/>
  <c r="X457" i="3"/>
  <c r="X458" i="3"/>
  <c r="X459" i="3"/>
  <c r="X460" i="3"/>
  <c r="X461" i="3"/>
  <c r="X462" i="3"/>
  <c r="X463" i="3"/>
  <c r="X464" i="3"/>
  <c r="X465" i="3"/>
  <c r="X466" i="3"/>
  <c r="X467" i="3"/>
  <c r="X468" i="3"/>
  <c r="X469" i="3"/>
  <c r="X470" i="3"/>
  <c r="X471" i="3"/>
  <c r="X472" i="3"/>
  <c r="X473" i="3"/>
  <c r="X474" i="3"/>
  <c r="X475" i="3"/>
  <c r="X476" i="3"/>
  <c r="X477" i="3"/>
  <c r="X478" i="3"/>
  <c r="X479" i="3"/>
  <c r="X480" i="3"/>
  <c r="X481" i="3"/>
  <c r="X482" i="3"/>
  <c r="X483" i="3"/>
  <c r="X484" i="3"/>
  <c r="X485" i="3"/>
  <c r="X486" i="3"/>
  <c r="X487" i="3"/>
  <c r="X488" i="3"/>
  <c r="X489" i="3"/>
  <c r="X490" i="3"/>
  <c r="X491" i="3"/>
  <c r="X492" i="3"/>
  <c r="X493" i="3"/>
  <c r="X494" i="3"/>
  <c r="X495" i="3"/>
  <c r="X496" i="3"/>
  <c r="X497" i="3"/>
  <c r="X498" i="3"/>
  <c r="X499" i="3"/>
  <c r="X500" i="3"/>
  <c r="X501" i="3"/>
  <c r="X502" i="3"/>
  <c r="X503" i="3"/>
  <c r="X504" i="3"/>
  <c r="X505" i="3"/>
  <c r="X506" i="3"/>
  <c r="X507" i="3"/>
  <c r="X508" i="3"/>
  <c r="X509" i="3"/>
  <c r="X510" i="3"/>
  <c r="X511" i="3"/>
  <c r="X512" i="3"/>
  <c r="X513" i="3"/>
  <c r="X514" i="3"/>
  <c r="X515" i="3"/>
  <c r="X516" i="3"/>
  <c r="X517" i="3"/>
  <c r="X518" i="3"/>
  <c r="X519" i="3"/>
  <c r="X520" i="3"/>
  <c r="X521" i="3"/>
  <c r="X522" i="3"/>
  <c r="X523" i="3"/>
  <c r="X524" i="3"/>
  <c r="X525" i="3"/>
  <c r="X526" i="3"/>
  <c r="X527" i="3"/>
  <c r="X528" i="3"/>
  <c r="X529" i="3"/>
  <c r="X530" i="3"/>
  <c r="X531" i="3"/>
  <c r="X532" i="3"/>
  <c r="X533" i="3"/>
  <c r="X534" i="3"/>
  <c r="X535" i="3"/>
  <c r="X536" i="3"/>
  <c r="X537" i="3"/>
  <c r="X538" i="3"/>
  <c r="X539" i="3"/>
  <c r="X540" i="3"/>
  <c r="X541" i="3"/>
  <c r="X542" i="3"/>
  <c r="X543" i="3"/>
  <c r="X544" i="3"/>
  <c r="X545" i="3"/>
  <c r="X546" i="3"/>
  <c r="X547" i="3"/>
  <c r="X548" i="3"/>
  <c r="X549" i="3"/>
  <c r="X550" i="3"/>
  <c r="X551" i="3"/>
  <c r="X552" i="3"/>
  <c r="X553" i="3"/>
  <c r="X554" i="3"/>
  <c r="X555" i="3"/>
  <c r="X556" i="3"/>
  <c r="X557" i="3"/>
  <c r="X558" i="3"/>
  <c r="X559" i="3"/>
  <c r="X560" i="3"/>
  <c r="X561" i="3"/>
  <c r="X562" i="3"/>
  <c r="X563" i="3"/>
  <c r="X564" i="3"/>
  <c r="X565" i="3"/>
  <c r="X566" i="3"/>
  <c r="X567" i="3"/>
  <c r="X568" i="3"/>
  <c r="X569" i="3"/>
  <c r="X570" i="3"/>
  <c r="X571" i="3"/>
  <c r="X572" i="3"/>
  <c r="X573" i="3"/>
  <c r="X574" i="3"/>
  <c r="X575" i="3"/>
  <c r="X576" i="3"/>
  <c r="X577" i="3"/>
  <c r="X578" i="3"/>
  <c r="X579" i="3"/>
  <c r="X580" i="3"/>
  <c r="X581" i="3"/>
  <c r="X582" i="3"/>
  <c r="X583" i="3"/>
  <c r="X584" i="3"/>
  <c r="X585" i="3"/>
  <c r="X586" i="3"/>
  <c r="X587" i="3"/>
  <c r="X588" i="3"/>
  <c r="X589" i="3"/>
  <c r="X590" i="3"/>
  <c r="X591" i="3"/>
  <c r="X592" i="3"/>
  <c r="X593" i="3"/>
  <c r="X594" i="3"/>
  <c r="X595" i="3"/>
  <c r="X596" i="3"/>
  <c r="X597" i="3"/>
  <c r="X598" i="3"/>
  <c r="X599" i="3"/>
  <c r="X600" i="3"/>
  <c r="X601" i="3"/>
  <c r="X602" i="3"/>
  <c r="X603" i="3"/>
  <c r="X604" i="3"/>
  <c r="X605" i="3"/>
  <c r="X606" i="3"/>
  <c r="X607" i="3"/>
  <c r="X608" i="3"/>
  <c r="X609" i="3"/>
  <c r="X610" i="3"/>
  <c r="X611" i="3"/>
  <c r="X612" i="3"/>
  <c r="X613" i="3"/>
  <c r="X614" i="3"/>
  <c r="X615" i="3"/>
  <c r="X616" i="3"/>
  <c r="X617" i="3"/>
  <c r="X618" i="3"/>
  <c r="X619" i="3"/>
  <c r="X620" i="3"/>
  <c r="X621" i="3"/>
  <c r="X622" i="3"/>
  <c r="X623" i="3"/>
  <c r="X624" i="3"/>
  <c r="X625" i="3"/>
  <c r="X626" i="3"/>
  <c r="X627" i="3"/>
  <c r="X628" i="3"/>
  <c r="X629" i="3"/>
  <c r="X630" i="3"/>
  <c r="X631" i="3"/>
  <c r="X632" i="3"/>
  <c r="X633" i="3"/>
  <c r="X634" i="3"/>
  <c r="X635" i="3"/>
  <c r="X636" i="3"/>
  <c r="X637" i="3"/>
  <c r="X638" i="3"/>
  <c r="X639" i="3"/>
  <c r="X640" i="3"/>
  <c r="X641" i="3"/>
  <c r="X642" i="3"/>
  <c r="X643" i="3"/>
  <c r="X644" i="3"/>
  <c r="X645" i="3"/>
  <c r="X646" i="3"/>
  <c r="X647" i="3"/>
  <c r="X648" i="3"/>
  <c r="X649" i="3"/>
  <c r="X650" i="3"/>
  <c r="X651" i="3"/>
  <c r="X652" i="3"/>
  <c r="X653" i="3"/>
  <c r="X654" i="3"/>
  <c r="X655" i="3"/>
  <c r="X656" i="3"/>
  <c r="X657" i="3"/>
  <c r="X658" i="3"/>
  <c r="X659" i="3"/>
  <c r="X660" i="3"/>
  <c r="X661" i="3"/>
  <c r="X662" i="3"/>
  <c r="X663" i="3"/>
  <c r="X664" i="3"/>
  <c r="X665" i="3"/>
  <c r="X666" i="3"/>
  <c r="X667" i="3"/>
  <c r="X668" i="3"/>
  <c r="X669" i="3"/>
  <c r="X670" i="3"/>
  <c r="X671" i="3"/>
  <c r="X672" i="3"/>
  <c r="X673" i="3"/>
  <c r="X674" i="3"/>
  <c r="X675" i="3"/>
  <c r="X676" i="3"/>
  <c r="X677" i="3"/>
  <c r="X678" i="3"/>
  <c r="X679" i="3"/>
  <c r="X680" i="3"/>
  <c r="X681" i="3"/>
  <c r="X682" i="3"/>
  <c r="X683" i="3"/>
  <c r="X684" i="3"/>
  <c r="X685" i="3"/>
  <c r="X686" i="3"/>
  <c r="X687" i="3"/>
  <c r="X688" i="3"/>
  <c r="X689" i="3"/>
  <c r="X690" i="3"/>
  <c r="X691" i="3"/>
  <c r="X692" i="3"/>
  <c r="X693" i="3"/>
  <c r="X694" i="3"/>
  <c r="X695" i="3"/>
  <c r="X696" i="3"/>
  <c r="X697" i="3"/>
  <c r="X698" i="3"/>
  <c r="X699" i="3"/>
  <c r="X700" i="3"/>
  <c r="X701" i="3"/>
  <c r="X702" i="3"/>
  <c r="X703" i="3"/>
  <c r="X704" i="3"/>
  <c r="X705" i="3"/>
  <c r="X706" i="3"/>
  <c r="X707" i="3"/>
  <c r="X708" i="3"/>
  <c r="X709" i="3"/>
  <c r="X710" i="3"/>
  <c r="X711" i="3"/>
  <c r="X712" i="3"/>
  <c r="X713" i="3"/>
  <c r="X714" i="3"/>
  <c r="X715" i="3"/>
  <c r="X716" i="3"/>
  <c r="X717" i="3"/>
  <c r="X718" i="3"/>
  <c r="X719" i="3"/>
  <c r="X720" i="3"/>
  <c r="X721" i="3"/>
  <c r="X722" i="3"/>
  <c r="X723" i="3"/>
  <c r="X724" i="3"/>
  <c r="X725" i="3"/>
  <c r="X726" i="3"/>
  <c r="X727" i="3"/>
  <c r="X728" i="3"/>
  <c r="X729" i="3"/>
  <c r="X730" i="3"/>
  <c r="X731" i="3"/>
  <c r="X732" i="3"/>
  <c r="X733" i="3"/>
  <c r="X734" i="3"/>
  <c r="X735" i="3"/>
  <c r="X736" i="3"/>
  <c r="X737" i="3"/>
  <c r="X738" i="3"/>
  <c r="X739" i="3"/>
  <c r="X740" i="3"/>
  <c r="X741" i="3"/>
  <c r="X742" i="3"/>
  <c r="X743" i="3"/>
  <c r="X744" i="3"/>
  <c r="X745" i="3"/>
  <c r="X746" i="3"/>
  <c r="X747" i="3"/>
  <c r="X748" i="3"/>
  <c r="X749" i="3"/>
  <c r="X750" i="3"/>
  <c r="X751" i="3"/>
  <c r="X752" i="3"/>
  <c r="X753" i="3"/>
  <c r="X754" i="3"/>
  <c r="X755" i="3"/>
  <c r="X756" i="3"/>
  <c r="X757" i="3"/>
  <c r="X758" i="3"/>
  <c r="X759" i="3"/>
  <c r="X760" i="3"/>
  <c r="X761" i="3"/>
  <c r="X762" i="3"/>
  <c r="X763" i="3"/>
  <c r="X764" i="3"/>
  <c r="X765" i="3"/>
  <c r="X766" i="3"/>
  <c r="X767" i="3"/>
  <c r="X768" i="3"/>
  <c r="X769" i="3"/>
  <c r="X770" i="3"/>
  <c r="X771" i="3"/>
  <c r="X772" i="3"/>
  <c r="X773" i="3"/>
  <c r="X774" i="3"/>
  <c r="X775" i="3"/>
  <c r="X776" i="3"/>
  <c r="X777" i="3"/>
  <c r="X778" i="3"/>
  <c r="X779" i="3"/>
  <c r="X780" i="3"/>
  <c r="X781" i="3"/>
  <c r="X782" i="3"/>
  <c r="X783" i="3"/>
  <c r="X784" i="3"/>
  <c r="X785" i="3"/>
  <c r="X786" i="3"/>
  <c r="X787" i="3"/>
  <c r="X788" i="3"/>
  <c r="X789" i="3"/>
  <c r="X790" i="3"/>
  <c r="X791" i="3"/>
  <c r="X792" i="3"/>
  <c r="X793" i="3"/>
  <c r="X794" i="3"/>
  <c r="X795" i="3"/>
  <c r="X796" i="3"/>
  <c r="X797" i="3"/>
  <c r="X798" i="3"/>
  <c r="X799" i="3"/>
  <c r="X800" i="3"/>
  <c r="X801" i="3"/>
  <c r="X802" i="3"/>
  <c r="X803" i="3"/>
  <c r="X804" i="3"/>
  <c r="X805" i="3"/>
  <c r="X806" i="3"/>
  <c r="X807" i="3"/>
  <c r="X808" i="3"/>
  <c r="X809" i="3"/>
  <c r="X810" i="3"/>
  <c r="X811" i="3"/>
  <c r="X812" i="3"/>
  <c r="X813" i="3"/>
  <c r="X814" i="3"/>
  <c r="X815" i="3"/>
  <c r="X816" i="3"/>
  <c r="X817" i="3"/>
  <c r="X818" i="3"/>
  <c r="X819" i="3"/>
  <c r="X820" i="3"/>
  <c r="X821" i="3"/>
  <c r="X822" i="3"/>
  <c r="X823" i="3"/>
  <c r="X824" i="3"/>
  <c r="X825" i="3"/>
  <c r="X826" i="3"/>
  <c r="X827" i="3"/>
  <c r="X828" i="3"/>
  <c r="X829" i="3"/>
  <c r="X830" i="3"/>
  <c r="X831" i="3"/>
  <c r="X832" i="3"/>
  <c r="X833" i="3"/>
  <c r="X834" i="3"/>
  <c r="X835" i="3"/>
  <c r="X836" i="3"/>
  <c r="X837" i="3"/>
  <c r="X838" i="3"/>
  <c r="X839" i="3"/>
  <c r="X840" i="3"/>
  <c r="X841" i="3"/>
  <c r="X842" i="3"/>
  <c r="X843" i="3"/>
  <c r="X844" i="3"/>
  <c r="X845" i="3"/>
  <c r="X846" i="3"/>
  <c r="X847" i="3"/>
  <c r="X848" i="3"/>
  <c r="X849" i="3"/>
  <c r="X850" i="3"/>
  <c r="X851" i="3"/>
  <c r="X852" i="3"/>
  <c r="X853" i="3"/>
  <c r="X854" i="3"/>
  <c r="X855" i="3"/>
  <c r="X856" i="3"/>
  <c r="X857" i="3"/>
  <c r="X858" i="3"/>
  <c r="X859" i="3"/>
  <c r="X860" i="3"/>
  <c r="X861" i="3"/>
  <c r="X862" i="3"/>
  <c r="X863" i="3"/>
  <c r="X864" i="3"/>
  <c r="X865" i="3"/>
  <c r="X866" i="3"/>
  <c r="X867" i="3"/>
  <c r="X868" i="3"/>
  <c r="X869" i="3"/>
  <c r="X870" i="3"/>
  <c r="X871" i="3"/>
  <c r="X872" i="3"/>
  <c r="X873" i="3"/>
  <c r="X874" i="3"/>
  <c r="X875" i="3"/>
  <c r="X876" i="3"/>
  <c r="X877" i="3"/>
  <c r="X878" i="3"/>
  <c r="X879" i="3"/>
  <c r="X880" i="3"/>
  <c r="X881" i="3"/>
  <c r="X882" i="3"/>
  <c r="X883" i="3"/>
  <c r="X884" i="3"/>
  <c r="X885" i="3"/>
  <c r="X886" i="3"/>
  <c r="X887" i="3"/>
  <c r="X888" i="3"/>
  <c r="X889" i="3"/>
  <c r="X890" i="3"/>
  <c r="X891" i="3"/>
  <c r="X892" i="3"/>
  <c r="X893" i="3"/>
  <c r="X894" i="3"/>
  <c r="X895" i="3"/>
  <c r="X896" i="3"/>
  <c r="X897" i="3"/>
  <c r="X898" i="3"/>
  <c r="X899" i="3"/>
  <c r="X900" i="3"/>
  <c r="X901" i="3"/>
  <c r="X902" i="3"/>
  <c r="X903" i="3"/>
  <c r="X904" i="3"/>
  <c r="X905" i="3"/>
  <c r="X906" i="3"/>
  <c r="X907" i="3"/>
  <c r="X908" i="3"/>
  <c r="X909" i="3"/>
  <c r="X910" i="3"/>
  <c r="X911" i="3"/>
  <c r="X912" i="3"/>
  <c r="X913" i="3"/>
  <c r="X914" i="3"/>
  <c r="X915" i="3"/>
  <c r="X916" i="3"/>
  <c r="X917" i="3"/>
  <c r="X918" i="3"/>
  <c r="X919" i="3"/>
  <c r="X920" i="3"/>
  <c r="X921" i="3"/>
  <c r="X922" i="3"/>
  <c r="X923" i="3"/>
  <c r="X924" i="3"/>
  <c r="X925" i="3"/>
  <c r="X926" i="3"/>
  <c r="X927" i="3"/>
  <c r="X928" i="3"/>
  <c r="X929" i="3"/>
  <c r="X930" i="3"/>
  <c r="X931" i="3"/>
  <c r="X932" i="3"/>
  <c r="X933" i="3"/>
  <c r="X934" i="3"/>
  <c r="X935" i="3"/>
  <c r="X936" i="3"/>
  <c r="X937" i="3"/>
  <c r="X938" i="3"/>
  <c r="X939" i="3"/>
  <c r="X940" i="3"/>
  <c r="X941" i="3"/>
  <c r="X942" i="3"/>
  <c r="X943" i="3"/>
  <c r="X944" i="3"/>
  <c r="X945" i="3"/>
  <c r="X946" i="3"/>
  <c r="X947" i="3"/>
  <c r="X948" i="3"/>
  <c r="X949" i="3"/>
  <c r="X950" i="3"/>
  <c r="X951" i="3"/>
  <c r="X952" i="3"/>
  <c r="X953" i="3"/>
  <c r="X954" i="3"/>
  <c r="X955" i="3"/>
  <c r="X956" i="3"/>
  <c r="X957" i="3"/>
  <c r="X958" i="3"/>
  <c r="X959" i="3"/>
  <c r="X960" i="3"/>
  <c r="X961" i="3"/>
  <c r="X962" i="3"/>
  <c r="X963" i="3"/>
  <c r="X964" i="3"/>
  <c r="X965" i="3"/>
  <c r="X966" i="3"/>
  <c r="X967" i="3"/>
  <c r="X968" i="3"/>
  <c r="X969" i="3"/>
  <c r="X970" i="3"/>
  <c r="X971" i="3"/>
  <c r="X972" i="3"/>
  <c r="X973" i="3"/>
  <c r="X974" i="3"/>
  <c r="X975" i="3"/>
  <c r="X976" i="3"/>
  <c r="X977" i="3"/>
  <c r="X978" i="3"/>
  <c r="X979" i="3"/>
  <c r="X980" i="3"/>
  <c r="X981" i="3"/>
  <c r="X982" i="3"/>
  <c r="X983" i="3"/>
  <c r="X984" i="3"/>
  <c r="X985" i="3"/>
  <c r="X986" i="3"/>
  <c r="X987" i="3"/>
  <c r="X988" i="3"/>
  <c r="X989" i="3"/>
  <c r="X990" i="3"/>
  <c r="X991" i="3"/>
  <c r="X992" i="3"/>
  <c r="X993" i="3"/>
  <c r="X994" i="3"/>
  <c r="X995" i="3"/>
  <c r="X996" i="3"/>
  <c r="X997" i="3"/>
  <c r="X998" i="3"/>
  <c r="X999" i="3"/>
  <c r="X1000" i="3"/>
  <c r="X1001" i="3"/>
  <c r="X1002" i="3"/>
  <c r="X1003" i="3"/>
  <c r="X1004" i="3"/>
  <c r="X1005" i="3"/>
  <c r="X1006" i="3"/>
  <c r="X1007" i="3"/>
  <c r="X1008" i="3"/>
  <c r="X1009" i="3"/>
  <c r="X1010" i="3"/>
  <c r="X1011" i="3"/>
  <c r="X1012" i="3"/>
  <c r="X1013" i="3"/>
  <c r="X1014" i="3"/>
  <c r="X1015" i="3"/>
  <c r="X1016" i="3"/>
  <c r="X1017" i="3"/>
  <c r="X1018" i="3"/>
  <c r="X1019" i="3"/>
  <c r="X1020" i="3"/>
  <c r="X1021" i="3"/>
  <c r="X1022" i="3"/>
  <c r="X1023" i="3"/>
  <c r="X1024" i="3"/>
  <c r="X1025" i="3"/>
  <c r="X1026" i="3"/>
  <c r="X1027" i="3"/>
  <c r="X1028" i="3"/>
  <c r="X1029" i="3"/>
  <c r="X1030" i="3"/>
  <c r="X1031" i="3"/>
  <c r="X1032" i="3"/>
  <c r="X1033" i="3"/>
  <c r="X1034" i="3"/>
  <c r="X1035" i="3"/>
  <c r="X1036" i="3"/>
  <c r="X1037" i="3"/>
  <c r="X1038" i="3"/>
  <c r="X1039" i="3"/>
  <c r="X1040" i="3"/>
  <c r="X1041" i="3"/>
  <c r="X1042" i="3"/>
  <c r="X1043" i="3"/>
  <c r="X1044" i="3"/>
  <c r="X1045" i="3"/>
  <c r="X1046" i="3"/>
  <c r="X1047" i="3"/>
  <c r="X1048" i="3"/>
  <c r="X1049" i="3"/>
  <c r="X1050" i="3"/>
  <c r="X1051" i="3"/>
  <c r="X1052" i="3"/>
  <c r="X1053" i="3"/>
  <c r="X1054" i="3"/>
  <c r="X1055" i="3"/>
  <c r="X1056" i="3"/>
  <c r="X1057" i="3"/>
  <c r="X1058" i="3"/>
  <c r="X1059" i="3"/>
  <c r="X1060" i="3"/>
  <c r="X1061" i="3"/>
  <c r="X1062" i="3"/>
  <c r="X1063" i="3"/>
  <c r="X1064" i="3"/>
  <c r="X1065" i="3"/>
  <c r="X1066" i="3"/>
  <c r="X1067" i="3"/>
  <c r="X1068" i="3"/>
  <c r="X1069" i="3"/>
  <c r="X1070" i="3"/>
  <c r="X1071" i="3"/>
  <c r="X1072" i="3"/>
  <c r="X1073" i="3"/>
  <c r="X1074" i="3"/>
  <c r="X1075" i="3"/>
  <c r="X1076" i="3"/>
  <c r="X1077" i="3"/>
  <c r="X1078" i="3"/>
  <c r="X1079" i="3"/>
  <c r="X1080" i="3"/>
  <c r="X1081" i="3"/>
  <c r="X1082" i="3"/>
  <c r="X1083" i="3"/>
  <c r="X1084" i="3"/>
  <c r="X1085" i="3"/>
  <c r="X1086" i="3"/>
  <c r="X1087" i="3"/>
  <c r="X1088" i="3"/>
  <c r="X1089" i="3"/>
  <c r="X1090" i="3"/>
  <c r="X1091" i="3"/>
  <c r="X1092" i="3"/>
  <c r="X1093" i="3"/>
  <c r="X1094" i="3"/>
  <c r="X1095" i="3"/>
  <c r="X1096" i="3"/>
  <c r="X1097" i="3"/>
  <c r="X1098" i="3"/>
  <c r="X1099" i="3"/>
  <c r="X1100" i="3"/>
  <c r="X1101" i="3"/>
  <c r="X1102" i="3"/>
  <c r="X1103" i="3"/>
  <c r="X1104" i="3"/>
  <c r="X1105" i="3"/>
  <c r="X1106" i="3"/>
  <c r="X1107" i="3"/>
  <c r="X1108" i="3"/>
  <c r="X1109" i="3"/>
  <c r="X1110" i="3"/>
  <c r="X1111" i="3"/>
  <c r="X1112" i="3"/>
  <c r="X1113" i="3"/>
  <c r="X1114" i="3"/>
  <c r="X1115" i="3"/>
  <c r="X1116" i="3"/>
  <c r="X1117" i="3"/>
  <c r="X1118" i="3"/>
  <c r="X1119" i="3"/>
  <c r="X1120" i="3"/>
  <c r="X1121" i="3"/>
  <c r="X1122" i="3"/>
  <c r="X1123" i="3"/>
  <c r="X1124" i="3"/>
  <c r="X1125" i="3"/>
  <c r="X1126" i="3"/>
  <c r="X1127" i="3"/>
  <c r="X1128" i="3"/>
  <c r="X1129" i="3"/>
  <c r="X1130" i="3"/>
  <c r="X1131" i="3"/>
  <c r="X1132" i="3"/>
  <c r="X1133" i="3"/>
  <c r="X1134" i="3"/>
  <c r="X1135" i="3"/>
  <c r="X1136" i="3"/>
  <c r="X1137" i="3"/>
  <c r="X1138" i="3"/>
  <c r="X1139" i="3"/>
  <c r="X1140" i="3"/>
  <c r="X1141" i="3"/>
  <c r="X1142" i="3"/>
  <c r="X1143" i="3"/>
  <c r="X1144" i="3"/>
  <c r="X1145" i="3"/>
  <c r="X1146" i="3"/>
  <c r="X1147" i="3"/>
  <c r="X1148" i="3"/>
  <c r="X1149" i="3"/>
  <c r="X1150" i="3"/>
  <c r="X1151" i="3"/>
  <c r="X1152" i="3"/>
  <c r="X1153" i="3"/>
  <c r="X1154" i="3"/>
  <c r="X1155" i="3"/>
  <c r="X1156" i="3"/>
  <c r="X1157" i="3"/>
  <c r="X1158" i="3"/>
  <c r="X1159" i="3"/>
  <c r="X1160" i="3"/>
  <c r="X1161" i="3"/>
  <c r="X1162" i="3"/>
  <c r="X1163" i="3"/>
  <c r="X1164" i="3"/>
  <c r="X1165" i="3"/>
  <c r="X1166" i="3"/>
  <c r="X1167" i="3"/>
  <c r="X1168" i="3"/>
  <c r="X1169" i="3"/>
  <c r="X1170" i="3"/>
  <c r="X1171" i="3"/>
  <c r="X1172" i="3"/>
  <c r="X1173" i="3"/>
  <c r="X1174" i="3"/>
  <c r="X1175" i="3"/>
  <c r="X1176" i="3"/>
  <c r="X1177" i="3"/>
  <c r="X1178" i="3"/>
  <c r="X1179" i="3"/>
  <c r="X1180" i="3"/>
  <c r="X1181" i="3"/>
  <c r="X1182" i="3"/>
  <c r="X1183" i="3"/>
  <c r="X1184" i="3"/>
  <c r="X1185" i="3"/>
  <c r="X1186" i="3"/>
  <c r="X1187" i="3"/>
  <c r="X1188" i="3"/>
  <c r="X1189" i="3"/>
  <c r="X1190" i="3"/>
  <c r="X1191" i="3"/>
  <c r="X1192" i="3"/>
  <c r="X1193" i="3"/>
  <c r="X1194" i="3"/>
  <c r="X1195" i="3"/>
  <c r="X1196" i="3"/>
  <c r="X1197" i="3"/>
  <c r="X1198" i="3"/>
  <c r="X1199" i="3"/>
  <c r="X1200" i="3"/>
  <c r="X1201" i="3"/>
  <c r="X1202" i="3"/>
  <c r="X1203" i="3"/>
  <c r="X1204" i="3"/>
  <c r="X1205" i="3"/>
  <c r="X1206" i="3"/>
  <c r="X1207" i="3"/>
  <c r="X1208" i="3"/>
  <c r="X1209" i="3"/>
  <c r="X1210" i="3"/>
  <c r="X1211" i="3"/>
  <c r="X1212" i="3"/>
  <c r="X1213" i="3"/>
  <c r="X1214" i="3"/>
  <c r="X1215" i="3"/>
  <c r="X1216" i="3"/>
  <c r="X1217" i="3"/>
  <c r="X1218" i="3"/>
  <c r="X1219" i="3"/>
  <c r="X1220" i="3"/>
  <c r="X1221" i="3"/>
  <c r="X1222" i="3"/>
  <c r="X1223" i="3"/>
  <c r="X1224" i="3"/>
  <c r="X1225" i="3"/>
  <c r="X1226" i="3"/>
  <c r="X1227" i="3"/>
  <c r="X1228" i="3"/>
  <c r="X1229" i="3"/>
  <c r="X1230" i="3"/>
  <c r="X1231" i="3"/>
  <c r="X1232" i="3"/>
  <c r="X1233" i="3"/>
  <c r="X1234" i="3"/>
  <c r="X1235" i="3"/>
  <c r="X1236" i="3"/>
  <c r="X1237" i="3"/>
  <c r="X1238" i="3"/>
  <c r="X1239" i="3"/>
  <c r="X1240" i="3"/>
  <c r="X1241" i="3"/>
  <c r="X1242" i="3"/>
  <c r="X1243" i="3"/>
  <c r="X1244" i="3"/>
  <c r="X1245" i="3"/>
  <c r="X1246" i="3"/>
  <c r="X1247" i="3"/>
  <c r="X1248" i="3"/>
  <c r="X1249" i="3"/>
  <c r="X1250" i="3"/>
  <c r="X1251" i="3"/>
  <c r="X1252" i="3"/>
  <c r="X1253" i="3"/>
  <c r="X1254" i="3"/>
  <c r="X1255" i="3"/>
  <c r="X1256" i="3"/>
  <c r="X1257" i="3"/>
  <c r="X1258" i="3"/>
  <c r="X1259" i="3"/>
  <c r="X1260" i="3"/>
  <c r="X1261" i="3"/>
  <c r="X1262" i="3"/>
  <c r="X1263" i="3"/>
  <c r="X1264" i="3"/>
  <c r="X1265" i="3"/>
  <c r="X1266" i="3"/>
  <c r="X1267" i="3"/>
  <c r="X1268" i="3"/>
  <c r="X1269" i="3"/>
  <c r="X1270" i="3"/>
  <c r="X1271" i="3"/>
  <c r="X1272" i="3"/>
  <c r="X1273" i="3"/>
  <c r="X1274" i="3"/>
  <c r="X1275" i="3"/>
  <c r="X1276" i="3"/>
  <c r="X1277" i="3"/>
  <c r="X1278" i="3"/>
  <c r="X1279" i="3"/>
  <c r="X1280" i="3"/>
  <c r="X1281" i="3"/>
  <c r="X1282" i="3"/>
  <c r="X1283" i="3"/>
  <c r="X1284" i="3"/>
  <c r="X1285" i="3"/>
  <c r="X1286" i="3"/>
  <c r="X1287" i="3"/>
  <c r="X1288" i="3"/>
  <c r="X1289" i="3"/>
  <c r="X1290" i="3"/>
  <c r="X1291" i="3"/>
  <c r="X1292" i="3"/>
  <c r="X1293" i="3"/>
  <c r="X1294" i="3"/>
  <c r="X1295" i="3"/>
  <c r="X1296" i="3"/>
  <c r="X1297" i="3"/>
  <c r="X1298" i="3"/>
  <c r="X1299" i="3"/>
  <c r="X1300" i="3"/>
  <c r="X1301" i="3"/>
  <c r="X1302" i="3"/>
  <c r="X1303" i="3"/>
  <c r="X1304" i="3"/>
  <c r="X1305" i="3"/>
  <c r="X1306" i="3"/>
  <c r="X1307" i="3"/>
  <c r="X1308" i="3"/>
  <c r="X1309" i="3"/>
  <c r="X1310" i="3"/>
  <c r="X2" i="3"/>
  <c r="V2" i="3"/>
  <c r="U2" i="3"/>
  <c r="S2" i="3"/>
  <c r="Q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2" i="3"/>
  <c r="N2" i="3"/>
  <c r="M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2" i="3"/>
  <c r="E2" i="3"/>
  <c r="E3" i="3"/>
  <c r="E4" i="3"/>
  <c r="AG4" i="3" s="1"/>
  <c r="E5" i="3"/>
  <c r="AG5" i="3" s="1"/>
  <c r="E6" i="3"/>
  <c r="AG6" i="3" s="1"/>
  <c r="E7" i="3"/>
  <c r="E8" i="3"/>
  <c r="E9" i="3"/>
  <c r="AG9" i="3" s="1"/>
  <c r="E10" i="3"/>
  <c r="E11" i="3"/>
  <c r="AG11" i="3" s="1"/>
  <c r="E12" i="3"/>
  <c r="AG12" i="3" s="1"/>
  <c r="E13" i="3"/>
  <c r="E14" i="3"/>
  <c r="E15" i="3"/>
  <c r="E16" i="3"/>
  <c r="E17" i="3"/>
  <c r="AG17" i="3" s="1"/>
  <c r="E18" i="3"/>
  <c r="AG18" i="3" s="1"/>
  <c r="E19" i="3"/>
  <c r="E20" i="3"/>
  <c r="E21" i="3"/>
  <c r="E22" i="3"/>
  <c r="E23" i="3"/>
  <c r="E24" i="3"/>
  <c r="E25" i="3"/>
  <c r="E26" i="3"/>
  <c r="E27" i="3"/>
  <c r="AG27" i="3" s="1"/>
  <c r="E28" i="3"/>
  <c r="E29" i="3"/>
  <c r="E30" i="3"/>
  <c r="E31" i="3"/>
  <c r="E32" i="3"/>
  <c r="AG32" i="3" s="1"/>
  <c r="E33" i="3"/>
  <c r="E34" i="3"/>
  <c r="E35" i="3"/>
  <c r="E36" i="3"/>
  <c r="AG36" i="3" s="1"/>
  <c r="E37" i="3"/>
  <c r="E38" i="3"/>
  <c r="E39" i="3"/>
  <c r="E40" i="3"/>
  <c r="AG40" i="3" s="1"/>
  <c r="E41" i="3"/>
  <c r="AG41" i="3" s="1"/>
  <c r="E42" i="3"/>
  <c r="AG42" i="3" s="1"/>
  <c r="E43" i="3"/>
  <c r="E44" i="3"/>
  <c r="E45" i="3"/>
  <c r="E46" i="3"/>
  <c r="E47" i="3"/>
  <c r="AG47" i="3" s="1"/>
  <c r="E48" i="3"/>
  <c r="AG48" i="3" s="1"/>
  <c r="E49" i="3"/>
  <c r="E50" i="3"/>
  <c r="E51" i="3"/>
  <c r="E52" i="3"/>
  <c r="E53" i="3"/>
  <c r="AG53" i="3" s="1"/>
  <c r="E54" i="3"/>
  <c r="AG54" i="3" s="1"/>
  <c r="E55" i="3"/>
  <c r="AG55" i="3" s="1"/>
  <c r="E56" i="3"/>
  <c r="E57" i="3"/>
  <c r="E58" i="3"/>
  <c r="E59" i="3"/>
  <c r="E60" i="3"/>
  <c r="AG60" i="3" s="1"/>
  <c r="E61" i="3"/>
  <c r="E62" i="3"/>
  <c r="AG62" i="3" s="1"/>
  <c r="E63" i="3"/>
  <c r="E64" i="3"/>
  <c r="AG64" i="3" s="1"/>
  <c r="E65" i="3"/>
  <c r="E66" i="3"/>
  <c r="E67" i="3"/>
  <c r="E68" i="3"/>
  <c r="E69" i="3"/>
  <c r="E70" i="3"/>
  <c r="E71" i="3"/>
  <c r="E72" i="3"/>
  <c r="AG72" i="3" s="1"/>
  <c r="E73" i="3"/>
  <c r="AG73" i="3" s="1"/>
  <c r="E74" i="3"/>
  <c r="E75" i="3"/>
  <c r="E76" i="3"/>
  <c r="AG76" i="3" s="1"/>
  <c r="E77" i="3"/>
  <c r="AG77" i="3" s="1"/>
  <c r="E78" i="3"/>
  <c r="E79" i="3"/>
  <c r="AG79" i="3" s="1"/>
  <c r="E80" i="3"/>
  <c r="E81" i="3"/>
  <c r="E82" i="3"/>
  <c r="AG82" i="3" s="1"/>
  <c r="E83" i="3"/>
  <c r="AG83" i="3" s="1"/>
  <c r="E84" i="3"/>
  <c r="E85" i="3"/>
  <c r="E86" i="3"/>
  <c r="AG86" i="3" s="1"/>
  <c r="E87" i="3"/>
  <c r="E88" i="3"/>
  <c r="E89" i="3"/>
  <c r="E90" i="3"/>
  <c r="E91" i="3"/>
  <c r="AG91" i="3" s="1"/>
  <c r="E92" i="3"/>
  <c r="E93" i="3"/>
  <c r="E94" i="3"/>
  <c r="E95" i="3"/>
  <c r="E96" i="3"/>
  <c r="E97" i="3"/>
  <c r="E98" i="3"/>
  <c r="AG98" i="3" s="1"/>
  <c r="E99" i="3"/>
  <c r="E100" i="3"/>
  <c r="E101" i="3"/>
  <c r="E102" i="3"/>
  <c r="E103" i="3"/>
  <c r="AG103" i="3" s="1"/>
  <c r="E104" i="3"/>
  <c r="E105" i="3"/>
  <c r="E106" i="3"/>
  <c r="E107" i="3"/>
  <c r="AG107" i="3" s="1"/>
  <c r="E108" i="3"/>
  <c r="AG108" i="3" s="1"/>
  <c r="E109" i="3"/>
  <c r="E110" i="3"/>
  <c r="E111" i="3"/>
  <c r="E112" i="3"/>
  <c r="AG112" i="3" s="1"/>
  <c r="E113" i="3"/>
  <c r="E114" i="3"/>
  <c r="E115" i="3"/>
  <c r="E116" i="3"/>
  <c r="AG116" i="3" s="1"/>
  <c r="E117" i="3"/>
  <c r="AG117" i="3" s="1"/>
  <c r="E118" i="3"/>
  <c r="E119" i="3"/>
  <c r="E120" i="3"/>
  <c r="AG120" i="3" s="1"/>
  <c r="E121" i="3"/>
  <c r="E122" i="3"/>
  <c r="E123" i="3"/>
  <c r="E124" i="3"/>
  <c r="E125" i="3"/>
  <c r="E126" i="3"/>
  <c r="E127" i="3"/>
  <c r="AG127" i="3" s="1"/>
  <c r="E128" i="3"/>
  <c r="AG128" i="3" s="1"/>
  <c r="E129" i="3"/>
  <c r="E130" i="3"/>
  <c r="AG130" i="3" s="1"/>
  <c r="E131" i="3"/>
  <c r="E132" i="3"/>
  <c r="E133" i="3"/>
  <c r="E134" i="3"/>
  <c r="AG134" i="3" s="1"/>
  <c r="E135" i="3"/>
  <c r="E136" i="3"/>
  <c r="E137" i="3"/>
  <c r="AG137" i="3" s="1"/>
  <c r="E138" i="3"/>
  <c r="E139" i="3"/>
  <c r="E140" i="3"/>
  <c r="AG140" i="3" s="1"/>
  <c r="E141" i="3"/>
  <c r="E142" i="3"/>
  <c r="E143" i="3"/>
  <c r="E144" i="3"/>
  <c r="AG144" i="3" s="1"/>
  <c r="E145" i="3"/>
  <c r="E146" i="3"/>
  <c r="E147" i="3"/>
  <c r="E148" i="3"/>
  <c r="E149" i="3"/>
  <c r="AG149" i="3" s="1"/>
  <c r="E150" i="3"/>
  <c r="AG150" i="3" s="1"/>
  <c r="E151" i="3"/>
  <c r="E152" i="3"/>
  <c r="AG152" i="3" s="1"/>
  <c r="E153" i="3"/>
  <c r="E154" i="3"/>
  <c r="E155" i="3"/>
  <c r="E156" i="3"/>
  <c r="AG156" i="3" s="1"/>
  <c r="E157" i="3"/>
  <c r="E158" i="3"/>
  <c r="AG158" i="3" s="1"/>
  <c r="E159" i="3"/>
  <c r="AG159" i="3" s="1"/>
  <c r="E160" i="3"/>
  <c r="AG160" i="3" s="1"/>
  <c r="E161" i="3"/>
  <c r="E162" i="3"/>
  <c r="E163" i="3"/>
  <c r="E164" i="3"/>
  <c r="AG164" i="3" s="1"/>
  <c r="E165" i="3"/>
  <c r="E166" i="3"/>
  <c r="E167" i="3"/>
  <c r="E168" i="3"/>
  <c r="E169" i="3"/>
  <c r="E170" i="3"/>
  <c r="E171" i="3"/>
  <c r="AG171" i="3" s="1"/>
  <c r="E172" i="3"/>
  <c r="E173" i="3"/>
  <c r="AG173" i="3" s="1"/>
  <c r="E174" i="3"/>
  <c r="AG174" i="3" s="1"/>
  <c r="E175" i="3"/>
  <c r="AG175" i="3" s="1"/>
  <c r="E176" i="3"/>
  <c r="AG176" i="3" s="1"/>
  <c r="E177" i="3"/>
  <c r="AG177" i="3" s="1"/>
  <c r="E178" i="3"/>
  <c r="E179" i="3"/>
  <c r="E180" i="3"/>
  <c r="E181" i="3"/>
  <c r="AG181" i="3" s="1"/>
  <c r="E182" i="3"/>
  <c r="E183" i="3"/>
  <c r="E184" i="3"/>
  <c r="E185" i="3"/>
  <c r="E186" i="3"/>
  <c r="AG186" i="3" s="1"/>
  <c r="E187" i="3"/>
  <c r="AG187" i="3" s="1"/>
  <c r="E188" i="3"/>
  <c r="E189" i="3"/>
  <c r="E190" i="3"/>
  <c r="E191" i="3"/>
  <c r="AG191" i="3" s="1"/>
  <c r="E192" i="3"/>
  <c r="E193" i="3"/>
  <c r="AG193" i="3" s="1"/>
  <c r="E194" i="3"/>
  <c r="AG194" i="3" s="1"/>
  <c r="E195" i="3"/>
  <c r="E196" i="3"/>
  <c r="AG196" i="3" s="1"/>
  <c r="E197" i="3"/>
  <c r="E198" i="3"/>
  <c r="E199" i="3"/>
  <c r="AG199" i="3" s="1"/>
  <c r="E200" i="3"/>
  <c r="E201" i="3"/>
  <c r="E202" i="3"/>
  <c r="AG202" i="3" s="1"/>
  <c r="E203" i="3"/>
  <c r="AG203" i="3" s="1"/>
  <c r="E204" i="3"/>
  <c r="E205" i="3"/>
  <c r="AG205" i="3" s="1"/>
  <c r="E206" i="3"/>
  <c r="E207" i="3"/>
  <c r="AG207" i="3" s="1"/>
  <c r="E208" i="3"/>
  <c r="AG208" i="3" s="1"/>
  <c r="E209" i="3"/>
  <c r="E210" i="3"/>
  <c r="E211" i="3"/>
  <c r="E212" i="3"/>
  <c r="AG212" i="3" s="1"/>
  <c r="E213" i="3"/>
  <c r="AG213" i="3" s="1"/>
  <c r="E214" i="3"/>
  <c r="AG214" i="3" s="1"/>
  <c r="E215" i="3"/>
  <c r="E216" i="3"/>
  <c r="E217" i="3"/>
  <c r="AG217" i="3" s="1"/>
  <c r="E218" i="3"/>
  <c r="E219" i="3"/>
  <c r="AG219" i="3" s="1"/>
  <c r="E220" i="3"/>
  <c r="E221" i="3"/>
  <c r="E222" i="3"/>
  <c r="E223" i="3"/>
  <c r="AG223" i="3" s="1"/>
  <c r="E224" i="3"/>
  <c r="AG224" i="3" s="1"/>
  <c r="E225" i="3"/>
  <c r="AG225" i="3" s="1"/>
  <c r="E226" i="3"/>
  <c r="AG226" i="3" s="1"/>
  <c r="E227" i="3"/>
  <c r="AG227" i="3" s="1"/>
  <c r="E228" i="3"/>
  <c r="AG228" i="3" s="1"/>
  <c r="E229" i="3"/>
  <c r="E230" i="3"/>
  <c r="AG230" i="3" s="1"/>
  <c r="E231" i="3"/>
  <c r="E232" i="3"/>
  <c r="E233" i="3"/>
  <c r="E234" i="3"/>
  <c r="AG234" i="3" s="1"/>
  <c r="E235" i="3"/>
  <c r="E236" i="3"/>
  <c r="AG236" i="3" s="1"/>
  <c r="E237" i="3"/>
  <c r="E238" i="3"/>
  <c r="AG238" i="3" s="1"/>
  <c r="E239" i="3"/>
  <c r="AG239" i="3" s="1"/>
  <c r="E240" i="3"/>
  <c r="E241" i="3"/>
  <c r="AG241" i="3" s="1"/>
  <c r="E242" i="3"/>
  <c r="E243" i="3"/>
  <c r="AG243" i="3" s="1"/>
  <c r="E244" i="3"/>
  <c r="E245" i="3"/>
  <c r="AG245" i="3" s="1"/>
  <c r="E246" i="3"/>
  <c r="AG246" i="3" s="1"/>
  <c r="E247" i="3"/>
  <c r="E248" i="3"/>
  <c r="AG248" i="3" s="1"/>
  <c r="E249" i="3"/>
  <c r="E250" i="3"/>
  <c r="AG250" i="3" s="1"/>
  <c r="E251" i="3"/>
  <c r="E252" i="3"/>
  <c r="E253" i="3"/>
  <c r="E254" i="3"/>
  <c r="AG254" i="3" s="1"/>
  <c r="E255" i="3"/>
  <c r="E256" i="3"/>
  <c r="E257" i="3"/>
  <c r="E258" i="3"/>
  <c r="E259" i="3"/>
  <c r="E260" i="3"/>
  <c r="E261" i="3"/>
  <c r="E262" i="3"/>
  <c r="E263" i="3"/>
  <c r="E264" i="3"/>
  <c r="AG264" i="3" s="1"/>
  <c r="E265" i="3"/>
  <c r="E266" i="3"/>
  <c r="E267" i="3"/>
  <c r="E268" i="3"/>
  <c r="AG268" i="3" s="1"/>
  <c r="E269" i="3"/>
  <c r="AG269" i="3" s="1"/>
  <c r="E270" i="3"/>
  <c r="AG270" i="3" s="1"/>
  <c r="E271" i="3"/>
  <c r="AG271" i="3" s="1"/>
  <c r="E272" i="3"/>
  <c r="E273" i="3"/>
  <c r="E274" i="3"/>
  <c r="E275" i="3"/>
  <c r="E276" i="3"/>
  <c r="E277" i="3"/>
  <c r="E278" i="3"/>
  <c r="AG278" i="3" s="1"/>
  <c r="E279" i="3"/>
  <c r="E280" i="3"/>
  <c r="E281" i="3"/>
  <c r="AG281" i="3" s="1"/>
  <c r="E282" i="3"/>
  <c r="E283" i="3"/>
  <c r="E284" i="3"/>
  <c r="E285" i="3"/>
  <c r="AG285" i="3" s="1"/>
  <c r="E286" i="3"/>
  <c r="E287" i="3"/>
  <c r="AG287" i="3" s="1"/>
  <c r="E288" i="3"/>
  <c r="AG288" i="3" s="1"/>
  <c r="E289" i="3"/>
  <c r="AG289" i="3" s="1"/>
  <c r="E290" i="3"/>
  <c r="E291" i="3"/>
  <c r="E292" i="3"/>
  <c r="AG292" i="3" s="1"/>
  <c r="E293" i="3"/>
  <c r="E294" i="3"/>
  <c r="E295" i="3"/>
  <c r="E296" i="3"/>
  <c r="AG296" i="3" s="1"/>
  <c r="E297" i="3"/>
  <c r="E298" i="3"/>
  <c r="E299" i="3"/>
  <c r="E300" i="3"/>
  <c r="E301" i="3"/>
  <c r="AG301" i="3" s="1"/>
  <c r="E302" i="3"/>
  <c r="AG302" i="3" s="1"/>
  <c r="E303" i="3"/>
  <c r="AG303" i="3" s="1"/>
  <c r="E304" i="3"/>
  <c r="E305" i="3"/>
  <c r="AG305" i="3" s="1"/>
  <c r="E306" i="3"/>
  <c r="E307" i="3"/>
  <c r="AG307" i="3" s="1"/>
  <c r="E308" i="3"/>
  <c r="AG308" i="3" s="1"/>
  <c r="E309" i="3"/>
  <c r="AG309" i="3" s="1"/>
  <c r="E310" i="3"/>
  <c r="E311" i="3"/>
  <c r="E312" i="3"/>
  <c r="AG312" i="3" s="1"/>
  <c r="E313" i="3"/>
  <c r="E314" i="3"/>
  <c r="AG314" i="3" s="1"/>
  <c r="E315" i="3"/>
  <c r="AG315" i="3" s="1"/>
  <c r="E316" i="3"/>
  <c r="E317" i="3"/>
  <c r="E318" i="3"/>
  <c r="AG318" i="3" s="1"/>
  <c r="E319" i="3"/>
  <c r="E320" i="3"/>
  <c r="AG320" i="3" s="1"/>
  <c r="E321" i="3"/>
  <c r="E322" i="3"/>
  <c r="E323" i="3"/>
  <c r="AG323" i="3" s="1"/>
  <c r="E324" i="3"/>
  <c r="E325" i="3"/>
  <c r="AG325" i="3" s="1"/>
  <c r="E326" i="3"/>
  <c r="E327" i="3"/>
  <c r="AG327" i="3" s="1"/>
  <c r="E328" i="3"/>
  <c r="AG328" i="3" s="1"/>
  <c r="E329" i="3"/>
  <c r="AG329" i="3" s="1"/>
  <c r="E330" i="3"/>
  <c r="AG330" i="3" s="1"/>
  <c r="E331" i="3"/>
  <c r="E332" i="3"/>
  <c r="AG332" i="3" s="1"/>
  <c r="E333" i="3"/>
  <c r="AG333" i="3" s="1"/>
  <c r="E334" i="3"/>
  <c r="AG334" i="3" s="1"/>
  <c r="E335" i="3"/>
  <c r="E336" i="3"/>
  <c r="AG336" i="3" s="1"/>
  <c r="E337" i="3"/>
  <c r="AG337" i="3" s="1"/>
  <c r="E338" i="3"/>
  <c r="E339" i="3"/>
  <c r="E340" i="3"/>
  <c r="AG340" i="3" s="1"/>
  <c r="E341" i="3"/>
  <c r="E342" i="3"/>
  <c r="E343" i="3"/>
  <c r="E344" i="3"/>
  <c r="E345" i="3"/>
  <c r="E346" i="3"/>
  <c r="E347" i="3"/>
  <c r="AG347" i="3" s="1"/>
  <c r="E348" i="3"/>
  <c r="AG348" i="3" s="1"/>
  <c r="E349" i="3"/>
  <c r="AG349" i="3" s="1"/>
  <c r="E350" i="3"/>
  <c r="AG350" i="3" s="1"/>
  <c r="E351" i="3"/>
  <c r="E352" i="3"/>
  <c r="E353" i="3"/>
  <c r="AG353" i="3" s="1"/>
  <c r="E354" i="3"/>
  <c r="E355" i="3"/>
  <c r="E356" i="3"/>
  <c r="AG356" i="3" s="1"/>
  <c r="E357" i="3"/>
  <c r="E358" i="3"/>
  <c r="AG358" i="3" s="1"/>
  <c r="E359" i="3"/>
  <c r="AG359" i="3" s="1"/>
  <c r="E360" i="3"/>
  <c r="AG360" i="3" s="1"/>
  <c r="E361" i="3"/>
  <c r="E362" i="3"/>
  <c r="E363" i="3"/>
  <c r="E364" i="3"/>
  <c r="E365" i="3"/>
  <c r="AG365" i="3" s="1"/>
  <c r="E366" i="3"/>
  <c r="AG366" i="3" s="1"/>
  <c r="E367" i="3"/>
  <c r="AG367" i="3" s="1"/>
  <c r="E368" i="3"/>
  <c r="AG368" i="3" s="1"/>
  <c r="E369" i="3"/>
  <c r="AG369" i="3" s="1"/>
  <c r="E370" i="3"/>
  <c r="AG370" i="3" s="1"/>
  <c r="E371" i="3"/>
  <c r="AG371" i="3" s="1"/>
  <c r="E372" i="3"/>
  <c r="E373" i="3"/>
  <c r="E374" i="3"/>
  <c r="AG374" i="3" s="1"/>
  <c r="E375" i="3"/>
  <c r="E376" i="3"/>
  <c r="AG376" i="3" s="1"/>
  <c r="E377" i="3"/>
  <c r="AG377" i="3" s="1"/>
  <c r="E378" i="3"/>
  <c r="E379" i="3"/>
  <c r="E380" i="3"/>
  <c r="AG380" i="3" s="1"/>
  <c r="E381" i="3"/>
  <c r="E382" i="3"/>
  <c r="E383" i="3"/>
  <c r="AG383" i="3" s="1"/>
  <c r="E384" i="3"/>
  <c r="AG384" i="3" s="1"/>
  <c r="E385" i="3"/>
  <c r="AG385" i="3" s="1"/>
  <c r="E386" i="3"/>
  <c r="AG386" i="3" s="1"/>
  <c r="E387" i="3"/>
  <c r="E388" i="3"/>
  <c r="AG388" i="3" s="1"/>
  <c r="E389" i="3"/>
  <c r="E390" i="3"/>
  <c r="E391" i="3"/>
  <c r="AG391" i="3" s="1"/>
  <c r="E392" i="3"/>
  <c r="AG392" i="3" s="1"/>
  <c r="E393" i="3"/>
  <c r="AG393" i="3" s="1"/>
  <c r="E394" i="3"/>
  <c r="E395" i="3"/>
  <c r="AG395" i="3" s="1"/>
  <c r="E396" i="3"/>
  <c r="AG396" i="3" s="1"/>
  <c r="E397" i="3"/>
  <c r="AG397" i="3" s="1"/>
  <c r="E398" i="3"/>
  <c r="AG398" i="3" s="1"/>
  <c r="E399" i="3"/>
  <c r="AG399" i="3" s="1"/>
  <c r="E400" i="3"/>
  <c r="E401" i="3"/>
  <c r="AG401" i="3" s="1"/>
  <c r="E402" i="3"/>
  <c r="E403" i="3"/>
  <c r="E404" i="3"/>
  <c r="E405" i="3"/>
  <c r="AG405" i="3" s="1"/>
  <c r="E406" i="3"/>
  <c r="AG406" i="3" s="1"/>
  <c r="E407" i="3"/>
  <c r="AG407" i="3" s="1"/>
  <c r="E408" i="3"/>
  <c r="AG408" i="3" s="1"/>
  <c r="E409" i="3"/>
  <c r="E410" i="3"/>
  <c r="AG410" i="3" s="1"/>
  <c r="E411" i="3"/>
  <c r="AG411" i="3" s="1"/>
  <c r="E412" i="3"/>
  <c r="AG412" i="3" s="1"/>
  <c r="E413" i="3"/>
  <c r="AG413" i="3" s="1"/>
  <c r="E414" i="3"/>
  <c r="AG414" i="3" s="1"/>
  <c r="E415" i="3"/>
  <c r="AG415" i="3" s="1"/>
  <c r="E416" i="3"/>
  <c r="AG416" i="3" s="1"/>
  <c r="E417" i="3"/>
  <c r="E418" i="3"/>
  <c r="AG418" i="3" s="1"/>
  <c r="E419" i="3"/>
  <c r="AG419" i="3" s="1"/>
  <c r="E420" i="3"/>
  <c r="AG420" i="3" s="1"/>
  <c r="E421" i="3"/>
  <c r="AG421" i="3" s="1"/>
  <c r="E422" i="3"/>
  <c r="AG422" i="3" s="1"/>
  <c r="E423" i="3"/>
  <c r="AG423" i="3" s="1"/>
  <c r="E424" i="3"/>
  <c r="AG424" i="3" s="1"/>
  <c r="E425" i="3"/>
  <c r="AG425" i="3" s="1"/>
  <c r="E426" i="3"/>
  <c r="AG426" i="3" s="1"/>
  <c r="E427" i="3"/>
  <c r="AG427" i="3" s="1"/>
  <c r="E428" i="3"/>
  <c r="AG428" i="3" s="1"/>
  <c r="E429" i="3"/>
  <c r="E430" i="3"/>
  <c r="E431" i="3"/>
  <c r="AG431" i="3" s="1"/>
  <c r="E432" i="3"/>
  <c r="E433" i="3"/>
  <c r="AG433" i="3" s="1"/>
  <c r="E434" i="3"/>
  <c r="E435" i="3"/>
  <c r="AG435" i="3" s="1"/>
  <c r="E436" i="3"/>
  <c r="E437" i="3"/>
  <c r="AG437" i="3" s="1"/>
  <c r="E438" i="3"/>
  <c r="E439" i="3"/>
  <c r="E440" i="3"/>
  <c r="E441" i="3"/>
  <c r="AG441" i="3" s="1"/>
  <c r="E442" i="3"/>
  <c r="E443" i="3"/>
  <c r="E444" i="3"/>
  <c r="AG444" i="3" s="1"/>
  <c r="E445" i="3"/>
  <c r="AG445" i="3" s="1"/>
  <c r="E446" i="3"/>
  <c r="AG446" i="3" s="1"/>
  <c r="E447" i="3"/>
  <c r="AG447" i="3" s="1"/>
  <c r="E448" i="3"/>
  <c r="E449" i="3"/>
  <c r="AG449" i="3" s="1"/>
  <c r="E450" i="3"/>
  <c r="AG450" i="3" s="1"/>
  <c r="E451" i="3"/>
  <c r="E452" i="3"/>
  <c r="AG452" i="3" s="1"/>
  <c r="E453" i="3"/>
  <c r="AG453" i="3" s="1"/>
  <c r="E454" i="3"/>
  <c r="E455" i="3"/>
  <c r="AG455" i="3" s="1"/>
  <c r="E456" i="3"/>
  <c r="E457" i="3"/>
  <c r="AG457" i="3" s="1"/>
  <c r="E458" i="3"/>
  <c r="AG458" i="3" s="1"/>
  <c r="E459" i="3"/>
  <c r="AG459" i="3" s="1"/>
  <c r="E460" i="3"/>
  <c r="AG460" i="3" s="1"/>
  <c r="E461" i="3"/>
  <c r="AG461" i="3" s="1"/>
  <c r="E462" i="3"/>
  <c r="E463" i="3"/>
  <c r="AG463" i="3" s="1"/>
  <c r="E464" i="3"/>
  <c r="AG464" i="3" s="1"/>
  <c r="E465" i="3"/>
  <c r="AG465" i="3" s="1"/>
  <c r="E466" i="3"/>
  <c r="AG466" i="3" s="1"/>
  <c r="E467" i="3"/>
  <c r="E468" i="3"/>
  <c r="AG468" i="3" s="1"/>
  <c r="E469" i="3"/>
  <c r="E470" i="3"/>
  <c r="AG470" i="3" s="1"/>
  <c r="E471" i="3"/>
  <c r="E472" i="3"/>
  <c r="AG472" i="3" s="1"/>
  <c r="E473" i="3"/>
  <c r="E474" i="3"/>
  <c r="AG474" i="3" s="1"/>
  <c r="E475" i="3"/>
  <c r="AG475" i="3" s="1"/>
  <c r="E476" i="3"/>
  <c r="AG476" i="3" s="1"/>
  <c r="E477" i="3"/>
  <c r="AG477" i="3" s="1"/>
  <c r="E478" i="3"/>
  <c r="AG478" i="3" s="1"/>
  <c r="E479" i="3"/>
  <c r="AG479" i="3" s="1"/>
  <c r="E480" i="3"/>
  <c r="E481" i="3"/>
  <c r="E482" i="3"/>
  <c r="AG482" i="3" s="1"/>
  <c r="E483" i="3"/>
  <c r="E484" i="3"/>
  <c r="E485" i="3"/>
  <c r="E486" i="3"/>
  <c r="E487" i="3"/>
  <c r="AG487" i="3" s="1"/>
  <c r="E488" i="3"/>
  <c r="AG488" i="3" s="1"/>
  <c r="E489" i="3"/>
  <c r="AG489" i="3" s="1"/>
  <c r="E490" i="3"/>
  <c r="AG490" i="3" s="1"/>
  <c r="E491" i="3"/>
  <c r="AG491" i="3" s="1"/>
  <c r="E492" i="3"/>
  <c r="AG492" i="3" s="1"/>
  <c r="E493" i="3"/>
  <c r="AG493" i="3" s="1"/>
  <c r="E494" i="3"/>
  <c r="E495" i="3"/>
  <c r="AG495" i="3" s="1"/>
  <c r="E496" i="3"/>
  <c r="E497" i="3"/>
  <c r="AG497" i="3" s="1"/>
  <c r="E498" i="3"/>
  <c r="AG498" i="3" s="1"/>
  <c r="E499" i="3"/>
  <c r="AG499" i="3" s="1"/>
  <c r="E500" i="3"/>
  <c r="AG500" i="3" s="1"/>
  <c r="E501" i="3"/>
  <c r="AG501" i="3" s="1"/>
  <c r="E502" i="3"/>
  <c r="AG502" i="3" s="1"/>
  <c r="E503" i="3"/>
  <c r="E504" i="3"/>
  <c r="E505" i="3"/>
  <c r="E506" i="3"/>
  <c r="AG506" i="3" s="1"/>
  <c r="E507" i="3"/>
  <c r="AG507" i="3" s="1"/>
  <c r="E508" i="3"/>
  <c r="AG508" i="3" s="1"/>
  <c r="E509" i="3"/>
  <c r="AG509" i="3" s="1"/>
  <c r="E510" i="3"/>
  <c r="AG510" i="3" s="1"/>
  <c r="E511" i="3"/>
  <c r="AG511" i="3" s="1"/>
  <c r="E512" i="3"/>
  <c r="AG512" i="3" s="1"/>
  <c r="E513" i="3"/>
  <c r="AG513" i="3" s="1"/>
  <c r="E514" i="3"/>
  <c r="AG514" i="3" s="1"/>
  <c r="E515" i="3"/>
  <c r="AG515" i="3" s="1"/>
  <c r="E516" i="3"/>
  <c r="E517" i="3"/>
  <c r="E518" i="3"/>
  <c r="AG518" i="3" s="1"/>
  <c r="E519" i="3"/>
  <c r="AG519" i="3" s="1"/>
  <c r="E520" i="3"/>
  <c r="AG520" i="3" s="1"/>
  <c r="E521" i="3"/>
  <c r="AG521" i="3" s="1"/>
  <c r="E522" i="3"/>
  <c r="E523" i="3"/>
  <c r="E524" i="3"/>
  <c r="AG524" i="3" s="1"/>
  <c r="E525" i="3"/>
  <c r="E526" i="3"/>
  <c r="E527" i="3"/>
  <c r="AG527" i="3" s="1"/>
  <c r="E528" i="3"/>
  <c r="E529" i="3"/>
  <c r="AG529" i="3" s="1"/>
  <c r="E530" i="3"/>
  <c r="AG530" i="3" s="1"/>
  <c r="E531" i="3"/>
  <c r="E532" i="3"/>
  <c r="AG532" i="3" s="1"/>
  <c r="E533" i="3"/>
  <c r="AG533" i="3" s="1"/>
  <c r="E534" i="3"/>
  <c r="AG534" i="3" s="1"/>
  <c r="E535" i="3"/>
  <c r="E536" i="3"/>
  <c r="E537" i="3"/>
  <c r="AG537" i="3" s="1"/>
  <c r="E538" i="3"/>
  <c r="E539" i="3"/>
  <c r="AG539" i="3" s="1"/>
  <c r="E540" i="3"/>
  <c r="E541" i="3"/>
  <c r="AG541" i="3" s="1"/>
  <c r="E542" i="3"/>
  <c r="E543" i="3"/>
  <c r="E544" i="3"/>
  <c r="E545" i="3"/>
  <c r="AG545" i="3" s="1"/>
  <c r="E546" i="3"/>
  <c r="E547" i="3"/>
  <c r="AG547" i="3" s="1"/>
  <c r="E548" i="3"/>
  <c r="E549" i="3"/>
  <c r="AG549" i="3" s="1"/>
  <c r="E550" i="3"/>
  <c r="E551" i="3"/>
  <c r="E552" i="3"/>
  <c r="E553" i="3"/>
  <c r="E554" i="3"/>
  <c r="AG554" i="3" s="1"/>
  <c r="E555" i="3"/>
  <c r="E556" i="3"/>
  <c r="AG556" i="3" s="1"/>
  <c r="E557" i="3"/>
  <c r="AG557" i="3" s="1"/>
  <c r="E558" i="3"/>
  <c r="AG558" i="3" s="1"/>
  <c r="E559" i="3"/>
  <c r="E560" i="3"/>
  <c r="E561" i="3"/>
  <c r="E562" i="3"/>
  <c r="E563" i="3"/>
  <c r="AG563" i="3" s="1"/>
  <c r="E564" i="3"/>
  <c r="E565" i="3"/>
  <c r="AG565" i="3" s="1"/>
  <c r="E566" i="3"/>
  <c r="E567" i="3"/>
  <c r="AG567" i="3" s="1"/>
  <c r="E568" i="3"/>
  <c r="AG568" i="3" s="1"/>
  <c r="E569" i="3"/>
  <c r="AG569" i="3" s="1"/>
  <c r="E570" i="3"/>
  <c r="AG570" i="3" s="1"/>
  <c r="E571" i="3"/>
  <c r="AG571" i="3" s="1"/>
  <c r="E572" i="3"/>
  <c r="E573" i="3"/>
  <c r="AG573" i="3" s="1"/>
  <c r="E574" i="3"/>
  <c r="AG574" i="3" s="1"/>
  <c r="E575" i="3"/>
  <c r="E576" i="3"/>
  <c r="AG576" i="3" s="1"/>
  <c r="E577" i="3"/>
  <c r="AG577" i="3" s="1"/>
  <c r="E578" i="3"/>
  <c r="AG578" i="3" s="1"/>
  <c r="E579" i="3"/>
  <c r="E580" i="3"/>
  <c r="AG580" i="3" s="1"/>
  <c r="E581" i="3"/>
  <c r="AG581" i="3" s="1"/>
  <c r="E582" i="3"/>
  <c r="E583" i="3"/>
  <c r="AG583" i="3" s="1"/>
  <c r="E584" i="3"/>
  <c r="E585" i="3"/>
  <c r="E586" i="3"/>
  <c r="E587" i="3"/>
  <c r="AG587" i="3" s="1"/>
  <c r="E588" i="3"/>
  <c r="E589" i="3"/>
  <c r="E590" i="3"/>
  <c r="E591" i="3"/>
  <c r="E592" i="3"/>
  <c r="E593" i="3"/>
  <c r="E594" i="3"/>
  <c r="AG594" i="3" s="1"/>
  <c r="E595" i="3"/>
  <c r="E596" i="3"/>
  <c r="AG596" i="3" s="1"/>
  <c r="E597" i="3"/>
  <c r="AG597" i="3" s="1"/>
  <c r="E598" i="3"/>
  <c r="E599" i="3"/>
  <c r="E600" i="3"/>
  <c r="E601" i="3"/>
  <c r="AG601" i="3" s="1"/>
  <c r="E602" i="3"/>
  <c r="AG602" i="3" s="1"/>
  <c r="E603" i="3"/>
  <c r="AG603" i="3" s="1"/>
  <c r="E604" i="3"/>
  <c r="AG604" i="3" s="1"/>
  <c r="E605" i="3"/>
  <c r="E606" i="3"/>
  <c r="E607" i="3"/>
  <c r="E608" i="3"/>
  <c r="E609" i="3"/>
  <c r="E610" i="3"/>
  <c r="AG610" i="3" s="1"/>
  <c r="E611" i="3"/>
  <c r="AG611" i="3" s="1"/>
  <c r="E612" i="3"/>
  <c r="AG612" i="3" s="1"/>
  <c r="E613" i="3"/>
  <c r="E614" i="3"/>
  <c r="E615" i="3"/>
  <c r="E616" i="3"/>
  <c r="AG616" i="3" s="1"/>
  <c r="E617" i="3"/>
  <c r="AG617" i="3" s="1"/>
  <c r="E618" i="3"/>
  <c r="AG618" i="3" s="1"/>
  <c r="E619" i="3"/>
  <c r="AG619" i="3" s="1"/>
  <c r="E620" i="3"/>
  <c r="AG620" i="3" s="1"/>
  <c r="E621" i="3"/>
  <c r="AG621" i="3" s="1"/>
  <c r="E622" i="3"/>
  <c r="AG622" i="3" s="1"/>
  <c r="E623" i="3"/>
  <c r="E624" i="3"/>
  <c r="AG624" i="3" s="1"/>
  <c r="E625" i="3"/>
  <c r="AG625" i="3" s="1"/>
  <c r="E626" i="3"/>
  <c r="AG626" i="3" s="1"/>
  <c r="E627" i="3"/>
  <c r="E628" i="3"/>
  <c r="AG628" i="3" s="1"/>
  <c r="E629" i="3"/>
  <c r="AG629" i="3" s="1"/>
  <c r="E630" i="3"/>
  <c r="AG630" i="3" s="1"/>
  <c r="E631" i="3"/>
  <c r="AG631" i="3" s="1"/>
  <c r="E632" i="3"/>
  <c r="E633" i="3"/>
  <c r="AG633" i="3" s="1"/>
  <c r="E634" i="3"/>
  <c r="AG634" i="3" s="1"/>
  <c r="E635" i="3"/>
  <c r="AG635" i="3" s="1"/>
  <c r="E636" i="3"/>
  <c r="AG636" i="3" s="1"/>
  <c r="E637" i="3"/>
  <c r="AG637" i="3" s="1"/>
  <c r="E638" i="3"/>
  <c r="AG638" i="3" s="1"/>
  <c r="E639" i="3"/>
  <c r="AG639" i="3" s="1"/>
  <c r="E640" i="3"/>
  <c r="AG640" i="3" s="1"/>
  <c r="E641" i="3"/>
  <c r="AG641" i="3" s="1"/>
  <c r="E642" i="3"/>
  <c r="AG642" i="3" s="1"/>
  <c r="E643" i="3"/>
  <c r="E644" i="3"/>
  <c r="AG644" i="3" s="1"/>
  <c r="E645" i="3"/>
  <c r="E646" i="3"/>
  <c r="AG646" i="3" s="1"/>
  <c r="E647" i="3"/>
  <c r="E648" i="3"/>
  <c r="E649" i="3"/>
  <c r="E650" i="3"/>
  <c r="AG650" i="3" s="1"/>
  <c r="E651" i="3"/>
  <c r="AG651" i="3" s="1"/>
  <c r="E652" i="3"/>
  <c r="AG652" i="3" s="1"/>
  <c r="E653" i="3"/>
  <c r="AG653" i="3" s="1"/>
  <c r="E654" i="3"/>
  <c r="AG654" i="3" s="1"/>
  <c r="E655" i="3"/>
  <c r="E656" i="3"/>
  <c r="AG656" i="3" s="1"/>
  <c r="E657" i="3"/>
  <c r="E658" i="3"/>
  <c r="AG658" i="3" s="1"/>
  <c r="E659" i="3"/>
  <c r="E660" i="3"/>
  <c r="E661" i="3"/>
  <c r="E662" i="3"/>
  <c r="E663" i="3"/>
  <c r="E664" i="3"/>
  <c r="AG664" i="3" s="1"/>
  <c r="E665" i="3"/>
  <c r="AG665" i="3" s="1"/>
  <c r="E666" i="3"/>
  <c r="E667" i="3"/>
  <c r="AG667" i="3" s="1"/>
  <c r="E668" i="3"/>
  <c r="AG668" i="3" s="1"/>
  <c r="E669" i="3"/>
  <c r="AG669" i="3" s="1"/>
  <c r="E670" i="3"/>
  <c r="AG670" i="3" s="1"/>
  <c r="E671" i="3"/>
  <c r="AG671" i="3" s="1"/>
  <c r="E672" i="3"/>
  <c r="AG672" i="3" s="1"/>
  <c r="E673" i="3"/>
  <c r="AG673" i="3" s="1"/>
  <c r="E674" i="3"/>
  <c r="AG674" i="3" s="1"/>
  <c r="E675" i="3"/>
  <c r="AG675" i="3" s="1"/>
  <c r="E676" i="3"/>
  <c r="E677" i="3"/>
  <c r="AG677" i="3" s="1"/>
  <c r="E678" i="3"/>
  <c r="AG678" i="3" s="1"/>
  <c r="E679" i="3"/>
  <c r="AG679" i="3" s="1"/>
  <c r="E680" i="3"/>
  <c r="AG680" i="3" s="1"/>
  <c r="E681" i="3"/>
  <c r="AG681" i="3" s="1"/>
  <c r="E682" i="3"/>
  <c r="AG682" i="3" s="1"/>
  <c r="E683" i="3"/>
  <c r="AG683" i="3" s="1"/>
  <c r="E684" i="3"/>
  <c r="AG684" i="3" s="1"/>
  <c r="E685" i="3"/>
  <c r="AG685" i="3" s="1"/>
  <c r="E686" i="3"/>
  <c r="AG686" i="3" s="1"/>
  <c r="E687" i="3"/>
  <c r="AG687" i="3" s="1"/>
  <c r="E688" i="3"/>
  <c r="E689" i="3"/>
  <c r="AG689" i="3" s="1"/>
  <c r="E690" i="3"/>
  <c r="AG690" i="3" s="1"/>
  <c r="E691" i="3"/>
  <c r="AG691" i="3" s="1"/>
  <c r="E692" i="3"/>
  <c r="AG692" i="3" s="1"/>
  <c r="E693" i="3"/>
  <c r="AG693" i="3" s="1"/>
  <c r="E694" i="3"/>
  <c r="AG694" i="3" s="1"/>
  <c r="E695" i="3"/>
  <c r="E696" i="3"/>
  <c r="AG696" i="3" s="1"/>
  <c r="E697" i="3"/>
  <c r="AG697" i="3" s="1"/>
  <c r="E698" i="3"/>
  <c r="AG698" i="3" s="1"/>
  <c r="E699" i="3"/>
  <c r="AG699" i="3" s="1"/>
  <c r="E700" i="3"/>
  <c r="AG700" i="3" s="1"/>
  <c r="E701" i="3"/>
  <c r="AG701" i="3" s="1"/>
  <c r="E702" i="3"/>
  <c r="AG702" i="3" s="1"/>
  <c r="E703" i="3"/>
  <c r="AG703" i="3" s="1"/>
  <c r="E704" i="3"/>
  <c r="AG704" i="3" s="1"/>
  <c r="E705" i="3"/>
  <c r="AG705" i="3" s="1"/>
  <c r="E706" i="3"/>
  <c r="AG706" i="3" s="1"/>
  <c r="E707" i="3"/>
  <c r="AG707" i="3" s="1"/>
  <c r="E708" i="3"/>
  <c r="AG708" i="3" s="1"/>
  <c r="E709" i="3"/>
  <c r="AG709" i="3" s="1"/>
  <c r="E710" i="3"/>
  <c r="AG710" i="3" s="1"/>
  <c r="E711" i="3"/>
  <c r="E712" i="3"/>
  <c r="AG712" i="3" s="1"/>
  <c r="E713" i="3"/>
  <c r="AG713" i="3" s="1"/>
  <c r="E714" i="3"/>
  <c r="AG714" i="3" s="1"/>
  <c r="E715" i="3"/>
  <c r="AG715" i="3" s="1"/>
  <c r="E716" i="3"/>
  <c r="E717" i="3"/>
  <c r="AG717" i="3" s="1"/>
  <c r="E718" i="3"/>
  <c r="AG718" i="3" s="1"/>
  <c r="E719" i="3"/>
  <c r="AG719" i="3" s="1"/>
  <c r="E720" i="3"/>
  <c r="AG720" i="3" s="1"/>
  <c r="E721" i="3"/>
  <c r="E722" i="3"/>
  <c r="AG722" i="3" s="1"/>
  <c r="E723" i="3"/>
  <c r="AG723" i="3" s="1"/>
  <c r="E724" i="3"/>
  <c r="AG724" i="3" s="1"/>
  <c r="E725" i="3"/>
  <c r="AG725" i="3" s="1"/>
  <c r="E726" i="3"/>
  <c r="AG726" i="3" s="1"/>
  <c r="E727" i="3"/>
  <c r="E728" i="3"/>
  <c r="AG728" i="3" s="1"/>
  <c r="E729" i="3"/>
  <c r="AG729" i="3" s="1"/>
  <c r="E730" i="3"/>
  <c r="AG730" i="3" s="1"/>
  <c r="E731" i="3"/>
  <c r="AG731" i="3" s="1"/>
  <c r="E732" i="3"/>
  <c r="AG732" i="3" s="1"/>
  <c r="E733" i="3"/>
  <c r="AG733" i="3" s="1"/>
  <c r="E734" i="3"/>
  <c r="AG734" i="3" s="1"/>
  <c r="E735" i="3"/>
  <c r="E736" i="3"/>
  <c r="E737" i="3"/>
  <c r="E738" i="3"/>
  <c r="AG738" i="3" s="1"/>
  <c r="E739" i="3"/>
  <c r="AG739" i="3" s="1"/>
  <c r="E740" i="3"/>
  <c r="E741" i="3"/>
  <c r="AG741" i="3" s="1"/>
  <c r="E742" i="3"/>
  <c r="AG742" i="3" s="1"/>
  <c r="E743" i="3"/>
  <c r="AG743" i="3" s="1"/>
  <c r="E744" i="3"/>
  <c r="E745" i="3"/>
  <c r="AG745" i="3" s="1"/>
  <c r="E746" i="3"/>
  <c r="AG746" i="3" s="1"/>
  <c r="E747" i="3"/>
  <c r="E748" i="3"/>
  <c r="E749" i="3"/>
  <c r="AG749" i="3" s="1"/>
  <c r="E750" i="3"/>
  <c r="AG750" i="3" s="1"/>
  <c r="E751" i="3"/>
  <c r="AG751" i="3" s="1"/>
  <c r="E752" i="3"/>
  <c r="AG752" i="3" s="1"/>
  <c r="E753" i="3"/>
  <c r="AG753" i="3" s="1"/>
  <c r="E754" i="3"/>
  <c r="AG754" i="3" s="1"/>
  <c r="E755" i="3"/>
  <c r="AG755" i="3" s="1"/>
  <c r="E756" i="3"/>
  <c r="AG756" i="3" s="1"/>
  <c r="E757" i="3"/>
  <c r="AG757" i="3" s="1"/>
  <c r="E758" i="3"/>
  <c r="AG758" i="3" s="1"/>
  <c r="E759" i="3"/>
  <c r="E760" i="3"/>
  <c r="E761" i="3"/>
  <c r="E762" i="3"/>
  <c r="E763" i="3"/>
  <c r="AG763" i="3" s="1"/>
  <c r="E764" i="3"/>
  <c r="E765" i="3"/>
  <c r="E766" i="3"/>
  <c r="AG766" i="3" s="1"/>
  <c r="E767" i="3"/>
  <c r="E768" i="3"/>
  <c r="AG768" i="3" s="1"/>
  <c r="E769" i="3"/>
  <c r="AG769" i="3" s="1"/>
  <c r="E770" i="3"/>
  <c r="AG770" i="3" s="1"/>
  <c r="E771" i="3"/>
  <c r="AG771" i="3" s="1"/>
  <c r="E772" i="3"/>
  <c r="AG772" i="3" s="1"/>
  <c r="E773" i="3"/>
  <c r="E774" i="3"/>
  <c r="AG774" i="3" s="1"/>
  <c r="E775" i="3"/>
  <c r="AG775" i="3" s="1"/>
  <c r="E776" i="3"/>
  <c r="AG776" i="3" s="1"/>
  <c r="E777" i="3"/>
  <c r="AG777" i="3" s="1"/>
  <c r="E778" i="3"/>
  <c r="AG778" i="3" s="1"/>
  <c r="E779" i="3"/>
  <c r="E780" i="3"/>
  <c r="E781" i="3"/>
  <c r="AG781" i="3" s="1"/>
  <c r="E782" i="3"/>
  <c r="AG782" i="3" s="1"/>
  <c r="E783" i="3"/>
  <c r="AG783" i="3" s="1"/>
  <c r="E784" i="3"/>
  <c r="AG784" i="3" s="1"/>
  <c r="E785" i="3"/>
  <c r="E786" i="3"/>
  <c r="AG786" i="3" s="1"/>
  <c r="E787" i="3"/>
  <c r="E788" i="3"/>
  <c r="AG788" i="3" s="1"/>
  <c r="E789" i="3"/>
  <c r="AG789" i="3" s="1"/>
  <c r="E790" i="3"/>
  <c r="AG790" i="3" s="1"/>
  <c r="E791" i="3"/>
  <c r="AG791" i="3" s="1"/>
  <c r="E792" i="3"/>
  <c r="AG792" i="3" s="1"/>
  <c r="E793" i="3"/>
  <c r="AG793" i="3" s="1"/>
  <c r="E794" i="3"/>
  <c r="AG794" i="3" s="1"/>
  <c r="E795" i="3"/>
  <c r="AG795" i="3" s="1"/>
  <c r="E796" i="3"/>
  <c r="E797" i="3"/>
  <c r="AG797" i="3" s="1"/>
  <c r="E798" i="3"/>
  <c r="AG798" i="3" s="1"/>
  <c r="E799" i="3"/>
  <c r="AG799" i="3" s="1"/>
  <c r="E800" i="3"/>
  <c r="E801" i="3"/>
  <c r="AG801" i="3" s="1"/>
  <c r="E802" i="3"/>
  <c r="AG802" i="3" s="1"/>
  <c r="E803" i="3"/>
  <c r="AG803" i="3" s="1"/>
  <c r="E804" i="3"/>
  <c r="AG804" i="3" s="1"/>
  <c r="E805" i="3"/>
  <c r="AG805" i="3" s="1"/>
  <c r="E806" i="3"/>
  <c r="AG806" i="3" s="1"/>
  <c r="E807" i="3"/>
  <c r="E808" i="3"/>
  <c r="AG808" i="3" s="1"/>
  <c r="E809" i="3"/>
  <c r="AG809" i="3" s="1"/>
  <c r="E810" i="3"/>
  <c r="AG810" i="3" s="1"/>
  <c r="E811" i="3"/>
  <c r="AG811" i="3" s="1"/>
  <c r="E812" i="3"/>
  <c r="AG812" i="3" s="1"/>
  <c r="E813" i="3"/>
  <c r="AG813" i="3" s="1"/>
  <c r="E814" i="3"/>
  <c r="AG814" i="3" s="1"/>
  <c r="E815" i="3"/>
  <c r="AG815" i="3" s="1"/>
  <c r="E816" i="3"/>
  <c r="AG816" i="3" s="1"/>
  <c r="E817" i="3"/>
  <c r="AG817" i="3" s="1"/>
  <c r="E818" i="3"/>
  <c r="AG818" i="3" s="1"/>
  <c r="E819" i="3"/>
  <c r="AG819" i="3" s="1"/>
  <c r="E820" i="3"/>
  <c r="E821" i="3"/>
  <c r="E822" i="3"/>
  <c r="E823" i="3"/>
  <c r="AG823" i="3" s="1"/>
  <c r="E824" i="3"/>
  <c r="AG824" i="3" s="1"/>
  <c r="E825" i="3"/>
  <c r="E826" i="3"/>
  <c r="AG826" i="3" s="1"/>
  <c r="E827" i="3"/>
  <c r="AG827" i="3" s="1"/>
  <c r="E828" i="3"/>
  <c r="AG828" i="3" s="1"/>
  <c r="E829" i="3"/>
  <c r="AG829" i="3" s="1"/>
  <c r="E830" i="3"/>
  <c r="AG830" i="3" s="1"/>
  <c r="E831" i="3"/>
  <c r="AG831" i="3" s="1"/>
  <c r="E832" i="3"/>
  <c r="AG832" i="3" s="1"/>
  <c r="E833" i="3"/>
  <c r="AG833" i="3" s="1"/>
  <c r="E834" i="3"/>
  <c r="AG834" i="3" s="1"/>
  <c r="E835" i="3"/>
  <c r="AG835" i="3" s="1"/>
  <c r="E836" i="3"/>
  <c r="AG836" i="3" s="1"/>
  <c r="E837" i="3"/>
  <c r="AG837" i="3" s="1"/>
  <c r="E838" i="3"/>
  <c r="AG838" i="3" s="1"/>
  <c r="E839" i="3"/>
  <c r="AG839" i="3" s="1"/>
  <c r="E840" i="3"/>
  <c r="AG840" i="3" s="1"/>
  <c r="E841" i="3"/>
  <c r="AG841" i="3" s="1"/>
  <c r="E842" i="3"/>
  <c r="AG842" i="3" s="1"/>
  <c r="E843" i="3"/>
  <c r="AG843" i="3" s="1"/>
  <c r="E844" i="3"/>
  <c r="AG844" i="3" s="1"/>
  <c r="E845" i="3"/>
  <c r="AG845" i="3" s="1"/>
  <c r="E846" i="3"/>
  <c r="AG846" i="3" s="1"/>
  <c r="E847" i="3"/>
  <c r="E848" i="3"/>
  <c r="AG848" i="3" s="1"/>
  <c r="E849" i="3"/>
  <c r="AG849" i="3" s="1"/>
  <c r="E850" i="3"/>
  <c r="AG850" i="3" s="1"/>
  <c r="E851" i="3"/>
  <c r="AG851" i="3" s="1"/>
  <c r="E852" i="3"/>
  <c r="AG852" i="3" s="1"/>
  <c r="E853" i="3"/>
  <c r="E854" i="3"/>
  <c r="AG854" i="3" s="1"/>
  <c r="E855" i="3"/>
  <c r="E856" i="3"/>
  <c r="AG856" i="3" s="1"/>
  <c r="E857" i="3"/>
  <c r="AG857" i="3" s="1"/>
  <c r="E858" i="3"/>
  <c r="E859" i="3"/>
  <c r="E860" i="3"/>
  <c r="E861" i="3"/>
  <c r="AG861" i="3" s="1"/>
  <c r="E862" i="3"/>
  <c r="AG862" i="3" s="1"/>
  <c r="E863" i="3"/>
  <c r="AG863" i="3" s="1"/>
  <c r="E864" i="3"/>
  <c r="E865" i="3"/>
  <c r="AG865" i="3" s="1"/>
  <c r="E866" i="3"/>
  <c r="AG866" i="3" s="1"/>
  <c r="E867" i="3"/>
  <c r="AG867" i="3" s="1"/>
  <c r="E868" i="3"/>
  <c r="E869" i="3"/>
  <c r="E870" i="3"/>
  <c r="AG870" i="3" s="1"/>
  <c r="E871" i="3"/>
  <c r="AG871" i="3" s="1"/>
  <c r="E872" i="3"/>
  <c r="AG872" i="3" s="1"/>
  <c r="E873" i="3"/>
  <c r="AG873" i="3" s="1"/>
  <c r="E874" i="3"/>
  <c r="E875" i="3"/>
  <c r="AG875" i="3" s="1"/>
  <c r="E876" i="3"/>
  <c r="E877" i="3"/>
  <c r="AG877" i="3" s="1"/>
  <c r="E878" i="3"/>
  <c r="AG878" i="3" s="1"/>
  <c r="E879" i="3"/>
  <c r="AG879" i="3" s="1"/>
  <c r="E880" i="3"/>
  <c r="AG880" i="3" s="1"/>
  <c r="E881" i="3"/>
  <c r="AG881" i="3" s="1"/>
  <c r="E882" i="3"/>
  <c r="E883" i="3"/>
  <c r="E884" i="3"/>
  <c r="AG884" i="3" s="1"/>
  <c r="E885" i="3"/>
  <c r="AG885" i="3" s="1"/>
  <c r="E886" i="3"/>
  <c r="AG886" i="3" s="1"/>
  <c r="E887" i="3"/>
  <c r="AG887" i="3" s="1"/>
  <c r="E888" i="3"/>
  <c r="E889" i="3"/>
  <c r="E890" i="3"/>
  <c r="AG890" i="3" s="1"/>
  <c r="E891" i="3"/>
  <c r="E892" i="3"/>
  <c r="AG892" i="3" s="1"/>
  <c r="E893" i="3"/>
  <c r="AG893" i="3" s="1"/>
  <c r="E894" i="3"/>
  <c r="AG894" i="3" s="1"/>
  <c r="E895" i="3"/>
  <c r="AG895" i="3" s="1"/>
  <c r="E896" i="3"/>
  <c r="E897" i="3"/>
  <c r="E898" i="3"/>
  <c r="AG898" i="3" s="1"/>
  <c r="E899" i="3"/>
  <c r="AG899" i="3" s="1"/>
  <c r="E900" i="3"/>
  <c r="AG900" i="3" s="1"/>
  <c r="E901" i="3"/>
  <c r="E902" i="3"/>
  <c r="AG902" i="3" s="1"/>
  <c r="E903" i="3"/>
  <c r="AG903" i="3" s="1"/>
  <c r="E904" i="3"/>
  <c r="AG904" i="3" s="1"/>
  <c r="E905" i="3"/>
  <c r="AG905" i="3" s="1"/>
  <c r="E906" i="3"/>
  <c r="AG906" i="3" s="1"/>
  <c r="E907" i="3"/>
  <c r="E908" i="3"/>
  <c r="AG908" i="3" s="1"/>
  <c r="E909" i="3"/>
  <c r="AG909" i="3" s="1"/>
  <c r="E910" i="3"/>
  <c r="AG910" i="3" s="1"/>
  <c r="E911" i="3"/>
  <c r="E912" i="3"/>
  <c r="AG912" i="3" s="1"/>
  <c r="E913" i="3"/>
  <c r="AG913" i="3" s="1"/>
  <c r="E914" i="3"/>
  <c r="AG914" i="3" s="1"/>
  <c r="E915" i="3"/>
  <c r="E916" i="3"/>
  <c r="AG916" i="3" s="1"/>
  <c r="E917" i="3"/>
  <c r="AG917" i="3" s="1"/>
  <c r="E918" i="3"/>
  <c r="E919" i="3"/>
  <c r="E920" i="3"/>
  <c r="AG920" i="3" s="1"/>
  <c r="E921" i="3"/>
  <c r="AG921" i="3" s="1"/>
  <c r="E922" i="3"/>
  <c r="AG922" i="3" s="1"/>
  <c r="E923" i="3"/>
  <c r="E924" i="3"/>
  <c r="E925" i="3"/>
  <c r="E926" i="3"/>
  <c r="AG926" i="3" s="1"/>
  <c r="E927" i="3"/>
  <c r="AG927" i="3" s="1"/>
  <c r="E928" i="3"/>
  <c r="AG928" i="3" s="1"/>
  <c r="E929" i="3"/>
  <c r="AG929" i="3" s="1"/>
  <c r="E930" i="3"/>
  <c r="AG930" i="3" s="1"/>
  <c r="E931" i="3"/>
  <c r="AG931" i="3" s="1"/>
  <c r="E932" i="3"/>
  <c r="AG932" i="3" s="1"/>
  <c r="E933" i="3"/>
  <c r="AG933" i="3" s="1"/>
  <c r="E934" i="3"/>
  <c r="AG934" i="3" s="1"/>
  <c r="E935" i="3"/>
  <c r="AG935" i="3" s="1"/>
  <c r="E936" i="3"/>
  <c r="E937" i="3"/>
  <c r="E938" i="3"/>
  <c r="E939" i="3"/>
  <c r="AG939" i="3" s="1"/>
  <c r="E940" i="3"/>
  <c r="AG940" i="3" s="1"/>
  <c r="E941" i="3"/>
  <c r="AG941" i="3" s="1"/>
  <c r="E942" i="3"/>
  <c r="AG942" i="3" s="1"/>
  <c r="E943" i="3"/>
  <c r="E944" i="3"/>
  <c r="AG944" i="3" s="1"/>
  <c r="E945" i="3"/>
  <c r="AG945" i="3" s="1"/>
  <c r="E946" i="3"/>
  <c r="AG946" i="3" s="1"/>
  <c r="E947" i="3"/>
  <c r="E948" i="3"/>
  <c r="AG948" i="3" s="1"/>
  <c r="E949" i="3"/>
  <c r="E950" i="3"/>
  <c r="AG950" i="3" s="1"/>
  <c r="E951" i="3"/>
  <c r="E952" i="3"/>
  <c r="AG952" i="3" s="1"/>
  <c r="E953" i="3"/>
  <c r="AG953" i="3" s="1"/>
  <c r="E954" i="3"/>
  <c r="AG954" i="3" s="1"/>
  <c r="E955" i="3"/>
  <c r="E956" i="3"/>
  <c r="AG956" i="3" s="1"/>
  <c r="E957" i="3"/>
  <c r="AG957" i="3" s="1"/>
  <c r="E958" i="3"/>
  <c r="AG958" i="3" s="1"/>
  <c r="E959" i="3"/>
  <c r="AG959" i="3" s="1"/>
  <c r="E960" i="3"/>
  <c r="AG960" i="3" s="1"/>
  <c r="E961" i="3"/>
  <c r="AG961" i="3" s="1"/>
  <c r="E962" i="3"/>
  <c r="AG962" i="3" s="1"/>
  <c r="E963" i="3"/>
  <c r="AG963" i="3" s="1"/>
  <c r="E964" i="3"/>
  <c r="AG964" i="3" s="1"/>
  <c r="E965" i="3"/>
  <c r="AG965" i="3" s="1"/>
  <c r="E966" i="3"/>
  <c r="AG966" i="3" s="1"/>
  <c r="E967" i="3"/>
  <c r="AG967" i="3" s="1"/>
  <c r="E968" i="3"/>
  <c r="AG968" i="3" s="1"/>
  <c r="E969" i="3"/>
  <c r="AG969" i="3" s="1"/>
  <c r="E970" i="3"/>
  <c r="E971" i="3"/>
  <c r="E972" i="3"/>
  <c r="E973" i="3"/>
  <c r="AG973" i="3" s="1"/>
  <c r="E974" i="3"/>
  <c r="AG974" i="3" s="1"/>
  <c r="E975" i="3"/>
  <c r="AG975" i="3" s="1"/>
  <c r="E976" i="3"/>
  <c r="AG976" i="3" s="1"/>
  <c r="E977" i="3"/>
  <c r="AG977" i="3" s="1"/>
  <c r="E978" i="3"/>
  <c r="AG978" i="3" s="1"/>
  <c r="E979" i="3"/>
  <c r="AG979" i="3" s="1"/>
  <c r="E980" i="3"/>
  <c r="E981" i="3"/>
  <c r="AG981" i="3" s="1"/>
  <c r="E982" i="3"/>
  <c r="E983" i="3"/>
  <c r="E984" i="3"/>
  <c r="AG984" i="3" s="1"/>
  <c r="E985" i="3"/>
  <c r="AG985" i="3" s="1"/>
  <c r="E986" i="3"/>
  <c r="E987" i="3"/>
  <c r="E988" i="3"/>
  <c r="AG988" i="3" s="1"/>
  <c r="E989" i="3"/>
  <c r="AG989" i="3" s="1"/>
  <c r="E990" i="3"/>
  <c r="AG990" i="3" s="1"/>
  <c r="E991" i="3"/>
  <c r="AG991" i="3" s="1"/>
  <c r="E992" i="3"/>
  <c r="AG992" i="3" s="1"/>
  <c r="E993" i="3"/>
  <c r="E994" i="3"/>
  <c r="AG994" i="3" s="1"/>
  <c r="E995" i="3"/>
  <c r="E996" i="3"/>
  <c r="AG996" i="3" s="1"/>
  <c r="E997" i="3"/>
  <c r="AG997" i="3" s="1"/>
  <c r="E998" i="3"/>
  <c r="AG998" i="3" s="1"/>
  <c r="E999" i="3"/>
  <c r="E1000" i="3"/>
  <c r="AG1000" i="3" s="1"/>
  <c r="E1001" i="3"/>
  <c r="E1002" i="3"/>
  <c r="AG1002" i="3" s="1"/>
  <c r="E1003" i="3"/>
  <c r="E1004" i="3"/>
  <c r="E1005" i="3"/>
  <c r="E1006" i="3"/>
  <c r="E1007" i="3"/>
  <c r="AG1007" i="3" s="1"/>
  <c r="E1008" i="3"/>
  <c r="E1009" i="3"/>
  <c r="AG1009" i="3" s="1"/>
  <c r="E1010" i="3"/>
  <c r="AG1010" i="3" s="1"/>
  <c r="E1011" i="3"/>
  <c r="AG1011" i="3" s="1"/>
  <c r="E1012" i="3"/>
  <c r="AG1012" i="3" s="1"/>
  <c r="E1013" i="3"/>
  <c r="AG1013" i="3" s="1"/>
  <c r="E1014" i="3"/>
  <c r="AG1014" i="3" s="1"/>
  <c r="E1015" i="3"/>
  <c r="AG1015" i="3" s="1"/>
  <c r="E1016" i="3"/>
  <c r="AG1016" i="3" s="1"/>
  <c r="E1017" i="3"/>
  <c r="AG1017" i="3" s="1"/>
  <c r="E1018" i="3"/>
  <c r="AG1018" i="3" s="1"/>
  <c r="E1019" i="3"/>
  <c r="E1020" i="3"/>
  <c r="AG1020" i="3" s="1"/>
  <c r="E1021" i="3"/>
  <c r="AG1021" i="3" s="1"/>
  <c r="E1022" i="3"/>
  <c r="AG1022" i="3" s="1"/>
  <c r="E1023" i="3"/>
  <c r="AG1023" i="3" s="1"/>
  <c r="E1024" i="3"/>
  <c r="AG1024" i="3" s="1"/>
  <c r="E1025" i="3"/>
  <c r="E1026" i="3"/>
  <c r="AG1026" i="3" s="1"/>
  <c r="E1027" i="3"/>
  <c r="E1028" i="3"/>
  <c r="E1029" i="3"/>
  <c r="AG1029" i="3" s="1"/>
  <c r="E1030" i="3"/>
  <c r="E1031" i="3"/>
  <c r="AG1031" i="3" s="1"/>
  <c r="E1032" i="3"/>
  <c r="AG1032" i="3" s="1"/>
  <c r="E1033" i="3"/>
  <c r="AG1033" i="3" s="1"/>
  <c r="E1034" i="3"/>
  <c r="AG1034" i="3" s="1"/>
  <c r="E1035" i="3"/>
  <c r="E1036" i="3"/>
  <c r="E1037" i="3"/>
  <c r="E1038" i="3"/>
  <c r="E1039" i="3"/>
  <c r="AG1039" i="3" s="1"/>
  <c r="E1040" i="3"/>
  <c r="AG1040" i="3" s="1"/>
  <c r="E1041" i="3"/>
  <c r="E1042" i="3"/>
  <c r="E1043" i="3"/>
  <c r="AG1043" i="3" s="1"/>
  <c r="E1044" i="3"/>
  <c r="E1045" i="3"/>
  <c r="E1046" i="3"/>
  <c r="E1047" i="3"/>
  <c r="AG1047" i="3" s="1"/>
  <c r="E1048" i="3"/>
  <c r="AG1048" i="3" s="1"/>
  <c r="E1049" i="3"/>
  <c r="E1050" i="3"/>
  <c r="E1051" i="3"/>
  <c r="E1052" i="3"/>
  <c r="E1053" i="3"/>
  <c r="AG1053" i="3" s="1"/>
  <c r="E1054" i="3"/>
  <c r="AG1054" i="3" s="1"/>
  <c r="E1055" i="3"/>
  <c r="AG1055" i="3" s="1"/>
  <c r="E1056" i="3"/>
  <c r="AG1056" i="3" s="1"/>
  <c r="E1057" i="3"/>
  <c r="AG1057" i="3" s="1"/>
  <c r="E1058" i="3"/>
  <c r="E1059" i="3"/>
  <c r="E1060" i="3"/>
  <c r="AG1060" i="3" s="1"/>
  <c r="E1061" i="3"/>
  <c r="AG1061" i="3" s="1"/>
  <c r="E1062" i="3"/>
  <c r="E1063" i="3"/>
  <c r="E1064" i="3"/>
  <c r="AG1064" i="3" s="1"/>
  <c r="E1065" i="3"/>
  <c r="AG1065" i="3" s="1"/>
  <c r="E1066" i="3"/>
  <c r="E1067" i="3"/>
  <c r="AG1067" i="3" s="1"/>
  <c r="E1068" i="3"/>
  <c r="AG1068" i="3" s="1"/>
  <c r="E1069" i="3"/>
  <c r="E1070" i="3"/>
  <c r="AG1070" i="3" s="1"/>
  <c r="E1071" i="3"/>
  <c r="AG1071" i="3" s="1"/>
  <c r="E1072" i="3"/>
  <c r="AG1072" i="3" s="1"/>
  <c r="E1073" i="3"/>
  <c r="AG1073" i="3" s="1"/>
  <c r="E1074" i="3"/>
  <c r="AG1074" i="3" s="1"/>
  <c r="E1075" i="3"/>
  <c r="AG1075" i="3" s="1"/>
  <c r="E1076" i="3"/>
  <c r="AG1076" i="3" s="1"/>
  <c r="E1077" i="3"/>
  <c r="AG1077" i="3" s="1"/>
  <c r="E1078" i="3"/>
  <c r="AG1078" i="3" s="1"/>
  <c r="E1079" i="3"/>
  <c r="E1080" i="3"/>
  <c r="AG1080" i="3" s="1"/>
  <c r="E1081" i="3"/>
  <c r="E1082" i="3"/>
  <c r="E1083" i="3"/>
  <c r="E1084" i="3"/>
  <c r="E1085" i="3"/>
  <c r="AG1085" i="3" s="1"/>
  <c r="E1086" i="3"/>
  <c r="AG1086" i="3" s="1"/>
  <c r="E1087" i="3"/>
  <c r="AG1087" i="3" s="1"/>
  <c r="E1088" i="3"/>
  <c r="AG1088" i="3" s="1"/>
  <c r="E1089" i="3"/>
  <c r="AG1089" i="3" s="1"/>
  <c r="E1090" i="3"/>
  <c r="E1091" i="3"/>
  <c r="AG1091" i="3" s="1"/>
  <c r="E1092" i="3"/>
  <c r="AG1092" i="3" s="1"/>
  <c r="E1093" i="3"/>
  <c r="AG1093" i="3" s="1"/>
  <c r="E1094" i="3"/>
  <c r="AG1094" i="3" s="1"/>
  <c r="E1095" i="3"/>
  <c r="AG1095" i="3" s="1"/>
  <c r="E1096" i="3"/>
  <c r="AG1096" i="3" s="1"/>
  <c r="E1097" i="3"/>
  <c r="AG1097" i="3" s="1"/>
  <c r="E1098" i="3"/>
  <c r="AG1098" i="3" s="1"/>
  <c r="E1099" i="3"/>
  <c r="AG1099" i="3" s="1"/>
  <c r="E1100" i="3"/>
  <c r="AG1100" i="3" s="1"/>
  <c r="E1101" i="3"/>
  <c r="AG1101" i="3" s="1"/>
  <c r="E1102" i="3"/>
  <c r="AG1102" i="3" s="1"/>
  <c r="E1103" i="3"/>
  <c r="AG1103" i="3" s="1"/>
  <c r="E1104" i="3"/>
  <c r="AG1104" i="3" s="1"/>
  <c r="E1105" i="3"/>
  <c r="AG1105" i="3" s="1"/>
  <c r="E1106" i="3"/>
  <c r="AG1106" i="3" s="1"/>
  <c r="E1107" i="3"/>
  <c r="AG1107" i="3" s="1"/>
  <c r="E1108" i="3"/>
  <c r="AG1108" i="3" s="1"/>
  <c r="E1109" i="3"/>
  <c r="AG1109" i="3" s="1"/>
  <c r="E1110" i="3"/>
  <c r="AG1110" i="3" s="1"/>
  <c r="E1111" i="3"/>
  <c r="AG1111" i="3" s="1"/>
  <c r="E1112" i="3"/>
  <c r="AG1112" i="3" s="1"/>
  <c r="E1113" i="3"/>
  <c r="AG1113" i="3" s="1"/>
  <c r="E1114" i="3"/>
  <c r="AG1114" i="3" s="1"/>
  <c r="E1115" i="3"/>
  <c r="AG1115" i="3" s="1"/>
  <c r="E1116" i="3"/>
  <c r="AG1116" i="3" s="1"/>
  <c r="E1117" i="3"/>
  <c r="AG1117" i="3" s="1"/>
  <c r="E1118" i="3"/>
  <c r="AG1118" i="3" s="1"/>
  <c r="E1119" i="3"/>
  <c r="AG1119" i="3" s="1"/>
  <c r="E1120" i="3"/>
  <c r="AG1120" i="3" s="1"/>
  <c r="E1121" i="3"/>
  <c r="AG1121" i="3" s="1"/>
  <c r="E1122" i="3"/>
  <c r="E1123" i="3"/>
  <c r="E1124" i="3"/>
  <c r="E1125" i="3"/>
  <c r="E1126" i="3"/>
  <c r="AG1126" i="3" s="1"/>
  <c r="E1127" i="3"/>
  <c r="AG1127" i="3" s="1"/>
  <c r="E1128" i="3"/>
  <c r="AG1128" i="3" s="1"/>
  <c r="E1129" i="3"/>
  <c r="AG1129" i="3" s="1"/>
  <c r="E1130" i="3"/>
  <c r="AG1130" i="3" s="1"/>
  <c r="E1131" i="3"/>
  <c r="AG1131" i="3" s="1"/>
  <c r="E1132" i="3"/>
  <c r="AG1132" i="3" s="1"/>
  <c r="E1133" i="3"/>
  <c r="E1134" i="3"/>
  <c r="AG1134" i="3" s="1"/>
  <c r="E1135" i="3"/>
  <c r="AG1135" i="3" s="1"/>
  <c r="E1136" i="3"/>
  <c r="AG1136" i="3" s="1"/>
  <c r="E1137" i="3"/>
  <c r="AG1137" i="3" s="1"/>
  <c r="E1138" i="3"/>
  <c r="AG1138" i="3" s="1"/>
  <c r="E1139" i="3"/>
  <c r="AG1139" i="3" s="1"/>
  <c r="E1140" i="3"/>
  <c r="AG1140" i="3" s="1"/>
  <c r="E1141" i="3"/>
  <c r="AG1141" i="3" s="1"/>
  <c r="E1142" i="3"/>
  <c r="AG1142" i="3" s="1"/>
  <c r="E1143" i="3"/>
  <c r="AG1143" i="3" s="1"/>
  <c r="E1144" i="3"/>
  <c r="AG1144" i="3" s="1"/>
  <c r="E1145" i="3"/>
  <c r="AG1145" i="3" s="1"/>
  <c r="E1146" i="3"/>
  <c r="AG1146" i="3" s="1"/>
  <c r="E1147" i="3"/>
  <c r="AG1147" i="3" s="1"/>
  <c r="E1148" i="3"/>
  <c r="AG1148" i="3" s="1"/>
  <c r="E1149" i="3"/>
  <c r="AG1149" i="3" s="1"/>
  <c r="E1150" i="3"/>
  <c r="AG1150" i="3" s="1"/>
  <c r="E1151" i="3"/>
  <c r="E1152" i="3"/>
  <c r="AG1152" i="3" s="1"/>
  <c r="E1153" i="3"/>
  <c r="AG1153" i="3" s="1"/>
  <c r="E1154" i="3"/>
  <c r="AG1154" i="3" s="1"/>
  <c r="E1155" i="3"/>
  <c r="AG1155" i="3" s="1"/>
  <c r="E1156" i="3"/>
  <c r="AG1156" i="3" s="1"/>
  <c r="E1157" i="3"/>
  <c r="AG1157" i="3" s="1"/>
  <c r="E1158" i="3"/>
  <c r="AG1158" i="3" s="1"/>
  <c r="E1159" i="3"/>
  <c r="AG1159" i="3" s="1"/>
  <c r="E1160" i="3"/>
  <c r="AG1160" i="3" s="1"/>
  <c r="E1161" i="3"/>
  <c r="E1162" i="3"/>
  <c r="AG1162" i="3" s="1"/>
  <c r="E1163" i="3"/>
  <c r="AG1163" i="3" s="1"/>
  <c r="E1164" i="3"/>
  <c r="E1165" i="3"/>
  <c r="AG1165" i="3" s="1"/>
  <c r="E1166" i="3"/>
  <c r="AG1166" i="3" s="1"/>
  <c r="E1167" i="3"/>
  <c r="AG1167" i="3" s="1"/>
  <c r="E1168" i="3"/>
  <c r="AG1168" i="3" s="1"/>
  <c r="E1169" i="3"/>
  <c r="AG1169" i="3" s="1"/>
  <c r="E1170" i="3"/>
  <c r="AG1170" i="3" s="1"/>
  <c r="E1171" i="3"/>
  <c r="AG1171" i="3" s="1"/>
  <c r="E1172" i="3"/>
  <c r="AG1172" i="3" s="1"/>
  <c r="E1173" i="3"/>
  <c r="AG1173" i="3" s="1"/>
  <c r="E1174" i="3"/>
  <c r="AG1174" i="3" s="1"/>
  <c r="E1175" i="3"/>
  <c r="AG1175" i="3" s="1"/>
  <c r="E1176" i="3"/>
  <c r="AG1176" i="3" s="1"/>
  <c r="E1177" i="3"/>
  <c r="AG1177" i="3" s="1"/>
  <c r="E1178" i="3"/>
  <c r="AG1178" i="3" s="1"/>
  <c r="E1179" i="3"/>
  <c r="AG1179" i="3" s="1"/>
  <c r="E1180" i="3"/>
  <c r="AG1180" i="3" s="1"/>
  <c r="E1181" i="3"/>
  <c r="AG1181" i="3" s="1"/>
  <c r="E1182" i="3"/>
  <c r="AG1182" i="3" s="1"/>
  <c r="E1183" i="3"/>
  <c r="AG1183" i="3" s="1"/>
  <c r="E1184" i="3"/>
  <c r="E1185" i="3"/>
  <c r="AG1185" i="3" s="1"/>
  <c r="E1186" i="3"/>
  <c r="AG1186" i="3" s="1"/>
  <c r="E1187" i="3"/>
  <c r="AG1187" i="3" s="1"/>
  <c r="E1188" i="3"/>
  <c r="AG1188" i="3" s="1"/>
  <c r="E1189" i="3"/>
  <c r="E1190" i="3"/>
  <c r="E1191" i="3"/>
  <c r="E1192" i="3"/>
  <c r="E1193" i="3"/>
  <c r="AG1193" i="3" s="1"/>
  <c r="E1194" i="3"/>
  <c r="AG1194" i="3" s="1"/>
  <c r="E1195" i="3"/>
  <c r="AG1195" i="3" s="1"/>
  <c r="E1196" i="3"/>
  <c r="AG1196" i="3" s="1"/>
  <c r="E1197" i="3"/>
  <c r="AG1197" i="3" s="1"/>
  <c r="E1198" i="3"/>
  <c r="E1199" i="3"/>
  <c r="AG1199" i="3" s="1"/>
  <c r="E1200" i="3"/>
  <c r="AG1200" i="3" s="1"/>
  <c r="E1201" i="3"/>
  <c r="AG1201" i="3" s="1"/>
  <c r="E1202" i="3"/>
  <c r="AG1202" i="3" s="1"/>
  <c r="E1203" i="3"/>
  <c r="AG1203" i="3" s="1"/>
  <c r="E1204" i="3"/>
  <c r="AG1204" i="3" s="1"/>
  <c r="E1205" i="3"/>
  <c r="AG1205" i="3" s="1"/>
  <c r="E1206" i="3"/>
  <c r="AG1206" i="3" s="1"/>
  <c r="E1207" i="3"/>
  <c r="E1208" i="3"/>
  <c r="AG1208" i="3" s="1"/>
  <c r="E1209" i="3"/>
  <c r="AG1209" i="3" s="1"/>
  <c r="E1210" i="3"/>
  <c r="AG1210" i="3" s="1"/>
  <c r="E1211" i="3"/>
  <c r="AG1211" i="3" s="1"/>
  <c r="E1212" i="3"/>
  <c r="AG1212" i="3" s="1"/>
  <c r="E1213" i="3"/>
  <c r="AG1213" i="3" s="1"/>
  <c r="E1214" i="3"/>
  <c r="AG1214" i="3" s="1"/>
  <c r="E1215" i="3"/>
  <c r="AG1215" i="3" s="1"/>
  <c r="E1216" i="3"/>
  <c r="AG1216" i="3" s="1"/>
  <c r="E1217" i="3"/>
  <c r="AG1217" i="3" s="1"/>
  <c r="E1218" i="3"/>
  <c r="E1219" i="3"/>
  <c r="AG1219" i="3" s="1"/>
  <c r="E1220" i="3"/>
  <c r="AG1220" i="3" s="1"/>
  <c r="E1221" i="3"/>
  <c r="AG1221" i="3" s="1"/>
  <c r="E1222" i="3"/>
  <c r="AG1222" i="3" s="1"/>
  <c r="E1223" i="3"/>
  <c r="AG1223" i="3" s="1"/>
  <c r="E1224" i="3"/>
  <c r="AG1224" i="3" s="1"/>
  <c r="E1225" i="3"/>
  <c r="E1226" i="3"/>
  <c r="AG1226" i="3" s="1"/>
  <c r="E1227" i="3"/>
  <c r="AG1227" i="3" s="1"/>
  <c r="E1228" i="3"/>
  <c r="AG1228" i="3" s="1"/>
  <c r="E1229" i="3"/>
  <c r="AG1229" i="3" s="1"/>
  <c r="E1230" i="3"/>
  <c r="E1231" i="3"/>
  <c r="AG1231" i="3" s="1"/>
  <c r="E1232" i="3"/>
  <c r="AG1232" i="3" s="1"/>
  <c r="E1233" i="3"/>
  <c r="AG1233" i="3" s="1"/>
  <c r="E1234" i="3"/>
  <c r="E1235" i="3"/>
  <c r="E1236" i="3"/>
  <c r="AG1236" i="3" s="1"/>
  <c r="E1237" i="3"/>
  <c r="AG1237" i="3" s="1"/>
  <c r="E1238" i="3"/>
  <c r="E1239" i="3"/>
  <c r="AG1239" i="3" s="1"/>
  <c r="E1240" i="3"/>
  <c r="E1241" i="3"/>
  <c r="AG1241" i="3" s="1"/>
  <c r="E1242" i="3"/>
  <c r="E1243" i="3"/>
  <c r="AG1243" i="3" s="1"/>
  <c r="E1244" i="3"/>
  <c r="AG1244" i="3" s="1"/>
  <c r="E1245" i="3"/>
  <c r="AG1245" i="3" s="1"/>
  <c r="E1246" i="3"/>
  <c r="E1247" i="3"/>
  <c r="AG1247" i="3" s="1"/>
  <c r="E1248" i="3"/>
  <c r="AG1248" i="3" s="1"/>
  <c r="E1249" i="3"/>
  <c r="E1250" i="3"/>
  <c r="AG1250" i="3" s="1"/>
  <c r="E1251" i="3"/>
  <c r="AG1251" i="3" s="1"/>
  <c r="E1252" i="3"/>
  <c r="AG1252" i="3" s="1"/>
  <c r="E1253" i="3"/>
  <c r="AG1253" i="3" s="1"/>
  <c r="E1254" i="3"/>
  <c r="AG1254" i="3" s="1"/>
  <c r="E1255" i="3"/>
  <c r="AG1255" i="3" s="1"/>
  <c r="E1256" i="3"/>
  <c r="E1257" i="3"/>
  <c r="AG1257" i="3" s="1"/>
  <c r="E1258" i="3"/>
  <c r="E1259" i="3"/>
  <c r="E1260" i="3"/>
  <c r="E1261" i="3"/>
  <c r="AG1261" i="3" s="1"/>
  <c r="E1262" i="3"/>
  <c r="E1263" i="3"/>
  <c r="E1264" i="3"/>
  <c r="AG1264" i="3" s="1"/>
  <c r="E1265" i="3"/>
  <c r="AG1265" i="3" s="1"/>
  <c r="E1266" i="3"/>
  <c r="AG1266" i="3" s="1"/>
  <c r="E1267" i="3"/>
  <c r="AG1267" i="3" s="1"/>
  <c r="E1268" i="3"/>
  <c r="AG1268" i="3" s="1"/>
  <c r="E1269" i="3"/>
  <c r="AG1269" i="3" s="1"/>
  <c r="E1270" i="3"/>
  <c r="AG1270" i="3" s="1"/>
  <c r="E1271" i="3"/>
  <c r="AG1271" i="3" s="1"/>
  <c r="E1272" i="3"/>
  <c r="AG1272" i="3" s="1"/>
  <c r="E1273" i="3"/>
  <c r="AG1273" i="3" s="1"/>
  <c r="E1274" i="3"/>
  <c r="AG1274" i="3" s="1"/>
  <c r="E1275" i="3"/>
  <c r="AG1275" i="3" s="1"/>
  <c r="E1276" i="3"/>
  <c r="AG1276" i="3" s="1"/>
  <c r="E1277" i="3"/>
  <c r="AG1277" i="3" s="1"/>
  <c r="E1278" i="3"/>
  <c r="AG1278" i="3" s="1"/>
  <c r="E1279" i="3"/>
  <c r="E1280" i="3"/>
  <c r="AG1280" i="3" s="1"/>
  <c r="E1281" i="3"/>
  <c r="AG1281" i="3" s="1"/>
  <c r="E1282" i="3"/>
  <c r="AG1282" i="3" s="1"/>
  <c r="E1283" i="3"/>
  <c r="AG1283" i="3" s="1"/>
  <c r="E1284" i="3"/>
  <c r="AG1284" i="3" s="1"/>
  <c r="E1285" i="3"/>
  <c r="AG1285" i="3" s="1"/>
  <c r="E1286" i="3"/>
  <c r="AG1286" i="3" s="1"/>
  <c r="E1287" i="3"/>
  <c r="AG1287" i="3" s="1"/>
  <c r="E1288" i="3"/>
  <c r="E1289" i="3"/>
  <c r="AG1289" i="3" s="1"/>
  <c r="E1290" i="3"/>
  <c r="AG1290" i="3" s="1"/>
  <c r="E1291" i="3"/>
  <c r="AG1291" i="3" s="1"/>
  <c r="E1292" i="3"/>
  <c r="AG1292" i="3" s="1"/>
  <c r="E1293" i="3"/>
  <c r="AG1293" i="3" s="1"/>
  <c r="E1294" i="3"/>
  <c r="AG1294" i="3" s="1"/>
  <c r="E1295" i="3"/>
  <c r="AG1295" i="3" s="1"/>
  <c r="E1296" i="3"/>
  <c r="AG1296" i="3" s="1"/>
  <c r="E1297" i="3"/>
  <c r="AG1297" i="3" s="1"/>
  <c r="E1298" i="3"/>
  <c r="AG1298" i="3" s="1"/>
  <c r="E1299" i="3"/>
  <c r="AG1299" i="3" s="1"/>
  <c r="E1300" i="3"/>
  <c r="AG1300" i="3" s="1"/>
  <c r="E1301" i="3"/>
  <c r="E1302" i="3"/>
  <c r="AG1302" i="3" s="1"/>
  <c r="E1303" i="3"/>
  <c r="AG1303" i="3" s="1"/>
  <c r="E1304" i="3"/>
  <c r="AG1304" i="3" s="1"/>
  <c r="E1305" i="3"/>
  <c r="AG1305" i="3" s="1"/>
  <c r="E1306" i="3"/>
  <c r="AG1306" i="3" s="1"/>
  <c r="E1307" i="3"/>
  <c r="AG1307" i="3" s="1"/>
  <c r="E1308" i="3"/>
  <c r="AG1308" i="3" s="1"/>
  <c r="E1309" i="3"/>
  <c r="AG1309" i="3" s="1"/>
  <c r="E1310" i="3"/>
  <c r="AG1310" i="3" s="1"/>
  <c r="D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2" i="3"/>
</calcChain>
</file>

<file path=xl/sharedStrings.xml><?xml version="1.0" encoding="utf-8"?>
<sst xmlns="http://schemas.openxmlformats.org/spreadsheetml/2006/main" count="32361" uniqueCount="3587">
  <si>
    <t>Titanic Dataset Data Dictionary</t>
  </si>
  <si>
    <t>The Titanic Dataset is commonly used for data analysis, Excel, SQL, Python, and machine learning practice. Below is a clean and beginner-friendly data dictionary for the standard Titanic dataset.</t>
  </si>
  <si>
    <t>Column Name</t>
  </si>
  <si>
    <t>Data Type</t>
  </si>
  <si>
    <t>Description</t>
  </si>
  <si>
    <t>Example</t>
  </si>
  <si>
    <t>PassengerId</t>
  </si>
  <si>
    <t>Integer</t>
  </si>
  <si>
    <t>Unique identifier assigned to each passenger</t>
  </si>
  <si>
    <t>Survived</t>
  </si>
  <si>
    <t>Integer (0/1)</t>
  </si>
  <si>
    <r>
      <t xml:space="preserve">Survival status of the passenger. </t>
    </r>
    <r>
      <rPr>
        <sz val="10"/>
        <color theme="1"/>
        <rFont val="Arial Unicode MS"/>
      </rPr>
      <t>0 = Did Not Survive</t>
    </r>
    <r>
      <rPr>
        <sz val="11"/>
        <color theme="1"/>
        <rFont val="Aptos Narrow"/>
        <family val="2"/>
        <scheme val="minor"/>
      </rPr>
      <t xml:space="preserve">, </t>
    </r>
    <r>
      <rPr>
        <sz val="10"/>
        <color theme="1"/>
        <rFont val="Arial Unicode MS"/>
      </rPr>
      <t>1 = Survived</t>
    </r>
  </si>
  <si>
    <t>Pclass</t>
  </si>
  <si>
    <r>
      <t xml:space="preserve">Passenger ticket class. </t>
    </r>
    <r>
      <rPr>
        <sz val="10"/>
        <color theme="1"/>
        <rFont val="Arial Unicode MS"/>
      </rPr>
      <t>1 = First Class</t>
    </r>
    <r>
      <rPr>
        <sz val="11"/>
        <color theme="1"/>
        <rFont val="Aptos Narrow"/>
        <family val="2"/>
        <scheme val="minor"/>
      </rPr>
      <t xml:space="preserve">, </t>
    </r>
    <r>
      <rPr>
        <sz val="10"/>
        <color theme="1"/>
        <rFont val="Arial Unicode MS"/>
      </rPr>
      <t>2 = Second Class</t>
    </r>
    <r>
      <rPr>
        <sz val="11"/>
        <color theme="1"/>
        <rFont val="Aptos Narrow"/>
        <family val="2"/>
        <scheme val="minor"/>
      </rPr>
      <t xml:space="preserve">, </t>
    </r>
    <r>
      <rPr>
        <sz val="10"/>
        <color theme="1"/>
        <rFont val="Arial Unicode MS"/>
      </rPr>
      <t>3 = Third Class</t>
    </r>
  </si>
  <si>
    <t>Name</t>
  </si>
  <si>
    <t>Text/String</t>
  </si>
  <si>
    <t>Full name of the passenger</t>
  </si>
  <si>
    <t>Braund, Mr. Owen Harris</t>
  </si>
  <si>
    <t>Sex</t>
  </si>
  <si>
    <t>Gender of the passenger</t>
  </si>
  <si>
    <t>male</t>
  </si>
  <si>
    <t>Age</t>
  </si>
  <si>
    <t>Decimal/Float</t>
  </si>
  <si>
    <t>Age of the passenger in years</t>
  </si>
  <si>
    <t>SibSp</t>
  </si>
  <si>
    <t>Number of siblings/spouses aboard the Titanic</t>
  </si>
  <si>
    <t>Parch</t>
  </si>
  <si>
    <t>Number of parents/children aboard the Titanic</t>
  </si>
  <si>
    <t>Ticket</t>
  </si>
  <si>
    <t>Passenger ticket number</t>
  </si>
  <si>
    <t>A/5 21171</t>
  </si>
  <si>
    <t>Fare</t>
  </si>
  <si>
    <t>Amount paid for the ticket</t>
  </si>
  <si>
    <t>Cabin</t>
  </si>
  <si>
    <t>Cabin number assigned to the passenger</t>
  </si>
  <si>
    <t>C85</t>
  </si>
  <si>
    <t>Embarked</t>
  </si>
  <si>
    <r>
      <t xml:space="preserve">Port where the passenger boarded the ship. </t>
    </r>
    <r>
      <rPr>
        <sz val="10"/>
        <color theme="1"/>
        <rFont val="Arial Unicode MS"/>
      </rPr>
      <t>C = Cherbourg</t>
    </r>
    <r>
      <rPr>
        <sz val="11"/>
        <color theme="1"/>
        <rFont val="Aptos Narrow"/>
        <family val="2"/>
        <scheme val="minor"/>
      </rPr>
      <t xml:space="preserve">, </t>
    </r>
    <r>
      <rPr>
        <sz val="10"/>
        <color theme="1"/>
        <rFont val="Arial Unicode MS"/>
      </rPr>
      <t>Q = Queenstown</t>
    </r>
    <r>
      <rPr>
        <sz val="11"/>
        <color theme="1"/>
        <rFont val="Aptos Narrow"/>
        <family val="2"/>
        <scheme val="minor"/>
      </rPr>
      <t xml:space="preserve">, </t>
    </r>
    <r>
      <rPr>
        <sz val="10"/>
        <color theme="1"/>
        <rFont val="Arial Unicode MS"/>
      </rPr>
      <t>S = Southampton</t>
    </r>
  </si>
  <si>
    <t>pclass</t>
  </si>
  <si>
    <t>survived</t>
  </si>
  <si>
    <t>name</t>
  </si>
  <si>
    <t>sex</t>
  </si>
  <si>
    <t>age</t>
  </si>
  <si>
    <t>cabin</t>
  </si>
  <si>
    <t>boat</t>
  </si>
  <si>
    <t>body</t>
  </si>
  <si>
    <t>home.dest</t>
  </si>
  <si>
    <t>female</t>
  </si>
  <si>
    <t>B5</t>
  </si>
  <si>
    <t>St Louis, MO</t>
  </si>
  <si>
    <t>C22 C26</t>
  </si>
  <si>
    <t>Montreal, PQ / Chesterville, ON</t>
  </si>
  <si>
    <t>E12</t>
  </si>
  <si>
    <t>New York, NY</t>
  </si>
  <si>
    <t>D7</t>
  </si>
  <si>
    <t>Hudson, NY</t>
  </si>
  <si>
    <t>A36</t>
  </si>
  <si>
    <t>Belfast, NI</t>
  </si>
  <si>
    <t>C101</t>
  </si>
  <si>
    <t>D</t>
  </si>
  <si>
    <t>Bayside, Queens, NY</t>
  </si>
  <si>
    <t>PC 17609</t>
  </si>
  <si>
    <t>C</t>
  </si>
  <si>
    <t>Montevideo, Uruguay</t>
  </si>
  <si>
    <t>PC 17757</t>
  </si>
  <si>
    <t>C62 C64</t>
  </si>
  <si>
    <t>PC 17477</t>
  </si>
  <si>
    <t>B35</t>
  </si>
  <si>
    <t>Paris, France</t>
  </si>
  <si>
    <t>A23</t>
  </si>
  <si>
    <t>B</t>
  </si>
  <si>
    <t>Hessle, Yorks</t>
  </si>
  <si>
    <t>PC 17318</t>
  </si>
  <si>
    <t>PC 17558</t>
  </si>
  <si>
    <t>B58 B60</t>
  </si>
  <si>
    <t>Montreal, PQ</t>
  </si>
  <si>
    <t>D15</t>
  </si>
  <si>
    <t>C6</t>
  </si>
  <si>
    <t>A</t>
  </si>
  <si>
    <t>Winnipeg, MN</t>
  </si>
  <si>
    <t>D35</t>
  </si>
  <si>
    <t>C148</t>
  </si>
  <si>
    <t>PC 17483</t>
  </si>
  <si>
    <t>C97</t>
  </si>
  <si>
    <t>San Francisco, CA</t>
  </si>
  <si>
    <t>B49</t>
  </si>
  <si>
    <t>Dowagiac, MI</t>
  </si>
  <si>
    <t>PC 17760</t>
  </si>
  <si>
    <t>C99</t>
  </si>
  <si>
    <t>C52</t>
  </si>
  <si>
    <t>Stockholm, Sweden / Washington, DC</t>
  </si>
  <si>
    <t>T</t>
  </si>
  <si>
    <t>Trenton, NJ</t>
  </si>
  <si>
    <t>A31</t>
  </si>
  <si>
    <t>Glen Ridge, NJ</t>
  </si>
  <si>
    <t>C7</t>
  </si>
  <si>
    <t>Youngstown, OH</t>
  </si>
  <si>
    <t>C103</t>
  </si>
  <si>
    <t>Birkdale, England Cleveland, Ohio</t>
  </si>
  <si>
    <t>D22</t>
  </si>
  <si>
    <t>London / Winnipeg, MB</t>
  </si>
  <si>
    <t>PC 17608</t>
  </si>
  <si>
    <t>Cooperstown, NY</t>
  </si>
  <si>
    <t>E33</t>
  </si>
  <si>
    <t>St Leonards-on-Sea, England Ohio</t>
  </si>
  <si>
    <t>Los Angeles, CA</t>
  </si>
  <si>
    <t>A21</t>
  </si>
  <si>
    <t>Pomeroy, WA</t>
  </si>
  <si>
    <t>PC 17591</t>
  </si>
  <si>
    <t>B10</t>
  </si>
  <si>
    <t>Omaha, NE</t>
  </si>
  <si>
    <t>Philadelphia, PA</t>
  </si>
  <si>
    <t>PC 17610</t>
  </si>
  <si>
    <t>B4</t>
  </si>
  <si>
    <t>Denver, CO</t>
  </si>
  <si>
    <t>Belmont, MA</t>
  </si>
  <si>
    <t>E40</t>
  </si>
  <si>
    <t>B38</t>
  </si>
  <si>
    <t>Washington, DC</t>
  </si>
  <si>
    <t>PC 17476</t>
  </si>
  <si>
    <t>E24</t>
  </si>
  <si>
    <t>PC 17606</t>
  </si>
  <si>
    <t>PC 17755</t>
  </si>
  <si>
    <t>B51 B53 B55</t>
  </si>
  <si>
    <t>Austria-Hungary / Germantown, Philadelphia, PA</t>
  </si>
  <si>
    <t>Germantown, Philadelphia, PA</t>
  </si>
  <si>
    <t>B96 B98</t>
  </si>
  <si>
    <t>Bryn Mawr, PA</t>
  </si>
  <si>
    <t>Ascot, Berkshire / Rochester, NY</t>
  </si>
  <si>
    <t>C46</t>
  </si>
  <si>
    <t>Little Onn Hall, Staffs</t>
  </si>
  <si>
    <t>W.E.P. 5734</t>
  </si>
  <si>
    <t>E31</t>
  </si>
  <si>
    <t>Amenia, ND</t>
  </si>
  <si>
    <t>E8</t>
  </si>
  <si>
    <t>New York, NY / Ithaca, NY</t>
  </si>
  <si>
    <t>B61</t>
  </si>
  <si>
    <t>B77</t>
  </si>
  <si>
    <t>London, England</t>
  </si>
  <si>
    <t>PC 17594</t>
  </si>
  <si>
    <t>A9</t>
  </si>
  <si>
    <t>Liverpool, England / Belfast</t>
  </si>
  <si>
    <t>C89</t>
  </si>
  <si>
    <t>A14</t>
  </si>
  <si>
    <t>Stoughton, MA</t>
  </si>
  <si>
    <t>E58</t>
  </si>
  <si>
    <t>Victoria, BC</t>
  </si>
  <si>
    <t>PC 17756</t>
  </si>
  <si>
    <t>E49</t>
  </si>
  <si>
    <t>Lakewood, NJ</t>
  </si>
  <si>
    <t>E52</t>
  </si>
  <si>
    <t>E45</t>
  </si>
  <si>
    <t>Roachdale, IN</t>
  </si>
  <si>
    <t>WE/P 5735</t>
  </si>
  <si>
    <t>B22</t>
  </si>
  <si>
    <t>Milwaukee, WI</t>
  </si>
  <si>
    <t>B26</t>
  </si>
  <si>
    <t>PC 17599</t>
  </si>
  <si>
    <t>E17</t>
  </si>
  <si>
    <t>5 9</t>
  </si>
  <si>
    <t>Lima, Peru</t>
  </si>
  <si>
    <t>F.C. 12750</t>
  </si>
  <si>
    <t>B71</t>
  </si>
  <si>
    <t>B20</t>
  </si>
  <si>
    <t>Calgary, AB</t>
  </si>
  <si>
    <t>A34</t>
  </si>
  <si>
    <t>PC 17761</t>
  </si>
  <si>
    <t>C86</t>
  </si>
  <si>
    <t>Deephaven, MN / Cedar Rapids, IA</t>
  </si>
  <si>
    <t>A16</t>
  </si>
  <si>
    <t>London / Paris</t>
  </si>
  <si>
    <t>PC 17485</t>
  </si>
  <si>
    <t>A20</t>
  </si>
  <si>
    <t>PC 17580</t>
  </si>
  <si>
    <t>A18</t>
  </si>
  <si>
    <t>C54</t>
  </si>
  <si>
    <t>Mt Airy, Philadelphia, PA</t>
  </si>
  <si>
    <t>C45</t>
  </si>
  <si>
    <t>D20</t>
  </si>
  <si>
    <t>Brookline, MA</t>
  </si>
  <si>
    <t>PC 17531</t>
  </si>
  <si>
    <t>A29</t>
  </si>
  <si>
    <t>C95</t>
  </si>
  <si>
    <t>PC 17598</t>
  </si>
  <si>
    <t>PC 17474</t>
  </si>
  <si>
    <t>E25</t>
  </si>
  <si>
    <t>Brooklyn, NY</t>
  </si>
  <si>
    <t>C111</t>
  </si>
  <si>
    <t>C23 C25 C27</t>
  </si>
  <si>
    <t>Winnipeg, MB</t>
  </si>
  <si>
    <t>E36</t>
  </si>
  <si>
    <t>D34</t>
  </si>
  <si>
    <t>Westcliff-on-Sea, Essex</t>
  </si>
  <si>
    <t>PC 17611</t>
  </si>
  <si>
    <t>D40</t>
  </si>
  <si>
    <t>B39</t>
  </si>
  <si>
    <t>Zurich, Switzerland</t>
  </si>
  <si>
    <t>B41</t>
  </si>
  <si>
    <t>B102</t>
  </si>
  <si>
    <t>C123</t>
  </si>
  <si>
    <t>Scituate, MA</t>
  </si>
  <si>
    <t>E63</t>
  </si>
  <si>
    <t>St Anne's-on-Sea, Lancashire</t>
  </si>
  <si>
    <t>C130</t>
  </si>
  <si>
    <t>PC 17593</t>
  </si>
  <si>
    <t>B86</t>
  </si>
  <si>
    <t>C92</t>
  </si>
  <si>
    <t>Paris, France / New York, NY</t>
  </si>
  <si>
    <t>PC 17754</t>
  </si>
  <si>
    <t>A5</t>
  </si>
  <si>
    <t>C51</t>
  </si>
  <si>
    <t>B42</t>
  </si>
  <si>
    <t>Greenwich, CT</t>
  </si>
  <si>
    <t>PC 17582</t>
  </si>
  <si>
    <t>C91</t>
  </si>
  <si>
    <t>C125</t>
  </si>
  <si>
    <t>PC 17759</t>
  </si>
  <si>
    <t>D10 D12</t>
  </si>
  <si>
    <t>B82 B84</t>
  </si>
  <si>
    <t>E50</t>
  </si>
  <si>
    <t>PC 17572</t>
  </si>
  <si>
    <t>D33</t>
  </si>
  <si>
    <t>C83</t>
  </si>
  <si>
    <t>B94</t>
  </si>
  <si>
    <t>D49</t>
  </si>
  <si>
    <t>D45</t>
  </si>
  <si>
    <t>Kingston, Surrey</t>
  </si>
  <si>
    <t>B69</t>
  </si>
  <si>
    <t>B11</t>
  </si>
  <si>
    <t>London / Middlesex</t>
  </si>
  <si>
    <t>E46</t>
  </si>
  <si>
    <t>Brighton, MA</t>
  </si>
  <si>
    <t>C39</t>
  </si>
  <si>
    <t>London / Birmingham</t>
  </si>
  <si>
    <t>B18</t>
  </si>
  <si>
    <t>Chicago, IL</t>
  </si>
  <si>
    <t>D11</t>
  </si>
  <si>
    <t>Indianapolis, IN</t>
  </si>
  <si>
    <t>C93</t>
  </si>
  <si>
    <t>New York, NY /  Stamford CT</t>
  </si>
  <si>
    <t>PC 17600</t>
  </si>
  <si>
    <t>B28</t>
  </si>
  <si>
    <t>PC 17595</t>
  </si>
  <si>
    <t>C49</t>
  </si>
  <si>
    <t>Paris, France New York, NY</t>
  </si>
  <si>
    <t>B52 B54 B56</t>
  </si>
  <si>
    <t>Liverpool</t>
  </si>
  <si>
    <t>Bennington, VT</t>
  </si>
  <si>
    <t>E60</t>
  </si>
  <si>
    <t>London</t>
  </si>
  <si>
    <t>C132</t>
  </si>
  <si>
    <t>B37</t>
  </si>
  <si>
    <t>Buffalo, NY</t>
  </si>
  <si>
    <t>D21</t>
  </si>
  <si>
    <t>Southington / Noank, CT</t>
  </si>
  <si>
    <t>D19</t>
  </si>
  <si>
    <t>Boston, MA</t>
  </si>
  <si>
    <t>C124</t>
  </si>
  <si>
    <t>Portland, OR</t>
  </si>
  <si>
    <t>D17</t>
  </si>
  <si>
    <t>B101</t>
  </si>
  <si>
    <t>PC 17612</t>
  </si>
  <si>
    <t>Stockholm, Sweden</t>
  </si>
  <si>
    <t>PC 17592</t>
  </si>
  <si>
    <t>D28</t>
  </si>
  <si>
    <t>D6</t>
  </si>
  <si>
    <t>Springfield, MA</t>
  </si>
  <si>
    <t>D9</t>
  </si>
  <si>
    <t>London / New York, NY</t>
  </si>
  <si>
    <t>PC 17569</t>
  </si>
  <si>
    <t>B80</t>
  </si>
  <si>
    <t>C106</t>
  </si>
  <si>
    <t>Brockton, MA</t>
  </si>
  <si>
    <t>B79</t>
  </si>
  <si>
    <t>C47</t>
  </si>
  <si>
    <t>D30</t>
  </si>
  <si>
    <t>PC 17482</t>
  </si>
  <si>
    <t>C90</t>
  </si>
  <si>
    <t>Belgium  Montreal, PQ</t>
  </si>
  <si>
    <t>Vancouver, BC</t>
  </si>
  <si>
    <t>Dorchester, MA</t>
  </si>
  <si>
    <t>PC 17473</t>
  </si>
  <si>
    <t>PC 17604</t>
  </si>
  <si>
    <t>E38</t>
  </si>
  <si>
    <t>East Bridgewater, MA</t>
  </si>
  <si>
    <t>C78</t>
  </si>
  <si>
    <t>Fond du Lac, WI</t>
  </si>
  <si>
    <t>Green Bay, WI</t>
  </si>
  <si>
    <t>C30</t>
  </si>
  <si>
    <t>PC 17596</t>
  </si>
  <si>
    <t>C118</t>
  </si>
  <si>
    <t>D36</t>
  </si>
  <si>
    <t>Lexington, MA</t>
  </si>
  <si>
    <t>D48</t>
  </si>
  <si>
    <t>D47</t>
  </si>
  <si>
    <t>Isle of Wight, England</t>
  </si>
  <si>
    <t>PC 17758</t>
  </si>
  <si>
    <t>C105</t>
  </si>
  <si>
    <t>F.C. 12998</t>
  </si>
  <si>
    <t>B36</t>
  </si>
  <si>
    <t>Providence, RI</t>
  </si>
  <si>
    <t>B30</t>
  </si>
  <si>
    <t>PC 17562</t>
  </si>
  <si>
    <t>D43</t>
  </si>
  <si>
    <t>?Havana, Cuba</t>
  </si>
  <si>
    <t>Belfast</t>
  </si>
  <si>
    <t>Surbiton Hill, Surrey</t>
  </si>
  <si>
    <t>B24</t>
  </si>
  <si>
    <t>C2</t>
  </si>
  <si>
    <t>Isleworth, England</t>
  </si>
  <si>
    <t>C65</t>
  </si>
  <si>
    <t>Madrid, Spain</t>
  </si>
  <si>
    <t>B73</t>
  </si>
  <si>
    <t>C104</t>
  </si>
  <si>
    <t>Toronto, ON</t>
  </si>
  <si>
    <t>C110</t>
  </si>
  <si>
    <t>Worcester, MA</t>
  </si>
  <si>
    <t>C50</t>
  </si>
  <si>
    <t>Rotterdam, Netherlands</t>
  </si>
  <si>
    <t>PC 17607</t>
  </si>
  <si>
    <t>Paris /  New York, NY</t>
  </si>
  <si>
    <t>B3</t>
  </si>
  <si>
    <t>PC 17590</t>
  </si>
  <si>
    <t>A24</t>
  </si>
  <si>
    <t>A32</t>
  </si>
  <si>
    <t>Seattle, WA</t>
  </si>
  <si>
    <t>PC 17613</t>
  </si>
  <si>
    <t>A11</t>
  </si>
  <si>
    <t>PC 17585</t>
  </si>
  <si>
    <t>A10</t>
  </si>
  <si>
    <t>London  Vancouver, BC</t>
  </si>
  <si>
    <t>PC 17603</t>
  </si>
  <si>
    <t>B57 B59 B63 B66</t>
  </si>
  <si>
    <t>Haverford, PA / Cooperstown, NY</t>
  </si>
  <si>
    <t>Manchester, England</t>
  </si>
  <si>
    <t>C28</t>
  </si>
  <si>
    <t>New York, NY / Greenwich CT</t>
  </si>
  <si>
    <t>PC 17475</t>
  </si>
  <si>
    <t>E44</t>
  </si>
  <si>
    <t>Duluth, MN</t>
  </si>
  <si>
    <t>A26</t>
  </si>
  <si>
    <t>Basel, Switzerland</t>
  </si>
  <si>
    <t>A6</t>
  </si>
  <si>
    <t>New Britain, CT</t>
  </si>
  <si>
    <t>A7</t>
  </si>
  <si>
    <t>St James, Long Island, NY</t>
  </si>
  <si>
    <t>C31</t>
  </si>
  <si>
    <t>Huntington, WV</t>
  </si>
  <si>
    <t>A19</t>
  </si>
  <si>
    <t>Streatham, Surrey</t>
  </si>
  <si>
    <t>B45</t>
  </si>
  <si>
    <t>Minneapolis, MN</t>
  </si>
  <si>
    <t>E34</t>
  </si>
  <si>
    <t>Tuxedo Park, NY</t>
  </si>
  <si>
    <t>B78</t>
  </si>
  <si>
    <t>B50</t>
  </si>
  <si>
    <t>C87</t>
  </si>
  <si>
    <t>Wimbledon Park, London / Hayling Island, Hants</t>
  </si>
  <si>
    <t>C116</t>
  </si>
  <si>
    <t>Newark, NJ</t>
  </si>
  <si>
    <t>Haverford, PA</t>
  </si>
  <si>
    <t>PC 17605</t>
  </si>
  <si>
    <t>Gallipolis, Ohio / ? Paris / New York</t>
  </si>
  <si>
    <t>Cincinatti, OH</t>
  </si>
  <si>
    <t>C55 C57</t>
  </si>
  <si>
    <t>D50</t>
  </si>
  <si>
    <t>Haddenfield, NJ</t>
  </si>
  <si>
    <t>E68</t>
  </si>
  <si>
    <t>E67</t>
  </si>
  <si>
    <t>C126</t>
  </si>
  <si>
    <t>5 7</t>
  </si>
  <si>
    <t>London /  East Orange, NJ</t>
  </si>
  <si>
    <t>C68</t>
  </si>
  <si>
    <t>C70</t>
  </si>
  <si>
    <t>C53</t>
  </si>
  <si>
    <t>Albany, NY</t>
  </si>
  <si>
    <t>PC 17601</t>
  </si>
  <si>
    <t>Mexico City, Mexico</t>
  </si>
  <si>
    <t>B19</t>
  </si>
  <si>
    <t>D46</t>
  </si>
  <si>
    <t>East Orange, NJ</t>
  </si>
  <si>
    <t>D37</t>
  </si>
  <si>
    <t>England Salt Lake City, Utah</t>
  </si>
  <si>
    <t>D26</t>
  </si>
  <si>
    <t>Brunswick, ME</t>
  </si>
  <si>
    <t>C32</t>
  </si>
  <si>
    <t>New York, NY / Briarcliff Manor NY</t>
  </si>
  <si>
    <t>C80</t>
  </si>
  <si>
    <t>Elkins Park, PA</t>
  </si>
  <si>
    <t>C82</t>
  </si>
  <si>
    <t>8 10</t>
  </si>
  <si>
    <t>PC 17597</t>
  </si>
  <si>
    <t>Geneva, Switzerland / Radnor, PA</t>
  </si>
  <si>
    <t>C128</t>
  </si>
  <si>
    <t>E39 E41</t>
  </si>
  <si>
    <t>Halifax, NS</t>
  </si>
  <si>
    <t>New York, NY / Washington, DC</t>
  </si>
  <si>
    <t>P/PP 3381</t>
  </si>
  <si>
    <t>Russia New York, NY</t>
  </si>
  <si>
    <t>Bryn Mawr, PA, USA</t>
  </si>
  <si>
    <t>Buenos Aires, Argentina / New Jersey, NJ</t>
  </si>
  <si>
    <t>C.A. 34050</t>
  </si>
  <si>
    <t>Cornwall, England Houghton, MI</t>
  </si>
  <si>
    <t>Warwick, England</t>
  </si>
  <si>
    <t>West Hoboken, NJ</t>
  </si>
  <si>
    <t>Penzance, Cornwall / Akron, OH</t>
  </si>
  <si>
    <t>C.A. 31030</t>
  </si>
  <si>
    <t>Guernsey</t>
  </si>
  <si>
    <t>Bristol, Avon / Jacksonville, FL</t>
  </si>
  <si>
    <t>C.A./SOTON 34068</t>
  </si>
  <si>
    <t>Plymouth, Dorset / Houghton, MI</t>
  </si>
  <si>
    <t>S.O.P. 1166</t>
  </si>
  <si>
    <t>Jacksonville, FL</t>
  </si>
  <si>
    <t>Norwich / New York, NY</t>
  </si>
  <si>
    <t>England</t>
  </si>
  <si>
    <t>F4</t>
  </si>
  <si>
    <t>Guntur, India / Benton Harbour, MI</t>
  </si>
  <si>
    <t>D56</t>
  </si>
  <si>
    <t>Rochester, NY</t>
  </si>
  <si>
    <t>St Ives, Cornwall / Calumet, MI</t>
  </si>
  <si>
    <t>Elmira, NY / Orange, NJ</t>
  </si>
  <si>
    <t>Lake Arthur, Chavez County, NM</t>
  </si>
  <si>
    <t>F33</t>
  </si>
  <si>
    <t>London / Montreal, PQ</t>
  </si>
  <si>
    <t>Cape Town, South Africa / Seattle, WA</t>
  </si>
  <si>
    <t>Skara, Sweden / Rockford, IL</t>
  </si>
  <si>
    <t>Sittingbourne, England / San Diego, CA</t>
  </si>
  <si>
    <t>Southsea, Hants</t>
  </si>
  <si>
    <t>Bangkok, Thailand / Roseville, IL</t>
  </si>
  <si>
    <t>F.C.C. 13528</t>
  </si>
  <si>
    <t>Mamaroneck, NY</t>
  </si>
  <si>
    <t>Bronx, NY</t>
  </si>
  <si>
    <t>SC/AH 29037</t>
  </si>
  <si>
    <t>Cornwall / Spokane, WA</t>
  </si>
  <si>
    <t>England / San Francisco, CA</t>
  </si>
  <si>
    <t>W./C. 14263</t>
  </si>
  <si>
    <t>Hartford, Huntingdonshire</t>
  </si>
  <si>
    <t>Helsinki, Finland Ashtabula, Ohio</t>
  </si>
  <si>
    <t>London / Fort Byron, NY</t>
  </si>
  <si>
    <t>C.A. 31921</t>
  </si>
  <si>
    <t>Bishopstoke, Hants / Fayette Valley, ID</t>
  </si>
  <si>
    <t>W./C. 14266</t>
  </si>
  <si>
    <t>Pennsylvania</t>
  </si>
  <si>
    <t>Provo, UT</t>
  </si>
  <si>
    <t>F.C.C. 13534</t>
  </si>
  <si>
    <t>Upper Burma, India Pittsburgh, PA</t>
  </si>
  <si>
    <t>C.A. 33112</t>
  </si>
  <si>
    <t>St Ives, Cornwall / Hancock, MI</t>
  </si>
  <si>
    <t>S.O.C. 14879</t>
  </si>
  <si>
    <t>Lyndhurst, England</t>
  </si>
  <si>
    <t>London / Staten Island, NY</t>
  </si>
  <si>
    <t>Portugal / Sau Paulo, Brazil</t>
  </si>
  <si>
    <t>SC/PARIS 2167</t>
  </si>
  <si>
    <t>Lucca, Italy / California</t>
  </si>
  <si>
    <t>C.A. 31029</t>
  </si>
  <si>
    <t>Guernsey / Elizabeth, NJ</t>
  </si>
  <si>
    <t>New Forest, England</t>
  </si>
  <si>
    <t>Southampton</t>
  </si>
  <si>
    <t>Holley, NY</t>
  </si>
  <si>
    <t>Greenport, NY</t>
  </si>
  <si>
    <t>SC/PARIS 2149</t>
  </si>
  <si>
    <t>Barcelona, Spain / Havana, Cuba</t>
  </si>
  <si>
    <t>SC/PARIS 2148</t>
  </si>
  <si>
    <t>England / Detroit, MI</t>
  </si>
  <si>
    <t>Goteborg, Sweden / Rockford, IL</t>
  </si>
  <si>
    <t>Oslo, Norway Bayonne, NJ</t>
  </si>
  <si>
    <t>England / Philadelphia, PA</t>
  </si>
  <si>
    <t>C.A. 15185</t>
  </si>
  <si>
    <t>Cornwall / Houghton, MI</t>
  </si>
  <si>
    <t>Janjgir, India / Pennsylvania</t>
  </si>
  <si>
    <t>Liverpool / Montreal, PQ</t>
  </si>
  <si>
    <t>Cornwall / Clear Creek, CO</t>
  </si>
  <si>
    <t>C.A. 30769</t>
  </si>
  <si>
    <t>Cornwall</t>
  </si>
  <si>
    <t>Cornwall / Camden, NJ</t>
  </si>
  <si>
    <t>West Kensington, London</t>
  </si>
  <si>
    <t>Clevedon, England</t>
  </si>
  <si>
    <t>Auburn, NY</t>
  </si>
  <si>
    <t>Detroit, MI</t>
  </si>
  <si>
    <t>Seattle, WA / Toledo, OH</t>
  </si>
  <si>
    <t>Denmark Hill, Surrey / Chicago</t>
  </si>
  <si>
    <t>S.W./PP 752</t>
  </si>
  <si>
    <t>W/C 14208</t>
  </si>
  <si>
    <t>Walthamstow, England</t>
  </si>
  <si>
    <t>F.C.C. 13529</t>
  </si>
  <si>
    <t>Ilford, Essex / Winnipeg, MB</t>
  </si>
  <si>
    <t>Somerset / Bernardsville, NJ</t>
  </si>
  <si>
    <t>India / Rapid City, SD</t>
  </si>
  <si>
    <t>West Hampstead, London / Neepawa, MB</t>
  </si>
  <si>
    <t>Kontiolahti, Finland / Detroit, MI</t>
  </si>
  <si>
    <t>Cornwall / Akron, OH</t>
  </si>
  <si>
    <t>Devonport, England</t>
  </si>
  <si>
    <t>England / Sacramento, CA</t>
  </si>
  <si>
    <t>Tokyo, Japan</t>
  </si>
  <si>
    <t>Swindon, England</t>
  </si>
  <si>
    <t>SCO/W 1585</t>
  </si>
  <si>
    <t>SO/C 14885</t>
  </si>
  <si>
    <t>North Evington, England</t>
  </si>
  <si>
    <t>C.A. 33111</t>
  </si>
  <si>
    <t>St Ives, Cornwall / Houghton, MI</t>
  </si>
  <si>
    <t>SC/AH Basle 541</t>
  </si>
  <si>
    <t>Moscow / Bronx, NY</t>
  </si>
  <si>
    <t>India / Pittsburgh, PA</t>
  </si>
  <si>
    <t>E101</t>
  </si>
  <si>
    <t>Harrisburg, PA</t>
  </si>
  <si>
    <t>Glasgow / Bangor, ME</t>
  </si>
  <si>
    <t>C.A. 18723</t>
  </si>
  <si>
    <t>Sweden / Arlington, NJ</t>
  </si>
  <si>
    <t>SC/Paris 2123</t>
  </si>
  <si>
    <t>Paris / Haiti</t>
  </si>
  <si>
    <t>SC 1748</t>
  </si>
  <si>
    <t>Berne, Switzerland / Central City, IA</t>
  </si>
  <si>
    <t>London / Chicago, IL</t>
  </si>
  <si>
    <t>C.A. 34260</t>
  </si>
  <si>
    <t>SC/Paris 2163</t>
  </si>
  <si>
    <t>C.A. 29566</t>
  </si>
  <si>
    <t>SC/AH 3085</t>
  </si>
  <si>
    <t>Weston-Super-Mare, Somerset</t>
  </si>
  <si>
    <t>S.O./P.P. 3</t>
  </si>
  <si>
    <t>E77</t>
  </si>
  <si>
    <t>Southampton / New York, NY</t>
  </si>
  <si>
    <t>Paris</t>
  </si>
  <si>
    <t>S.C./PARIS 2079</t>
  </si>
  <si>
    <t>Paris / Montreal, PQ</t>
  </si>
  <si>
    <t>SC/A.3 2861</t>
  </si>
  <si>
    <t>St Austall, Cornwall</t>
  </si>
  <si>
    <t>Weston-Super-Mare / Moose Jaw, SK</t>
  </si>
  <si>
    <t>Sydney, Australia</t>
  </si>
  <si>
    <t>Sarnia, ON</t>
  </si>
  <si>
    <t>England / Bennington, VT</t>
  </si>
  <si>
    <t>SW/PP 751</t>
  </si>
  <si>
    <t>Chelsea, London</t>
  </si>
  <si>
    <t>Harrow-on-the-Hill, Middlesex</t>
  </si>
  <si>
    <t>Copenhagen, Denmark</t>
  </si>
  <si>
    <t>C.A. 24580</t>
  </si>
  <si>
    <t>Guernsey / Montclair, NJ and/or Toledo, Ohio</t>
  </si>
  <si>
    <t>Frankfort, KY</t>
  </si>
  <si>
    <t>Halesworth, England</t>
  </si>
  <si>
    <t>Cambridge, MA</t>
  </si>
  <si>
    <t>F2</t>
  </si>
  <si>
    <t>Nice, France</t>
  </si>
  <si>
    <t>Cornwall / Hancock, MI</t>
  </si>
  <si>
    <t>Glasgow</t>
  </si>
  <si>
    <t>SC/PARIS 2166</t>
  </si>
  <si>
    <t>D38</t>
  </si>
  <si>
    <t>Cologne, Germany</t>
  </si>
  <si>
    <t>C.A. 29395</t>
  </si>
  <si>
    <t>Folkstone, Kent / New York, NY</t>
  </si>
  <si>
    <t>Middleburg Heights, OH</t>
  </si>
  <si>
    <t>W./C. 14260</t>
  </si>
  <si>
    <t>Pondersend, England / New Durham, NJ</t>
  </si>
  <si>
    <t>SC/PARIS 2146</t>
  </si>
  <si>
    <t>Spain / Havana, Cuba</t>
  </si>
  <si>
    <t>Hamilton, ON</t>
  </si>
  <si>
    <t>SC/PARIS 2147</t>
  </si>
  <si>
    <t>SC 14888</t>
  </si>
  <si>
    <t>St Andrews, Guernsey</t>
  </si>
  <si>
    <t>Woodford County, KY</t>
  </si>
  <si>
    <t>Gunnislake, England / Butte, MT</t>
  </si>
  <si>
    <t>SC/PARIS 2131</t>
  </si>
  <si>
    <t>S.O./P.P. 2</t>
  </si>
  <si>
    <t>Ilfracombe, Devon</t>
  </si>
  <si>
    <t>Worcester, England</t>
  </si>
  <si>
    <t>Russia</t>
  </si>
  <si>
    <t>Denmark / New York, NY</t>
  </si>
  <si>
    <t>C.A. 34644</t>
  </si>
  <si>
    <t>Milford, NH</t>
  </si>
  <si>
    <t>SC/PARIS 2168</t>
  </si>
  <si>
    <t>Plymouth, Devon / Detroit, MI</t>
  </si>
  <si>
    <t>C.A. 17248</t>
  </si>
  <si>
    <t>Brighton, Sussex</t>
  </si>
  <si>
    <t>Elizabeth, NJ</t>
  </si>
  <si>
    <t>Spain</t>
  </si>
  <si>
    <t>SC/PARIS 2133</t>
  </si>
  <si>
    <t>W./C. 14258</t>
  </si>
  <si>
    <t>London, England / Marietta, Ohio and Milwaukee, WI</t>
  </si>
  <si>
    <t>C.A. 31026</t>
  </si>
  <si>
    <t>Guernsey / Wilmington, DE</t>
  </si>
  <si>
    <t>Hornsey, England</t>
  </si>
  <si>
    <t>Deer Lodge, MT</t>
  </si>
  <si>
    <t>Finland / Minneapolis, MN</t>
  </si>
  <si>
    <t>Finland / Washington, DC</t>
  </si>
  <si>
    <t>Sault St Marie, ON</t>
  </si>
  <si>
    <t>C.A. 29178</t>
  </si>
  <si>
    <t>F.C.C. 13540</t>
  </si>
  <si>
    <t>Catford, Kent / Detroit, MI</t>
  </si>
  <si>
    <t>F</t>
  </si>
  <si>
    <t>F.C.C. 13531</t>
  </si>
  <si>
    <t>Columbus, OH</t>
  </si>
  <si>
    <t>Bath, England / Massachusetts</t>
  </si>
  <si>
    <t>Plymouth, England</t>
  </si>
  <si>
    <t>Barre, Co Washington, VT</t>
  </si>
  <si>
    <t>CA 31352</t>
  </si>
  <si>
    <t>Bristol, England / New Britain, CT</t>
  </si>
  <si>
    <t>C.A. 33595</t>
  </si>
  <si>
    <t>Aberdeen / Portland, OR</t>
  </si>
  <si>
    <t>England / Hartford, CT</t>
  </si>
  <si>
    <t>Bromsgrove, England / Montreal, PQ</t>
  </si>
  <si>
    <t>C.A. 34651</t>
  </si>
  <si>
    <t>Bournmouth, England</t>
  </si>
  <si>
    <t>C.A. 24579</t>
  </si>
  <si>
    <t>Guernsey, England / Edgewood, RI</t>
  </si>
  <si>
    <t>SC/PARIS 2159</t>
  </si>
  <si>
    <t>Harrow, England</t>
  </si>
  <si>
    <t>Yoevil, England / Cottage Grove, OR</t>
  </si>
  <si>
    <t>C.A. 5547</t>
  </si>
  <si>
    <t>C.A. 2673</t>
  </si>
  <si>
    <t>East Providence, RI</t>
  </si>
  <si>
    <t>Norway Los Angeles, CA</t>
  </si>
  <si>
    <t>F G63</t>
  </si>
  <si>
    <t>Perkins County, SD</t>
  </si>
  <si>
    <t>SOTON/O2 3101284</t>
  </si>
  <si>
    <t>Taalintehdas, Finland Hoboken, NJ</t>
  </si>
  <si>
    <t>Greensburg, PA</t>
  </si>
  <si>
    <t>C 7076</t>
  </si>
  <si>
    <t>Asarum, Sweden Brooklyn, NY</t>
  </si>
  <si>
    <t>Bournemouth, England</t>
  </si>
  <si>
    <t>Sweden Akeley, MN</t>
  </si>
  <si>
    <t>London, England Norfolk, VA</t>
  </si>
  <si>
    <t>Syria Fredericksburg, VA</t>
  </si>
  <si>
    <t>England Albion, NY</t>
  </si>
  <si>
    <t>SOTON/O2 3101287</t>
  </si>
  <si>
    <t>Salo, Finland Astoria, OR</t>
  </si>
  <si>
    <t>SOTON/O.Q. 3101311</t>
  </si>
  <si>
    <t>SOTON/O.Q. 3101312</t>
  </si>
  <si>
    <t>Argentina</t>
  </si>
  <si>
    <t>Lower Clapton, Middlesex or Erdington, Birmingham</t>
  </si>
  <si>
    <t>Windsor, England New York, NY</t>
  </si>
  <si>
    <t>C 4001</t>
  </si>
  <si>
    <t>Bergen, Norway</t>
  </si>
  <si>
    <t>Sweden Winnipeg, MN</t>
  </si>
  <si>
    <t>Ruotsinphyhtaa, Finland New York, NY</t>
  </si>
  <si>
    <t>Vadsbro, Sweden Ministee, MI</t>
  </si>
  <si>
    <t>Hartford, CT</t>
  </si>
  <si>
    <t>Sweden Chicago, IL</t>
  </si>
  <si>
    <t>Bulgaria Chicago, IL</t>
  </si>
  <si>
    <t>Altdorf, Switzerland</t>
  </si>
  <si>
    <t>Sweden Joliet, IL</t>
  </si>
  <si>
    <t>SOTON/O.Q. 3101310</t>
  </si>
  <si>
    <t>Sweden  Worcester, MA</t>
  </si>
  <si>
    <t>Sweden Worcester, MA</t>
  </si>
  <si>
    <t>Oskarshamn, Sweden Minneapolis, MN</t>
  </si>
  <si>
    <t>Ottawa, ON</t>
  </si>
  <si>
    <t>SOTON/O.Q. 3101309</t>
  </si>
  <si>
    <t>Krakoryd, Sweden Bloomington, IL</t>
  </si>
  <si>
    <t>Syria Youngstown, OH</t>
  </si>
  <si>
    <t>Ruotsinphytaa, Finland New York, NY</t>
  </si>
  <si>
    <t>Syria New York, NY</t>
  </si>
  <si>
    <t>A/4 31416</t>
  </si>
  <si>
    <t>London Skanteales, NY</t>
  </si>
  <si>
    <t>Syria Ottawa, ON</t>
  </si>
  <si>
    <t>England New York, NY</t>
  </si>
  <si>
    <t>Krakudden, Sweden Moune, IL</t>
  </si>
  <si>
    <t>PP 4348</t>
  </si>
  <si>
    <t>Tranvik, Finland New York</t>
  </si>
  <si>
    <t>Syria</t>
  </si>
  <si>
    <t>Hong Kong New York, NY</t>
  </si>
  <si>
    <t>Brennes, Norway New York</t>
  </si>
  <si>
    <t>Stockholm, Sweden New York</t>
  </si>
  <si>
    <t>Syria Kent, ON</t>
  </si>
  <si>
    <t>Ireland Chicago, IL</t>
  </si>
  <si>
    <t>Treherbert, Cardiff, Wales</t>
  </si>
  <si>
    <t>Kingwilliamstown, Co Cork, Ireland Glens Falls, NY</t>
  </si>
  <si>
    <t>Medeltorp, Sweden Chicago, IL</t>
  </si>
  <si>
    <t>Bridgerule, Devon</t>
  </si>
  <si>
    <t>Broomfield, Chelmsford, England</t>
  </si>
  <si>
    <t>Co Cork, Ireland Roxbury, MA</t>
  </si>
  <si>
    <t>Kingwilliamstown, Co Cork, Ireland New York, NY</t>
  </si>
  <si>
    <t>Co Cork, Ireland Charlestown, MA</t>
  </si>
  <si>
    <t>Co Sligo, Ireland New York, NY</t>
  </si>
  <si>
    <t>Croatia</t>
  </si>
  <si>
    <t>Ireland Philadelphia, PA</t>
  </si>
  <si>
    <t>A./5. 2152</t>
  </si>
  <si>
    <t>Dagsas, Sweden Fower, MN</t>
  </si>
  <si>
    <t>Goteborg, Sweden Huntley, IL</t>
  </si>
  <si>
    <t>Co Longford, Ireland New York, NY</t>
  </si>
  <si>
    <t>Co Sligo, Ireland Hartford, CT</t>
  </si>
  <si>
    <t>St Denys, Southampton, Hants</t>
  </si>
  <si>
    <t>A/5. 13032</t>
  </si>
  <si>
    <t>Ireland New York, NY</t>
  </si>
  <si>
    <t>Greece</t>
  </si>
  <si>
    <t>SOTON/O.Q. 3101307</t>
  </si>
  <si>
    <t>Portugal</t>
  </si>
  <si>
    <t>A/5 3540</t>
  </si>
  <si>
    <t>London Brooklyn, NY</t>
  </si>
  <si>
    <t>Co Limerick, Ireland Sherbrooke, PQ</t>
  </si>
  <si>
    <t>Ireland Brooklyn, NY</t>
  </si>
  <si>
    <t>Ireland</t>
  </si>
  <si>
    <t>A/5 3536</t>
  </si>
  <si>
    <t>Austria</t>
  </si>
  <si>
    <t>SOTON/OQ 392090</t>
  </si>
  <si>
    <t>C.A. 37671</t>
  </si>
  <si>
    <t>England Brooklyn, NY</t>
  </si>
  <si>
    <t>Merrill, WI</t>
  </si>
  <si>
    <t>S.P. 3464</t>
  </si>
  <si>
    <t>Bristol, England Cleveland, OH</t>
  </si>
  <si>
    <t>Bournemouth, England Newark, NJ</t>
  </si>
  <si>
    <t>Austria-Hungary</t>
  </si>
  <si>
    <t>Australia Fingal, ND</t>
  </si>
  <si>
    <t>Norrlot, Sweden Chicago, IL</t>
  </si>
  <si>
    <t>Co Athlone, Ireland New York, NY</t>
  </si>
  <si>
    <t>13 15 B</t>
  </si>
  <si>
    <t>Stanton, IA</t>
  </si>
  <si>
    <t>A/4 48871</t>
  </si>
  <si>
    <t>West Bromwich, England Pontiac, MI</t>
  </si>
  <si>
    <t>SC/A4 23568</t>
  </si>
  <si>
    <t>A/4 48873</t>
  </si>
  <si>
    <t>Liverpool, England Bedford, OH</t>
  </si>
  <si>
    <t>Tampico, MT</t>
  </si>
  <si>
    <t>Belgium Detroit, MI</t>
  </si>
  <si>
    <t>C.A. 2315</t>
  </si>
  <si>
    <t>Devon, England Wichita, KS</t>
  </si>
  <si>
    <t>Bulgaria Coon Rapids, IA</t>
  </si>
  <si>
    <t>A/5 21172</t>
  </si>
  <si>
    <t>A/5 21175</t>
  </si>
  <si>
    <t>Kilmacowen, Co Sligo, Ireland New York, NY</t>
  </si>
  <si>
    <t>A/5. 10482</t>
  </si>
  <si>
    <t>England Oglesby, IL</t>
  </si>
  <si>
    <t>Union Hill, NJ</t>
  </si>
  <si>
    <t>SOTON/OQ 392083</t>
  </si>
  <si>
    <t>London New York, NY</t>
  </si>
  <si>
    <t>Austria Niagara Falls, NY</t>
  </si>
  <si>
    <t>S.O./P.P. 752</t>
  </si>
  <si>
    <t>West Haven, CT</t>
  </si>
  <si>
    <t>Tofta, Sweden Joliet, IL</t>
  </si>
  <si>
    <t>Karberg, Sweden Jerome Junction, AZ</t>
  </si>
  <si>
    <t>Effington Rut, SD</t>
  </si>
  <si>
    <t>A/5 3902</t>
  </si>
  <si>
    <t>Illinois, USA</t>
  </si>
  <si>
    <t>C.A. 6212</t>
  </si>
  <si>
    <t>Aughnacliff, Co Longford, Ireland New York, NY</t>
  </si>
  <si>
    <t>SOTON/O.Q. 3101308</t>
  </si>
  <si>
    <t>Italy Philadelphia, PA</t>
  </si>
  <si>
    <t>W./C. 6608</t>
  </si>
  <si>
    <t>Rotherfield, Sussex, England Essex Co, MA</t>
  </si>
  <si>
    <t>A/5 1478</t>
  </si>
  <si>
    <t>Bridgwater, Somerset, England</t>
  </si>
  <si>
    <t>SOTON/O.Q. 3101314</t>
  </si>
  <si>
    <t>Co Clare, Ireland Washington, DC</t>
  </si>
  <si>
    <t>C D</t>
  </si>
  <si>
    <t>Strood, Kent, England Detroit, MI</t>
  </si>
  <si>
    <t>SOTON/O.Q. 3101263</t>
  </si>
  <si>
    <t>SOTON/O.Q. 3101306</t>
  </si>
  <si>
    <t>CA 2144</t>
  </si>
  <si>
    <t>Wiltshire, England Niagara Falls, NY</t>
  </si>
  <si>
    <t>Dorking, Surrey, England</t>
  </si>
  <si>
    <t>Foresvik, Norway Portland, ND</t>
  </si>
  <si>
    <t>Waukegan, Chicago, IL</t>
  </si>
  <si>
    <t>Myren, Sweden New York, NY</t>
  </si>
  <si>
    <t>AQ/3. 30631</t>
  </si>
  <si>
    <t>STON/O2. 3101279</t>
  </si>
  <si>
    <t>W./C. 6609</t>
  </si>
  <si>
    <t>STON/O2. 3101282</t>
  </si>
  <si>
    <t>STON/O2. 3101290</t>
  </si>
  <si>
    <t>C 7075</t>
  </si>
  <si>
    <t>STON/O2. 3101283</t>
  </si>
  <si>
    <t>A. 2. 39186</t>
  </si>
  <si>
    <t>STON/O2. 3101270</t>
  </si>
  <si>
    <t>STON/O2. 3101271</t>
  </si>
  <si>
    <t>SOTON/O.Q. 3101305</t>
  </si>
  <si>
    <t>LINE</t>
  </si>
  <si>
    <t>W./C. 6607</t>
  </si>
  <si>
    <t>STON/O 2. 3101286</t>
  </si>
  <si>
    <t>STON/O 2. 3101274</t>
  </si>
  <si>
    <t>F E57</t>
  </si>
  <si>
    <t>C 7077</t>
  </si>
  <si>
    <t>STON/O 2. 3101292</t>
  </si>
  <si>
    <t>STON/O 2. 3101285</t>
  </si>
  <si>
    <t>S.O./P.P. 251</t>
  </si>
  <si>
    <t>A/5. 3336</t>
  </si>
  <si>
    <t>A/5 21173</t>
  </si>
  <si>
    <t>C.A. 42795</t>
  </si>
  <si>
    <t>C 17369</t>
  </si>
  <si>
    <t>STON/O 2. 3101275</t>
  </si>
  <si>
    <t>AQ/4 3130</t>
  </si>
  <si>
    <t>A/S 2816</t>
  </si>
  <si>
    <t>STON/O 2. 3101268</t>
  </si>
  <si>
    <t>F E46</t>
  </si>
  <si>
    <t>15 16</t>
  </si>
  <si>
    <t>SOTON/O.Q. 392087</t>
  </si>
  <si>
    <t>A.5. 11206</t>
  </si>
  <si>
    <t>F G73</t>
  </si>
  <si>
    <t>E121</t>
  </si>
  <si>
    <t>A4. 54510</t>
  </si>
  <si>
    <t>A./5. 3235</t>
  </si>
  <si>
    <t>A./5. 3338</t>
  </si>
  <si>
    <t>SOTON/O2 3101272</t>
  </si>
  <si>
    <t>Finland Sudbury, ON</t>
  </si>
  <si>
    <t>STON/O 2. 3101289</t>
  </si>
  <si>
    <t>A/4. 39886</t>
  </si>
  <si>
    <t>C 17368</t>
  </si>
  <si>
    <t>Fa 265302</t>
  </si>
  <si>
    <t>Oslo, Norway Cameron, WI</t>
  </si>
  <si>
    <t>SOTON/O.Q. 3101315</t>
  </si>
  <si>
    <t>A/5 2817</t>
  </si>
  <si>
    <t>STON/O 2. 3101294</t>
  </si>
  <si>
    <t>STON/O 2. 3101291</t>
  </si>
  <si>
    <t>A/5 21174</t>
  </si>
  <si>
    <t>F E69</t>
  </si>
  <si>
    <t>SOTON/O.Q. 392078</t>
  </si>
  <si>
    <t>E10</t>
  </si>
  <si>
    <t>STON/O 2. 3101273</t>
  </si>
  <si>
    <t>A/5. 3337</t>
  </si>
  <si>
    <t>S.C./A.4. 23567</t>
  </si>
  <si>
    <t>A/5 3594</t>
  </si>
  <si>
    <t>A/4. 20589</t>
  </si>
  <si>
    <t>LP 1588</t>
  </si>
  <si>
    <t>SOTON/O.Q. 3101262</t>
  </si>
  <si>
    <t>CA. 2343</t>
  </si>
  <si>
    <t>PP 9549</t>
  </si>
  <si>
    <t>G6</t>
  </si>
  <si>
    <t>A/5. 2151</t>
  </si>
  <si>
    <t>SOTON/OQ 392082</t>
  </si>
  <si>
    <t>STON/O 2. 3101280</t>
  </si>
  <si>
    <t>SOTON/OQ 392086</t>
  </si>
  <si>
    <t>A.5. 18509</t>
  </si>
  <si>
    <t>A.5. 3236</t>
  </si>
  <si>
    <t>STON/OQ. 369943</t>
  </si>
  <si>
    <t>CA. 2314</t>
  </si>
  <si>
    <t>A/4 45380</t>
  </si>
  <si>
    <t>STON/O 2. 3101288</t>
  </si>
  <si>
    <t>SOTON/OQ 392089</t>
  </si>
  <si>
    <t>STON/O 2. 3101269</t>
  </si>
  <si>
    <t>SOTON/OQ 392076</t>
  </si>
  <si>
    <t>13 15</t>
  </si>
  <si>
    <t>STON/O 2. 3101293</t>
  </si>
  <si>
    <t>F38</t>
  </si>
  <si>
    <t>A/5. 851</t>
  </si>
  <si>
    <t>Antwerp, Belgium / Stanton, OH</t>
  </si>
  <si>
    <t>C.A. 49867</t>
  </si>
  <si>
    <t>SOTON/OQ 3101316</t>
  </si>
  <si>
    <t>S.O./P.P. 751</t>
  </si>
  <si>
    <t>A/5 2466</t>
  </si>
  <si>
    <t>SOTON/OQ 3101317</t>
  </si>
  <si>
    <t>A/4. 34244</t>
  </si>
  <si>
    <t>Passenger Class</t>
  </si>
  <si>
    <t>First Class</t>
  </si>
  <si>
    <t>Second Class</t>
  </si>
  <si>
    <t>Third Class</t>
  </si>
  <si>
    <t>Survival Status</t>
  </si>
  <si>
    <t>Died</t>
  </si>
  <si>
    <t>Allen</t>
  </si>
  <si>
    <t>Miss.</t>
  </si>
  <si>
    <t>Elisabeth</t>
  </si>
  <si>
    <t>Allison</t>
  </si>
  <si>
    <t>Master.</t>
  </si>
  <si>
    <t>Hudson</t>
  </si>
  <si>
    <t>Helen</t>
  </si>
  <si>
    <t>Mr.</t>
  </si>
  <si>
    <t>Mrs.</t>
  </si>
  <si>
    <t>J</t>
  </si>
  <si>
    <t>Anderson</t>
  </si>
  <si>
    <t>Harry</t>
  </si>
  <si>
    <t>Andrews</t>
  </si>
  <si>
    <t>Kornelia</t>
  </si>
  <si>
    <t>Thomas</t>
  </si>
  <si>
    <t>Appleton</t>
  </si>
  <si>
    <t>Edward</t>
  </si>
  <si>
    <t>Artagaveytia</t>
  </si>
  <si>
    <t>Ramon</t>
  </si>
  <si>
    <t>Astor</t>
  </si>
  <si>
    <t>Col.</t>
  </si>
  <si>
    <t>John</t>
  </si>
  <si>
    <t>Jacob</t>
  </si>
  <si>
    <t>Aubart</t>
  </si>
  <si>
    <t>Mme.</t>
  </si>
  <si>
    <t>Leontine</t>
  </si>
  <si>
    <t>Barber</t>
  </si>
  <si>
    <t>Ellen</t>
  </si>
  <si>
    <t>Nellie</t>
  </si>
  <si>
    <t>Barkworth</t>
  </si>
  <si>
    <t>Algernon</t>
  </si>
  <si>
    <t>Henry</t>
  </si>
  <si>
    <t>Wilson</t>
  </si>
  <si>
    <t>Baumann</t>
  </si>
  <si>
    <t>Baxter</t>
  </si>
  <si>
    <t>Quigg</t>
  </si>
  <si>
    <t>Edmond</t>
  </si>
  <si>
    <t>James</t>
  </si>
  <si>
    <t>Bazzani</t>
  </si>
  <si>
    <t>Albina</t>
  </si>
  <si>
    <t>Beattie</t>
  </si>
  <si>
    <t>Thomson</t>
  </si>
  <si>
    <t>Beckwith</t>
  </si>
  <si>
    <t>Richard</t>
  </si>
  <si>
    <t>Leonard</t>
  </si>
  <si>
    <t>Behr</t>
  </si>
  <si>
    <t>Karl</t>
  </si>
  <si>
    <t>Bidois</t>
  </si>
  <si>
    <t>Rosalie</t>
  </si>
  <si>
    <t>Bird</t>
  </si>
  <si>
    <t>Birnbaum</t>
  </si>
  <si>
    <t>Jakob</t>
  </si>
  <si>
    <t>Bishop</t>
  </si>
  <si>
    <t>Dickinson</t>
  </si>
  <si>
    <t>Bissette</t>
  </si>
  <si>
    <t>Amelia</t>
  </si>
  <si>
    <t>Bjornstrom-Steffansson</t>
  </si>
  <si>
    <t>Mauritz</t>
  </si>
  <si>
    <t>Blackwell</t>
  </si>
  <si>
    <t>Stephen</t>
  </si>
  <si>
    <t>Blank</t>
  </si>
  <si>
    <t>Bonnell</t>
  </si>
  <si>
    <t>Caroline</t>
  </si>
  <si>
    <t>Elizabeth</t>
  </si>
  <si>
    <t>Borebank</t>
  </si>
  <si>
    <t>Bowen</t>
  </si>
  <si>
    <t>Grace</t>
  </si>
  <si>
    <t>Bowerman</t>
  </si>
  <si>
    <t>Elsie</t>
  </si>
  <si>
    <t>Edith</t>
  </si>
  <si>
    <t>Bradley</t>
  </si>
  <si>
    <t>George</t>
  </si>
  <si>
    <t>Arthur</t>
  </si>
  <si>
    <t>Brady</t>
  </si>
  <si>
    <t>Bertram</t>
  </si>
  <si>
    <t>Brandeis</t>
  </si>
  <si>
    <t>Emil</t>
  </si>
  <si>
    <t>Brewe</t>
  </si>
  <si>
    <t>Dr.</t>
  </si>
  <si>
    <t>Brown</t>
  </si>
  <si>
    <t>Joseph</t>
  </si>
  <si>
    <t>Lane</t>
  </si>
  <si>
    <t>Bucknell</t>
  </si>
  <si>
    <t>William</t>
  </si>
  <si>
    <t>Robert</t>
  </si>
  <si>
    <t>Burns</t>
  </si>
  <si>
    <t>Margaret</t>
  </si>
  <si>
    <t>Butt</t>
  </si>
  <si>
    <t>Major.</t>
  </si>
  <si>
    <t>Archibald</t>
  </si>
  <si>
    <t>Cairns</t>
  </si>
  <si>
    <t>Alexander</t>
  </si>
  <si>
    <t>Calderhead</t>
  </si>
  <si>
    <t>Candee</t>
  </si>
  <si>
    <t>Cardeza</t>
  </si>
  <si>
    <t>Carlsson</t>
  </si>
  <si>
    <t>Frans</t>
  </si>
  <si>
    <t>Olof</t>
  </si>
  <si>
    <t>Carrau</t>
  </si>
  <si>
    <t>Francisco</t>
  </si>
  <si>
    <t>Jose</t>
  </si>
  <si>
    <t>Carter</t>
  </si>
  <si>
    <t>Thornton</t>
  </si>
  <si>
    <t>Lucile</t>
  </si>
  <si>
    <t>Ernest</t>
  </si>
  <si>
    <t>Case</t>
  </si>
  <si>
    <t>Howard</t>
  </si>
  <si>
    <t>Cassebeer</t>
  </si>
  <si>
    <t>Cavendish</t>
  </si>
  <si>
    <t>Tyrell</t>
  </si>
  <si>
    <t>Florence</t>
  </si>
  <si>
    <t>Chaffee</t>
  </si>
  <si>
    <t>Herbert</t>
  </si>
  <si>
    <t>Constance</t>
  </si>
  <si>
    <t>Chambers</t>
  </si>
  <si>
    <t>Norman</t>
  </si>
  <si>
    <t>Campbell</t>
  </si>
  <si>
    <t>Chaudanson</t>
  </si>
  <si>
    <t>Victorine</t>
  </si>
  <si>
    <t>Cherry</t>
  </si>
  <si>
    <t>Gladys</t>
  </si>
  <si>
    <t>Chevre</t>
  </si>
  <si>
    <t>Paul</t>
  </si>
  <si>
    <t>Romaine</t>
  </si>
  <si>
    <t>Chibnall</t>
  </si>
  <si>
    <t>(Edith</t>
  </si>
  <si>
    <t>Chisholm</t>
  </si>
  <si>
    <t>Roderick</t>
  </si>
  <si>
    <t>Clark</t>
  </si>
  <si>
    <t>Walter</t>
  </si>
  <si>
    <t>Cleaver</t>
  </si>
  <si>
    <t>Alice</t>
  </si>
  <si>
    <t>Clifford</t>
  </si>
  <si>
    <t>Colley</t>
  </si>
  <si>
    <t>Compton</t>
  </si>
  <si>
    <t>Sara</t>
  </si>
  <si>
    <t>Taylor</t>
  </si>
  <si>
    <t>(Mary</t>
  </si>
  <si>
    <t>Cornell</t>
  </si>
  <si>
    <t>Crafton</t>
  </si>
  <si>
    <t>Crosby</t>
  </si>
  <si>
    <t>Capt.</t>
  </si>
  <si>
    <t>Harriet</t>
  </si>
  <si>
    <t>(Catherine</t>
  </si>
  <si>
    <t>Cumings</t>
  </si>
  <si>
    <t>Daly</t>
  </si>
  <si>
    <t>Peter</t>
  </si>
  <si>
    <t>Denis</t>
  </si>
  <si>
    <t>Daniel</t>
  </si>
  <si>
    <t>Williams</t>
  </si>
  <si>
    <t>Daniels</t>
  </si>
  <si>
    <t>Sarah</t>
  </si>
  <si>
    <t>Davidson</t>
  </si>
  <si>
    <t>Dick</t>
  </si>
  <si>
    <t>Albert</t>
  </si>
  <si>
    <t>Dodge</t>
  </si>
  <si>
    <t>Washington</t>
  </si>
  <si>
    <t>Douglas</t>
  </si>
  <si>
    <t>Frederick</t>
  </si>
  <si>
    <t>Charles</t>
  </si>
  <si>
    <t>Helene</t>
  </si>
  <si>
    <t>Duff</t>
  </si>
  <si>
    <t>Gordon</t>
  </si>
  <si>
    <t>Lady.</t>
  </si>
  <si>
    <t>Sir.</t>
  </si>
  <si>
    <t>Dulles</t>
  </si>
  <si>
    <t>Earnshaw</t>
  </si>
  <si>
    <t>Boulton</t>
  </si>
  <si>
    <t>Endres</t>
  </si>
  <si>
    <t>Louise</t>
  </si>
  <si>
    <t>Eustis</t>
  </si>
  <si>
    <t>Evans</t>
  </si>
  <si>
    <t>Farthing</t>
  </si>
  <si>
    <t>Flegenheim</t>
  </si>
  <si>
    <t>Alfred</t>
  </si>
  <si>
    <t>Fleming</t>
  </si>
  <si>
    <t>Flynn</t>
  </si>
  <si>
    <t>Foreman</t>
  </si>
  <si>
    <t>Benjamin</t>
  </si>
  <si>
    <t>Fortune</t>
  </si>
  <si>
    <t>Ethel</t>
  </si>
  <si>
    <t>Mabel</t>
  </si>
  <si>
    <t>Mark</t>
  </si>
  <si>
    <t>Francatelli</t>
  </si>
  <si>
    <t>Laura</t>
  </si>
  <si>
    <t>Franklin</t>
  </si>
  <si>
    <t>Frauenthal</t>
  </si>
  <si>
    <t>Isaac</t>
  </si>
  <si>
    <t>Frolicher</t>
  </si>
  <si>
    <t>Hedwig</t>
  </si>
  <si>
    <t>Frolicher-Stehli</t>
  </si>
  <si>
    <t>Maxmillian</t>
  </si>
  <si>
    <t>Fry</t>
  </si>
  <si>
    <t>Futrelle</t>
  </si>
  <si>
    <t>Jacques</t>
  </si>
  <si>
    <t>May</t>
  </si>
  <si>
    <t>Gee</t>
  </si>
  <si>
    <t>Geiger</t>
  </si>
  <si>
    <t>Amalie</t>
  </si>
  <si>
    <t>Gibson</t>
  </si>
  <si>
    <t>Dorothy</t>
  </si>
  <si>
    <t>Winifred</t>
  </si>
  <si>
    <t>Giglio</t>
  </si>
  <si>
    <t>Victor</t>
  </si>
  <si>
    <t>Goldenberg</t>
  </si>
  <si>
    <t>Samuel</t>
  </si>
  <si>
    <t>Goldschmidt</t>
  </si>
  <si>
    <t>Gracie</t>
  </si>
  <si>
    <t>Graham</t>
  </si>
  <si>
    <t>Greenfield</t>
  </si>
  <si>
    <t>Leo</t>
  </si>
  <si>
    <t>David</t>
  </si>
  <si>
    <t>Guggenheim</t>
  </si>
  <si>
    <t>Harder</t>
  </si>
  <si>
    <t>Harper</t>
  </si>
  <si>
    <t>Harrington</t>
  </si>
  <si>
    <t>Harris</t>
  </si>
  <si>
    <t>Harrison</t>
  </si>
  <si>
    <t>Hassab</t>
  </si>
  <si>
    <t>Hammad</t>
  </si>
  <si>
    <t>Hawksford</t>
  </si>
  <si>
    <t>Hays</t>
  </si>
  <si>
    <t>Head</t>
  </si>
  <si>
    <t>Christopher</t>
  </si>
  <si>
    <t>Hilliard</t>
  </si>
  <si>
    <t>Hipkins</t>
  </si>
  <si>
    <t>Hippach</t>
  </si>
  <si>
    <t>Jean</t>
  </si>
  <si>
    <t>Gertrude</t>
  </si>
  <si>
    <t>Louis</t>
  </si>
  <si>
    <t>Hogeboom</t>
  </si>
  <si>
    <t>Holverson</t>
  </si>
  <si>
    <t>Oskar</t>
  </si>
  <si>
    <t>Homer</t>
  </si>
  <si>
    <t>Hoyt</t>
  </si>
  <si>
    <t>Anne</t>
  </si>
  <si>
    <t>Icard</t>
  </si>
  <si>
    <t>Amelie</t>
  </si>
  <si>
    <t>Isham</t>
  </si>
  <si>
    <t>Ann</t>
  </si>
  <si>
    <t>Ismay</t>
  </si>
  <si>
    <t>Jones</t>
  </si>
  <si>
    <t>Julian</t>
  </si>
  <si>
    <t>Keeping</t>
  </si>
  <si>
    <t>Edwin</t>
  </si>
  <si>
    <t>Kent</t>
  </si>
  <si>
    <t>Kenyon</t>
  </si>
  <si>
    <t>Kimball</t>
  </si>
  <si>
    <t>Klaber</t>
  </si>
  <si>
    <t>Herman</t>
  </si>
  <si>
    <t>Kreuchen</t>
  </si>
  <si>
    <t>Emilie</t>
  </si>
  <si>
    <t>Leader</t>
  </si>
  <si>
    <t>LeRoy</t>
  </si>
  <si>
    <t>Bertha</t>
  </si>
  <si>
    <t>Lesurer</t>
  </si>
  <si>
    <t>Gustave</t>
  </si>
  <si>
    <t>Lewy</t>
  </si>
  <si>
    <t>Ervin</t>
  </si>
  <si>
    <t>Lindeberg-Lind</t>
  </si>
  <si>
    <t>Erik</t>
  </si>
  <si>
    <t>Gustaf</t>
  </si>
  <si>
    <t>Lindstrom</t>
  </si>
  <si>
    <t>Carl</t>
  </si>
  <si>
    <t>Johan</t>
  </si>
  <si>
    <t>Lines</t>
  </si>
  <si>
    <t>Mary</t>
  </si>
  <si>
    <t>(Elizabeth</t>
  </si>
  <si>
    <t>Long</t>
  </si>
  <si>
    <t>Milton</t>
  </si>
  <si>
    <t>Longley</t>
  </si>
  <si>
    <t>Gretchen</t>
  </si>
  <si>
    <t>Loring</t>
  </si>
  <si>
    <t>Lurette</t>
  </si>
  <si>
    <t>Elise</t>
  </si>
  <si>
    <t>Madill</t>
  </si>
  <si>
    <t>Georgette</t>
  </si>
  <si>
    <t>Maguire</t>
  </si>
  <si>
    <t>Maioni</t>
  </si>
  <si>
    <t>Roberta</t>
  </si>
  <si>
    <t>Marechal</t>
  </si>
  <si>
    <t>Pierre</t>
  </si>
  <si>
    <t>Marvin</t>
  </si>
  <si>
    <t>Mayne</t>
  </si>
  <si>
    <t>Mlle.</t>
  </si>
  <si>
    <t>Berthe</t>
  </si>
  <si>
    <t>de</t>
  </si>
  <si>
    <t>McCaffry</t>
  </si>
  <si>
    <t>Francis</t>
  </si>
  <si>
    <t>McCarthy</t>
  </si>
  <si>
    <t>Timothy</t>
  </si>
  <si>
    <t>McGough</t>
  </si>
  <si>
    <t>Meyer</t>
  </si>
  <si>
    <t>Edgar</t>
  </si>
  <si>
    <t>Millet</t>
  </si>
  <si>
    <t>Davis</t>
  </si>
  <si>
    <t>Minahan</t>
  </si>
  <si>
    <t>Daisy</t>
  </si>
  <si>
    <t>Mock</t>
  </si>
  <si>
    <t>Philipp</t>
  </si>
  <si>
    <t>Molson</t>
  </si>
  <si>
    <t>Moore</t>
  </si>
  <si>
    <t>Clarence</t>
  </si>
  <si>
    <t>Natsch</t>
  </si>
  <si>
    <t>Newell</t>
  </si>
  <si>
    <t>Madeleine</t>
  </si>
  <si>
    <t>Marjorie</t>
  </si>
  <si>
    <t>Newsom</t>
  </si>
  <si>
    <t>Nicholson</t>
  </si>
  <si>
    <t>Oliva</t>
  </si>
  <si>
    <t>y</t>
  </si>
  <si>
    <t>Ocana</t>
  </si>
  <si>
    <t>Omont</t>
  </si>
  <si>
    <t>Ostby</t>
  </si>
  <si>
    <t>Engelhart</t>
  </si>
  <si>
    <t>Ovies</t>
  </si>
  <si>
    <t>Rodriguez</t>
  </si>
  <si>
    <t>Parr</t>
  </si>
  <si>
    <t>Partner</t>
  </si>
  <si>
    <t>Austen</t>
  </si>
  <si>
    <t>Payne</t>
  </si>
  <si>
    <t>Vivian</t>
  </si>
  <si>
    <t>Pears</t>
  </si>
  <si>
    <t>Penasco</t>
  </si>
  <si>
    <t>Castellana</t>
  </si>
  <si>
    <t>Soto</t>
  </si>
  <si>
    <t>Perreault</t>
  </si>
  <si>
    <t>Peuchen</t>
  </si>
  <si>
    <t>Porter</t>
  </si>
  <si>
    <t>Potter</t>
  </si>
  <si>
    <t>Reuchlin</t>
  </si>
  <si>
    <t>Jonkheer.</t>
  </si>
  <si>
    <t>Rheims</t>
  </si>
  <si>
    <t>Lucien</t>
  </si>
  <si>
    <t>Ringhini</t>
  </si>
  <si>
    <t>Sante</t>
  </si>
  <si>
    <t>Robbins</t>
  </si>
  <si>
    <t>Roebling</t>
  </si>
  <si>
    <t>Rood</t>
  </si>
  <si>
    <t>Hugh</t>
  </si>
  <si>
    <t>Rosenbaum</t>
  </si>
  <si>
    <t>Rosenshine</t>
  </si>
  <si>
    <t>Ross</t>
  </si>
  <si>
    <t>Rothes</t>
  </si>
  <si>
    <t>the</t>
  </si>
  <si>
    <t>Countess.</t>
  </si>
  <si>
    <t>Noel</t>
  </si>
  <si>
    <t>Rothschild</t>
  </si>
  <si>
    <t>Martin</t>
  </si>
  <si>
    <t>Rowe</t>
  </si>
  <si>
    <t>Ryerson</t>
  </si>
  <si>
    <t>Emily</t>
  </si>
  <si>
    <t>Susan</t>
  </si>
  <si>
    <t>Parker</t>
  </si>
  <si>
    <t>Maria</t>
  </si>
  <si>
    <t>Saalfeld</t>
  </si>
  <si>
    <t>Adolphe</t>
  </si>
  <si>
    <t>Sagesser</t>
  </si>
  <si>
    <t>Emma</t>
  </si>
  <si>
    <t>Salomon</t>
  </si>
  <si>
    <t>Abraham</t>
  </si>
  <si>
    <t>Schabert</t>
  </si>
  <si>
    <t>Serepeca</t>
  </si>
  <si>
    <t>Augusta</t>
  </si>
  <si>
    <t>Seward</t>
  </si>
  <si>
    <t>Frederic</t>
  </si>
  <si>
    <t>Shutes</t>
  </si>
  <si>
    <t>Silverthorne</t>
  </si>
  <si>
    <t>Spencer</t>
  </si>
  <si>
    <t>Silvey</t>
  </si>
  <si>
    <t>(Alice</t>
  </si>
  <si>
    <t>Simonius-Blumer</t>
  </si>
  <si>
    <t>Oberst</t>
  </si>
  <si>
    <t>Sloper</t>
  </si>
  <si>
    <t>Smart</t>
  </si>
  <si>
    <t>Smith</t>
  </si>
  <si>
    <t>Philip</t>
  </si>
  <si>
    <t>Snyder</t>
  </si>
  <si>
    <t>Spedden</t>
  </si>
  <si>
    <t>Stahelin-Maeglin</t>
  </si>
  <si>
    <t>Max</t>
  </si>
  <si>
    <t>Stead</t>
  </si>
  <si>
    <t>Stengel</t>
  </si>
  <si>
    <t>Stephenson</t>
  </si>
  <si>
    <t>Stewart</t>
  </si>
  <si>
    <t>Stone</t>
  </si>
  <si>
    <t>Straus</t>
  </si>
  <si>
    <t>Isidor</t>
  </si>
  <si>
    <t>Ida</t>
  </si>
  <si>
    <t>Sutton</t>
  </si>
  <si>
    <t>Swift</t>
  </si>
  <si>
    <t>Taussig</t>
  </si>
  <si>
    <t>Ruth</t>
  </si>
  <si>
    <t>Elmer</t>
  </si>
  <si>
    <t>Thayer</t>
  </si>
  <si>
    <t>Thorne</t>
  </si>
  <si>
    <t>Tucker</t>
  </si>
  <si>
    <t>Gilbert</t>
  </si>
  <si>
    <t>Uruchurtu</t>
  </si>
  <si>
    <t>Don.</t>
  </si>
  <si>
    <t>Manuel</t>
  </si>
  <si>
    <t>Van</t>
  </si>
  <si>
    <t>der</t>
  </si>
  <si>
    <t>hoef</t>
  </si>
  <si>
    <t>Walker</t>
  </si>
  <si>
    <t>Ward</t>
  </si>
  <si>
    <t>Anna</t>
  </si>
  <si>
    <t>Warren</t>
  </si>
  <si>
    <t>Frank</t>
  </si>
  <si>
    <t>Weir</t>
  </si>
  <si>
    <t>White</t>
  </si>
  <si>
    <t>Percival</t>
  </si>
  <si>
    <t>Wick</t>
  </si>
  <si>
    <t>Widener</t>
  </si>
  <si>
    <t>Willard</t>
  </si>
  <si>
    <t>Duane</t>
  </si>
  <si>
    <t>Williams-Lambert</t>
  </si>
  <si>
    <t>Fletcher</t>
  </si>
  <si>
    <t>Woolner</t>
  </si>
  <si>
    <t>Wright</t>
  </si>
  <si>
    <t>Young</t>
  </si>
  <si>
    <t>Marie</t>
  </si>
  <si>
    <t>Abelson</t>
  </si>
  <si>
    <t>Aldworth</t>
  </si>
  <si>
    <t>Andrew</t>
  </si>
  <si>
    <t>Edgardo</t>
  </si>
  <si>
    <t>Angle</t>
  </si>
  <si>
    <t>Agnes</t>
  </si>
  <si>
    <t>Ashby</t>
  </si>
  <si>
    <t>Bailey</t>
  </si>
  <si>
    <t>Percy</t>
  </si>
  <si>
    <t>Baimbrigge</t>
  </si>
  <si>
    <t>Ball</t>
  </si>
  <si>
    <t>(Ada</t>
  </si>
  <si>
    <t>Banfield</t>
  </si>
  <si>
    <t>Bateman</t>
  </si>
  <si>
    <t>Rev.</t>
  </si>
  <si>
    <t>Beane</t>
  </si>
  <si>
    <t>Beauchamp</t>
  </si>
  <si>
    <t>Becker</t>
  </si>
  <si>
    <t>Marion</t>
  </si>
  <si>
    <t>Beesley</t>
  </si>
  <si>
    <t>Lawrence</t>
  </si>
  <si>
    <t>Bentham</t>
  </si>
  <si>
    <t>Lilian</t>
  </si>
  <si>
    <t>Berriman</t>
  </si>
  <si>
    <t>Botsford</t>
  </si>
  <si>
    <t>Bowenur</t>
  </si>
  <si>
    <t>Solomon</t>
  </si>
  <si>
    <t>Bracken</t>
  </si>
  <si>
    <t>Catherine</t>
  </si>
  <si>
    <t>Bryhl</t>
  </si>
  <si>
    <t>Dagmar</t>
  </si>
  <si>
    <t>Jenny</t>
  </si>
  <si>
    <t>Ingeborg</t>
  </si>
  <si>
    <t>Kurt</t>
  </si>
  <si>
    <t>Buss</t>
  </si>
  <si>
    <t>Kate</t>
  </si>
  <si>
    <t>Butler</t>
  </si>
  <si>
    <t>Reginald</t>
  </si>
  <si>
    <t>Byles</t>
  </si>
  <si>
    <t>Bystrom</t>
  </si>
  <si>
    <t>(Karolina)</t>
  </si>
  <si>
    <t>Caldwell</t>
  </si>
  <si>
    <t>Alden</t>
  </si>
  <si>
    <t>Cameron</t>
  </si>
  <si>
    <t>Clear</t>
  </si>
  <si>
    <t>Annie</t>
  </si>
  <si>
    <t>Carbines</t>
  </si>
  <si>
    <t>Chapman</t>
  </si>
  <si>
    <t>Christy</t>
  </si>
  <si>
    <t>Julie</t>
  </si>
  <si>
    <t>Clarke</t>
  </si>
  <si>
    <t>Coleridge</t>
  </si>
  <si>
    <t>Collander</t>
  </si>
  <si>
    <t>Collett</t>
  </si>
  <si>
    <t>Sidney</t>
  </si>
  <si>
    <t>Collyer</t>
  </si>
  <si>
    <t>Harvey</t>
  </si>
  <si>
    <t>Cook</t>
  </si>
  <si>
    <t>(Selena</t>
  </si>
  <si>
    <t>Corbett</t>
  </si>
  <si>
    <t>Corey</t>
  </si>
  <si>
    <t>Phyllis</t>
  </si>
  <si>
    <t>Cotterill</t>
  </si>
  <si>
    <t>Cunningham</t>
  </si>
  <si>
    <t>Davies</t>
  </si>
  <si>
    <t>Brito</t>
  </si>
  <si>
    <t>Deacon</t>
  </si>
  <si>
    <t>del</t>
  </si>
  <si>
    <t>Carlo</t>
  </si>
  <si>
    <t>Denbury</t>
  </si>
  <si>
    <t>Dibden</t>
  </si>
  <si>
    <t>Doling</t>
  </si>
  <si>
    <t>Julia</t>
  </si>
  <si>
    <t>Downton</t>
  </si>
  <si>
    <t>Drew</t>
  </si>
  <si>
    <t>Marshall</t>
  </si>
  <si>
    <t>Duran</t>
  </si>
  <si>
    <t>More</t>
  </si>
  <si>
    <t>Eitemiller</t>
  </si>
  <si>
    <t>Enander</t>
  </si>
  <si>
    <t>Ingvar</t>
  </si>
  <si>
    <t>Fahlstrom</t>
  </si>
  <si>
    <t>Arne</t>
  </si>
  <si>
    <t>Faunthorpe</t>
  </si>
  <si>
    <t>Lizzie</t>
  </si>
  <si>
    <t>Fillbrook</t>
  </si>
  <si>
    <t>Fox</t>
  </si>
  <si>
    <t>Stanley</t>
  </si>
  <si>
    <t>Frost</t>
  </si>
  <si>
    <t>Anthony</t>
  </si>
  <si>
    <t>Funk</t>
  </si>
  <si>
    <t>Fynney</t>
  </si>
  <si>
    <t>Gale</t>
  </si>
  <si>
    <t>Shadrach</t>
  </si>
  <si>
    <t>Garside</t>
  </si>
  <si>
    <t>Gaskell</t>
  </si>
  <si>
    <t>Gavey</t>
  </si>
  <si>
    <t>Giles</t>
  </si>
  <si>
    <t>Ralph</t>
  </si>
  <si>
    <t>Gill</t>
  </si>
  <si>
    <t>Gillespie</t>
  </si>
  <si>
    <t>Givard</t>
  </si>
  <si>
    <t>Hans</t>
  </si>
  <si>
    <t>Greenberg</t>
  </si>
  <si>
    <t>Hale</t>
  </si>
  <si>
    <t>Hamalainen</t>
  </si>
  <si>
    <t>Viljo</t>
  </si>
  <si>
    <t>Harbeck</t>
  </si>
  <si>
    <t>Jessie</t>
  </si>
  <si>
    <t>Hart</t>
  </si>
  <si>
    <t>Eva</t>
  </si>
  <si>
    <t>Ada</t>
  </si>
  <si>
    <t>Hewlett</t>
  </si>
  <si>
    <t>Hickman</t>
  </si>
  <si>
    <t>Lewis</t>
  </si>
  <si>
    <t>Hiltunen</t>
  </si>
  <si>
    <t>Marta</t>
  </si>
  <si>
    <t>Hocking</t>
  </si>
  <si>
    <t>Hodges</t>
  </si>
  <si>
    <t>Hold</t>
  </si>
  <si>
    <t>Hood</t>
  </si>
  <si>
    <t>Ambrose</t>
  </si>
  <si>
    <t>Hosono</t>
  </si>
  <si>
    <t>Masabumi</t>
  </si>
  <si>
    <t>Hunt</t>
  </si>
  <si>
    <t>Ilett</t>
  </si>
  <si>
    <t>Jacobsohn</t>
  </si>
  <si>
    <t>Jarvis</t>
  </si>
  <si>
    <t>Jefferys</t>
  </si>
  <si>
    <t>Jenkin</t>
  </si>
  <si>
    <t>Jerwan</t>
  </si>
  <si>
    <t>Amin</t>
  </si>
  <si>
    <t>Kantor</t>
  </si>
  <si>
    <t>Sinai</t>
  </si>
  <si>
    <t>Karnes</t>
  </si>
  <si>
    <t>Keane</t>
  </si>
  <si>
    <t>Nora</t>
  </si>
  <si>
    <t>Kelly</t>
  </si>
  <si>
    <t>Kirkland</t>
  </si>
  <si>
    <t>Knight</t>
  </si>
  <si>
    <t>Kvillner</t>
  </si>
  <si>
    <t>Henrik</t>
  </si>
  <si>
    <t>Lahtinen</t>
  </si>
  <si>
    <t>Lamb</t>
  </si>
  <si>
    <t>Laroche</t>
  </si>
  <si>
    <t>Simonne</t>
  </si>
  <si>
    <t>Lehmann</t>
  </si>
  <si>
    <t>Leitch</t>
  </si>
  <si>
    <t>Lemore</t>
  </si>
  <si>
    <t>(Amelia</t>
  </si>
  <si>
    <t>Levy</t>
  </si>
  <si>
    <t>Rene</t>
  </si>
  <si>
    <t>Leyson</t>
  </si>
  <si>
    <t>Lingane</t>
  </si>
  <si>
    <t>Louch</t>
  </si>
  <si>
    <t>Mack</t>
  </si>
  <si>
    <t>(Mary)</t>
  </si>
  <si>
    <t>Malachard</t>
  </si>
  <si>
    <t>Mallet</t>
  </si>
  <si>
    <t>Andre</t>
  </si>
  <si>
    <t>Mangiavacchi</t>
  </si>
  <si>
    <t>Serafino</t>
  </si>
  <si>
    <t>Emilio</t>
  </si>
  <si>
    <t>Matthews</t>
  </si>
  <si>
    <t>Maybery</t>
  </si>
  <si>
    <t>McCrae</t>
  </si>
  <si>
    <t>McCrie</t>
  </si>
  <si>
    <t>Matthew</t>
  </si>
  <si>
    <t>McKane</t>
  </si>
  <si>
    <t>Mellinger</t>
  </si>
  <si>
    <t>Mellors</t>
  </si>
  <si>
    <t>August</t>
  </si>
  <si>
    <t>Milling</t>
  </si>
  <si>
    <t>Mitchell</t>
  </si>
  <si>
    <t>Michael</t>
  </si>
  <si>
    <t>Montvila</t>
  </si>
  <si>
    <t>Juozas</t>
  </si>
  <si>
    <t>Moraweck</t>
  </si>
  <si>
    <t>Morley</t>
  </si>
  <si>
    <t>Mudd</t>
  </si>
  <si>
    <t>Myles</t>
  </si>
  <si>
    <t>Nasser</t>
  </si>
  <si>
    <t>Nicholas</t>
  </si>
  <si>
    <t>Navratil</t>
  </si>
  <si>
    <t>Roger</t>
  </si>
  <si>
    <t>Michel</t>
  </si>
  <si>
    <t>Nesson</t>
  </si>
  <si>
    <t>Israel</t>
  </si>
  <si>
    <t>Nicholls</t>
  </si>
  <si>
    <t>Nourney</t>
  </si>
  <si>
    <t>Nye</t>
  </si>
  <si>
    <t>Otter</t>
  </si>
  <si>
    <t>Oxenham</t>
  </si>
  <si>
    <t>Padro</t>
  </si>
  <si>
    <t>Manent</t>
  </si>
  <si>
    <t>Pain</t>
  </si>
  <si>
    <t>Pallas</t>
  </si>
  <si>
    <t>Castello</t>
  </si>
  <si>
    <t>Parkes</t>
  </si>
  <si>
    <t>Parrish</t>
  </si>
  <si>
    <t>(Lutie</t>
  </si>
  <si>
    <t>Pengelly</t>
  </si>
  <si>
    <t>Pernot</t>
  </si>
  <si>
    <t>Peruschitz</t>
  </si>
  <si>
    <t>Phillips</t>
  </si>
  <si>
    <t>Escott</t>
  </si>
  <si>
    <t>Pinsky</t>
  </si>
  <si>
    <t>(Rosa)</t>
  </si>
  <si>
    <t>Ponesell</t>
  </si>
  <si>
    <t>Portaluppi</t>
  </si>
  <si>
    <t>Pulbaum</t>
  </si>
  <si>
    <t>Franz</t>
  </si>
  <si>
    <t>Quick</t>
  </si>
  <si>
    <t>Reeves</t>
  </si>
  <si>
    <t>Renouf</t>
  </si>
  <si>
    <t>Reynaldo</t>
  </si>
  <si>
    <t>Ms.</t>
  </si>
  <si>
    <t>Encarnacion</t>
  </si>
  <si>
    <t>Emile</t>
  </si>
  <si>
    <t>Richards</t>
  </si>
  <si>
    <t>Ridsdale</t>
  </si>
  <si>
    <t>Lucy</t>
  </si>
  <si>
    <t>Rogers</t>
  </si>
  <si>
    <t>Rugg</t>
  </si>
  <si>
    <t>Schmidt</t>
  </si>
  <si>
    <t>Sedgwick</t>
  </si>
  <si>
    <t>Sharp</t>
  </si>
  <si>
    <t>Shelley</t>
  </si>
  <si>
    <t>Silven</t>
  </si>
  <si>
    <t>Lyyli</t>
  </si>
  <si>
    <t>Sincock</t>
  </si>
  <si>
    <t>Maude</t>
  </si>
  <si>
    <t>Sinkkonen</t>
  </si>
  <si>
    <t>Sjostedt</t>
  </si>
  <si>
    <t>Ernst</t>
  </si>
  <si>
    <t>Adolf</t>
  </si>
  <si>
    <t>Slayter</t>
  </si>
  <si>
    <t>Hilda</t>
  </si>
  <si>
    <t>Slemen</t>
  </si>
  <si>
    <t>Sobey</t>
  </si>
  <si>
    <t>Stanton</t>
  </si>
  <si>
    <t>Stokes</t>
  </si>
  <si>
    <t>Swane</t>
  </si>
  <si>
    <t>Sweet</t>
  </si>
  <si>
    <t>Toomey</t>
  </si>
  <si>
    <t>Troupiansky</t>
  </si>
  <si>
    <t>Moses</t>
  </si>
  <si>
    <t>Aaron</t>
  </si>
  <si>
    <t>Trout</t>
  </si>
  <si>
    <t>Troutt</t>
  </si>
  <si>
    <t>Edwina</t>
  </si>
  <si>
    <t>Turpin</t>
  </si>
  <si>
    <t>Veal</t>
  </si>
  <si>
    <t>Walcroft</t>
  </si>
  <si>
    <t>Ware</t>
  </si>
  <si>
    <t>Watson</t>
  </si>
  <si>
    <t>Ennis</t>
  </si>
  <si>
    <t>Watt</t>
  </si>
  <si>
    <t>Webber</t>
  </si>
  <si>
    <t>Weisz</t>
  </si>
  <si>
    <t>Leopold</t>
  </si>
  <si>
    <t>Wells</t>
  </si>
  <si>
    <t>Lester</t>
  </si>
  <si>
    <t>Joan</t>
  </si>
  <si>
    <t>West</t>
  </si>
  <si>
    <t>Barbara</t>
  </si>
  <si>
    <t>Edwy</t>
  </si>
  <si>
    <t>Wheadon</t>
  </si>
  <si>
    <t>Wheeler</t>
  </si>
  <si>
    <t>Wilhelms</t>
  </si>
  <si>
    <t>Eugene</t>
  </si>
  <si>
    <t>Yrois</t>
  </si>
  <si>
    <t>Henriette</t>
  </si>
  <si>
    <t>Abbing</t>
  </si>
  <si>
    <t>Abbott</t>
  </si>
  <si>
    <t>Rossmore</t>
  </si>
  <si>
    <t>Abelseth</t>
  </si>
  <si>
    <t>Karen</t>
  </si>
  <si>
    <t>Olaus</t>
  </si>
  <si>
    <t>Abrahamsson</t>
  </si>
  <si>
    <t>Johannes</t>
  </si>
  <si>
    <t>Abrahim</t>
  </si>
  <si>
    <t>Adahl</t>
  </si>
  <si>
    <t>Nils</t>
  </si>
  <si>
    <t>Adams</t>
  </si>
  <si>
    <t>Ahlin</t>
  </si>
  <si>
    <t>Aks</t>
  </si>
  <si>
    <t>Sam</t>
  </si>
  <si>
    <t>Albimona</t>
  </si>
  <si>
    <t>Nassef</t>
  </si>
  <si>
    <t>Alhomaki</t>
  </si>
  <si>
    <t>Ilmari</t>
  </si>
  <si>
    <t>Ali</t>
  </si>
  <si>
    <t>Ahmed</t>
  </si>
  <si>
    <t>Allum</t>
  </si>
  <si>
    <t>Owen</t>
  </si>
  <si>
    <t>Andersen</t>
  </si>
  <si>
    <t>Andersen-Jensen</t>
  </si>
  <si>
    <t>Carla</t>
  </si>
  <si>
    <t>Andersson</t>
  </si>
  <si>
    <t>Sigvard</t>
  </si>
  <si>
    <t>Harald</t>
  </si>
  <si>
    <t>Elias</t>
  </si>
  <si>
    <t>Ebba</t>
  </si>
  <si>
    <t>Ellis</t>
  </si>
  <si>
    <t>Erna</t>
  </si>
  <si>
    <t>Sigrid</t>
  </si>
  <si>
    <t>Anders</t>
  </si>
  <si>
    <t>Edvard</t>
  </si>
  <si>
    <t>Andreasson</t>
  </si>
  <si>
    <t>Edvin</t>
  </si>
  <si>
    <t>Angheloff</t>
  </si>
  <si>
    <t>Minko</t>
  </si>
  <si>
    <t>Arnold-Franchi</t>
  </si>
  <si>
    <t>Josef</t>
  </si>
  <si>
    <t>Aronsson</t>
  </si>
  <si>
    <t>Asim</t>
  </si>
  <si>
    <t>Adola</t>
  </si>
  <si>
    <t>Asplund</t>
  </si>
  <si>
    <t>Filip</t>
  </si>
  <si>
    <t>Oscar</t>
  </si>
  <si>
    <t>Lillian</t>
  </si>
  <si>
    <t>Gertrud</t>
  </si>
  <si>
    <t>Gustafsson</t>
  </si>
  <si>
    <t>Assaf</t>
  </si>
  <si>
    <t>Khalil</t>
  </si>
  <si>
    <t>Gerios</t>
  </si>
  <si>
    <t>Assam</t>
  </si>
  <si>
    <t>Attalah</t>
  </si>
  <si>
    <t>Malake</t>
  </si>
  <si>
    <t>Sleiman</t>
  </si>
  <si>
    <t>Augustsson</t>
  </si>
  <si>
    <t>Ayoub</t>
  </si>
  <si>
    <t>Banoura</t>
  </si>
  <si>
    <t>Baccos</t>
  </si>
  <si>
    <t>Raffull</t>
  </si>
  <si>
    <t>Backstrom</t>
  </si>
  <si>
    <t>Baclini</t>
  </si>
  <si>
    <t>Eugenie</t>
  </si>
  <si>
    <t>Badman</t>
  </si>
  <si>
    <t>Badt</t>
  </si>
  <si>
    <t>Mohamed</t>
  </si>
  <si>
    <t>Balkic</t>
  </si>
  <si>
    <t>Cerin</t>
  </si>
  <si>
    <t>Barah</t>
  </si>
  <si>
    <t>Hanna</t>
  </si>
  <si>
    <t>Saiide</t>
  </si>
  <si>
    <t>Barry</t>
  </si>
  <si>
    <t>Barton</t>
  </si>
  <si>
    <t>Beavan</t>
  </si>
  <si>
    <t>Bengtsson</t>
  </si>
  <si>
    <t>Viktor</t>
  </si>
  <si>
    <t>Berglund</t>
  </si>
  <si>
    <t>Betros</t>
  </si>
  <si>
    <t>Seman</t>
  </si>
  <si>
    <t>Tannous</t>
  </si>
  <si>
    <t>Bing</t>
  </si>
  <si>
    <t>Lee</t>
  </si>
  <si>
    <t>Birkeland</t>
  </si>
  <si>
    <t>Bjorklund</t>
  </si>
  <si>
    <t>Bostandyeff</t>
  </si>
  <si>
    <t>Guentcho</t>
  </si>
  <si>
    <t>Boulos</t>
  </si>
  <si>
    <t>Akar</t>
  </si>
  <si>
    <t>Nourelain</t>
  </si>
  <si>
    <t>Bourke</t>
  </si>
  <si>
    <t>Bridget</t>
  </si>
  <si>
    <t>Delia</t>
  </si>
  <si>
    <t>Braf</t>
  </si>
  <si>
    <t>Elin</t>
  </si>
  <si>
    <t>Braund</t>
  </si>
  <si>
    <t>Brobeck</t>
  </si>
  <si>
    <t>Brocklebank</t>
  </si>
  <si>
    <t>Buckley</t>
  </si>
  <si>
    <t>Katherine</t>
  </si>
  <si>
    <t>Burke</t>
  </si>
  <si>
    <t>Jeremiah</t>
  </si>
  <si>
    <t>Cacic</t>
  </si>
  <si>
    <t>Manda</t>
  </si>
  <si>
    <t>Marija</t>
  </si>
  <si>
    <t>Jego</t>
  </si>
  <si>
    <t>Luka</t>
  </si>
  <si>
    <t>Calic</t>
  </si>
  <si>
    <t>Jovo</t>
  </si>
  <si>
    <t>Petar</t>
  </si>
  <si>
    <t>Canavan</t>
  </si>
  <si>
    <t>Patrick</t>
  </si>
  <si>
    <t>Cann</t>
  </si>
  <si>
    <t>Caram</t>
  </si>
  <si>
    <t>Carr</t>
  </si>
  <si>
    <t>Jeannie</t>
  </si>
  <si>
    <t>Carver</t>
  </si>
  <si>
    <t>Celotti</t>
  </si>
  <si>
    <t>Francesco</t>
  </si>
  <si>
    <t>Charters</t>
  </si>
  <si>
    <t>Chip</t>
  </si>
  <si>
    <t>Chang</t>
  </si>
  <si>
    <t>Christmann</t>
  </si>
  <si>
    <t>Chronopoulos</t>
  </si>
  <si>
    <t>Apostolos</t>
  </si>
  <si>
    <t>Demetrios</t>
  </si>
  <si>
    <t>Coelho</t>
  </si>
  <si>
    <t>Domingos</t>
  </si>
  <si>
    <t>Cohen</t>
  </si>
  <si>
    <t>Gurshon</t>
  </si>
  <si>
    <t>Colbert</t>
  </si>
  <si>
    <t>Coleff</t>
  </si>
  <si>
    <t>Peju</t>
  </si>
  <si>
    <t>Satio</t>
  </si>
  <si>
    <t>Conlon</t>
  </si>
  <si>
    <t>Connaghton</t>
  </si>
  <si>
    <t>Connolly</t>
  </si>
  <si>
    <t>Connors</t>
  </si>
  <si>
    <t>Cor</t>
  </si>
  <si>
    <t>Bartol</t>
  </si>
  <si>
    <t>Ivan</t>
  </si>
  <si>
    <t>Liudevit</t>
  </si>
  <si>
    <t>Corn</t>
  </si>
  <si>
    <t>Coutts</t>
  </si>
  <si>
    <t>Eden</t>
  </si>
  <si>
    <t>Leslie</t>
  </si>
  <si>
    <t>Coxon</t>
  </si>
  <si>
    <t>Crease</t>
  </si>
  <si>
    <t>Cribb</t>
  </si>
  <si>
    <t>Culumovic</t>
  </si>
  <si>
    <t>Jeso</t>
  </si>
  <si>
    <t>Daher</t>
  </si>
  <si>
    <t>Shedid</t>
  </si>
  <si>
    <t>Dahl</t>
  </si>
  <si>
    <t>Dahlberg</t>
  </si>
  <si>
    <t>Gerda</t>
  </si>
  <si>
    <t>Dakic</t>
  </si>
  <si>
    <t>Branko</t>
  </si>
  <si>
    <t>Danbom</t>
  </si>
  <si>
    <t>Emanuel</t>
  </si>
  <si>
    <t>Danoff</t>
  </si>
  <si>
    <t>Yoto</t>
  </si>
  <si>
    <t>Dantcheff</t>
  </si>
  <si>
    <t>Ristiu</t>
  </si>
  <si>
    <t>Evan</t>
  </si>
  <si>
    <t>Davison</t>
  </si>
  <si>
    <t>Messemaeker</t>
  </si>
  <si>
    <t>Mulder</t>
  </si>
  <si>
    <t>Pelsmaeker</t>
  </si>
  <si>
    <t>Dean</t>
  </si>
  <si>
    <t>Delalic</t>
  </si>
  <si>
    <t>Redjo</t>
  </si>
  <si>
    <t>Demetri</t>
  </si>
  <si>
    <t>Marinko</t>
  </si>
  <si>
    <t>Denkoff</t>
  </si>
  <si>
    <t>Mitto</t>
  </si>
  <si>
    <t>Dennis</t>
  </si>
  <si>
    <t>Devaney</t>
  </si>
  <si>
    <t>Dika</t>
  </si>
  <si>
    <t>Mirko</t>
  </si>
  <si>
    <t>Dimic</t>
  </si>
  <si>
    <t>Jovan</t>
  </si>
  <si>
    <t>Dintcheff</t>
  </si>
  <si>
    <t>Valtcho</t>
  </si>
  <si>
    <t>Doharr</t>
  </si>
  <si>
    <t>Dooley</t>
  </si>
  <si>
    <t>Dorking</t>
  </si>
  <si>
    <t>Dowdell</t>
  </si>
  <si>
    <t>Doyle</t>
  </si>
  <si>
    <t>Drapkin</t>
  </si>
  <si>
    <t>Jennie</t>
  </si>
  <si>
    <t>Drazenoic</t>
  </si>
  <si>
    <t>Jozef</t>
  </si>
  <si>
    <t>Duquemin</t>
  </si>
  <si>
    <t>Dyker</t>
  </si>
  <si>
    <t>Edvardsson</t>
  </si>
  <si>
    <t>Hjalmar</t>
  </si>
  <si>
    <t>Eklund</t>
  </si>
  <si>
    <t>Ekstrom</t>
  </si>
  <si>
    <t>Dibo</t>
  </si>
  <si>
    <t>Elsbury</t>
  </si>
  <si>
    <t>Virginia</t>
  </si>
  <si>
    <t>Emir</t>
  </si>
  <si>
    <t>Farred</t>
  </si>
  <si>
    <t>Everett</t>
  </si>
  <si>
    <t>Farrell</t>
  </si>
  <si>
    <t>Finoli</t>
  </si>
  <si>
    <t>Luigi</t>
  </si>
  <si>
    <t>Fischer</t>
  </si>
  <si>
    <t>Eberhard</t>
  </si>
  <si>
    <t>Honora</t>
  </si>
  <si>
    <t>Foley</t>
  </si>
  <si>
    <t>Foo</t>
  </si>
  <si>
    <t>Choong</t>
  </si>
  <si>
    <t>Ford</t>
  </si>
  <si>
    <t>Doolina</t>
  </si>
  <si>
    <t>Robina</t>
  </si>
  <si>
    <t>Neal</t>
  </si>
  <si>
    <t>Gallagher</t>
  </si>
  <si>
    <t>Garfirth</t>
  </si>
  <si>
    <t>Gheorgheff</t>
  </si>
  <si>
    <t>Stanio</t>
  </si>
  <si>
    <t>Gilinski</t>
  </si>
  <si>
    <t>Eliezer</t>
  </si>
  <si>
    <t>Gilnagh</t>
  </si>
  <si>
    <t>Katie</t>
  </si>
  <si>
    <t>Glynn</t>
  </si>
  <si>
    <t>Goldsmith</t>
  </si>
  <si>
    <t>Nathan</t>
  </si>
  <si>
    <t>Goncalves</t>
  </si>
  <si>
    <t>Goodwin</t>
  </si>
  <si>
    <t>Harold</t>
  </si>
  <si>
    <t>Amy</t>
  </si>
  <si>
    <t>Green</t>
  </si>
  <si>
    <t>Gronnestad</t>
  </si>
  <si>
    <t>Guest</t>
  </si>
  <si>
    <t>Haas</t>
  </si>
  <si>
    <t>Aloisia</t>
  </si>
  <si>
    <t>Hagardon</t>
  </si>
  <si>
    <t>Hagland</t>
  </si>
  <si>
    <t>Ingvald</t>
  </si>
  <si>
    <t>Olsen</t>
  </si>
  <si>
    <t>Konrad</t>
  </si>
  <si>
    <t>Hakkarainen</t>
  </si>
  <si>
    <t>Pekka</t>
  </si>
  <si>
    <t>Matilda</t>
  </si>
  <si>
    <t>Hampe</t>
  </si>
  <si>
    <t>Leon</t>
  </si>
  <si>
    <t>Mansour</t>
  </si>
  <si>
    <t>Hansen</t>
  </si>
  <si>
    <t>Claus</t>
  </si>
  <si>
    <t>Harknett</t>
  </si>
  <si>
    <t>Harmer</t>
  </si>
  <si>
    <t>Hassan</t>
  </si>
  <si>
    <t>Houssein</t>
  </si>
  <si>
    <t>Healy</t>
  </si>
  <si>
    <t>Hanora</t>
  </si>
  <si>
    <t>Hedman</t>
  </si>
  <si>
    <t>Hee</t>
  </si>
  <si>
    <t>Ling</t>
  </si>
  <si>
    <t>Hegarty</t>
  </si>
  <si>
    <t>Heikkinen</t>
  </si>
  <si>
    <t>Laina</t>
  </si>
  <si>
    <t>Heininen</t>
  </si>
  <si>
    <t>Wendla</t>
  </si>
  <si>
    <t>Hellstrom</t>
  </si>
  <si>
    <t>Hendekovic</t>
  </si>
  <si>
    <t>Ignjac</t>
  </si>
  <si>
    <t>Henriksson</t>
  </si>
  <si>
    <t>Hirvonen</t>
  </si>
  <si>
    <t>Hildur</t>
  </si>
  <si>
    <t>Holm</t>
  </si>
  <si>
    <t>Holthen</t>
  </si>
  <si>
    <t>Honkanen</t>
  </si>
  <si>
    <t>Eliina</t>
  </si>
  <si>
    <t>Horgan</t>
  </si>
  <si>
    <t>Humblen</t>
  </si>
  <si>
    <t>Hyman</t>
  </si>
  <si>
    <t>Ibrahim</t>
  </si>
  <si>
    <t>Shawah</t>
  </si>
  <si>
    <t>Yousseff</t>
  </si>
  <si>
    <t>Ilieff</t>
  </si>
  <si>
    <t>Ylio</t>
  </si>
  <si>
    <t>Ilmakangas</t>
  </si>
  <si>
    <t>Pieta</t>
  </si>
  <si>
    <t>Ivanoff</t>
  </si>
  <si>
    <t>Kanio</t>
  </si>
  <si>
    <t>Jalsevac</t>
  </si>
  <si>
    <t>Jansson</t>
  </si>
  <si>
    <t>Jardin</t>
  </si>
  <si>
    <t>Jensen</t>
  </si>
  <si>
    <t>Niels</t>
  </si>
  <si>
    <t>Svend</t>
  </si>
  <si>
    <t>Jermyn</t>
  </si>
  <si>
    <t>Johannesen-Bratthammer</t>
  </si>
  <si>
    <t>Bernt</t>
  </si>
  <si>
    <t>Johanson</t>
  </si>
  <si>
    <t>Johansson</t>
  </si>
  <si>
    <t>Palmquist</t>
  </si>
  <si>
    <t>Johnson</t>
  </si>
  <si>
    <t>Theodor</t>
  </si>
  <si>
    <t>Eleanor</t>
  </si>
  <si>
    <t>Malkolm</t>
  </si>
  <si>
    <t>Johnston</t>
  </si>
  <si>
    <t>Jonkoff</t>
  </si>
  <si>
    <t>Lalio</t>
  </si>
  <si>
    <t>Jonsson</t>
  </si>
  <si>
    <t>Jussila</t>
  </si>
  <si>
    <t>Katriina</t>
  </si>
  <si>
    <t>Mari</t>
  </si>
  <si>
    <t>Eiriik</t>
  </si>
  <si>
    <t>Kallio</t>
  </si>
  <si>
    <t>Nikolai</t>
  </si>
  <si>
    <t>Kalvik</t>
  </si>
  <si>
    <t>Karaic</t>
  </si>
  <si>
    <t>Milan</t>
  </si>
  <si>
    <t>Karlsson</t>
  </si>
  <si>
    <t>Einar</t>
  </si>
  <si>
    <t>Julius</t>
  </si>
  <si>
    <t>Karun</t>
  </si>
  <si>
    <t>Manca</t>
  </si>
  <si>
    <t>Kassem</t>
  </si>
  <si>
    <t>Fared</t>
  </si>
  <si>
    <t>Katavelas</t>
  </si>
  <si>
    <t>Vassilios</t>
  </si>
  <si>
    <t>Keefe</t>
  </si>
  <si>
    <t>Kennedy</t>
  </si>
  <si>
    <t>Kiernan</t>
  </si>
  <si>
    <t>Kilgannon</t>
  </si>
  <si>
    <t>Kink</t>
  </si>
  <si>
    <t>Vincenz</t>
  </si>
  <si>
    <t>Kink-Heilmann</t>
  </si>
  <si>
    <t>Luise</t>
  </si>
  <si>
    <t>Anton</t>
  </si>
  <si>
    <t>Klasen</t>
  </si>
  <si>
    <t>Klas</t>
  </si>
  <si>
    <t>(Hulda</t>
  </si>
  <si>
    <t>Kristina</t>
  </si>
  <si>
    <t>Kraeff</t>
  </si>
  <si>
    <t>Krekorian</t>
  </si>
  <si>
    <t>Neshan</t>
  </si>
  <si>
    <t>Lahoud</t>
  </si>
  <si>
    <t>Sarkis</t>
  </si>
  <si>
    <t>Laitinen</t>
  </si>
  <si>
    <t>Laleff</t>
  </si>
  <si>
    <t>Kristo</t>
  </si>
  <si>
    <t>Lam</t>
  </si>
  <si>
    <t>Len</t>
  </si>
  <si>
    <t>Landergren</t>
  </si>
  <si>
    <t>Aurora</t>
  </si>
  <si>
    <t>Lang</t>
  </si>
  <si>
    <t>Fang</t>
  </si>
  <si>
    <t>Larsson</t>
  </si>
  <si>
    <t>Bengt</t>
  </si>
  <si>
    <t>Larsson-Rondberg</t>
  </si>
  <si>
    <t>Leeni</t>
  </si>
  <si>
    <t>Fahim</t>
  </si>
  <si>
    <t>Lefebre</t>
  </si>
  <si>
    <t>Mathilde</t>
  </si>
  <si>
    <t>Leinonen</t>
  </si>
  <si>
    <t>Antti</t>
  </si>
  <si>
    <t>Lemberopolous</t>
  </si>
  <si>
    <t>Lennon</t>
  </si>
  <si>
    <t>Lionel</t>
  </si>
  <si>
    <t>Lievens</t>
  </si>
  <si>
    <t>Lindahl</t>
  </si>
  <si>
    <t>Agda</t>
  </si>
  <si>
    <t>Lindblom</t>
  </si>
  <si>
    <t>Lindell</t>
  </si>
  <si>
    <t>Lindqvist</t>
  </si>
  <si>
    <t>Eino</t>
  </si>
  <si>
    <t>Linehan</t>
  </si>
  <si>
    <t>Lithman</t>
  </si>
  <si>
    <t>Simon</t>
  </si>
  <si>
    <t>Lobb</t>
  </si>
  <si>
    <t>Lockyer</t>
  </si>
  <si>
    <t>Lovell</t>
  </si>
  <si>
    <t>Lulic</t>
  </si>
  <si>
    <t>Nikola</t>
  </si>
  <si>
    <t>Lundahl</t>
  </si>
  <si>
    <t>Svensson</t>
  </si>
  <si>
    <t>Lundin</t>
  </si>
  <si>
    <t>Olga</t>
  </si>
  <si>
    <t>Lundstrom</t>
  </si>
  <si>
    <t>Thure</t>
  </si>
  <si>
    <t>Lyntakoff</t>
  </si>
  <si>
    <t>Stanko</t>
  </si>
  <si>
    <t>MacKay</t>
  </si>
  <si>
    <t>Madigan</t>
  </si>
  <si>
    <t>Madsen</t>
  </si>
  <si>
    <t>Fridtjof</t>
  </si>
  <si>
    <t>Maenpaa</t>
  </si>
  <si>
    <t>Matti</t>
  </si>
  <si>
    <t>Mahon</t>
  </si>
  <si>
    <t>Maisner</t>
  </si>
  <si>
    <t>Makinen</t>
  </si>
  <si>
    <t>Kalle</t>
  </si>
  <si>
    <t>Mamee</t>
  </si>
  <si>
    <t>Mangan</t>
  </si>
  <si>
    <t>Mannion</t>
  </si>
  <si>
    <t>Margareth</t>
  </si>
  <si>
    <t>Mardirosian</t>
  </si>
  <si>
    <t>Markoff</t>
  </si>
  <si>
    <t>Marin</t>
  </si>
  <si>
    <t>Markun</t>
  </si>
  <si>
    <t>Johann</t>
  </si>
  <si>
    <t>Masselmani</t>
  </si>
  <si>
    <t>Fatima</t>
  </si>
  <si>
    <t>Matinoff</t>
  </si>
  <si>
    <t>Nicola</t>
  </si>
  <si>
    <t>McCormack</t>
  </si>
  <si>
    <t>McCoy</t>
  </si>
  <si>
    <t>Alicia</t>
  </si>
  <si>
    <t>Bernard</t>
  </si>
  <si>
    <t>McDermott</t>
  </si>
  <si>
    <t>Brigdet</t>
  </si>
  <si>
    <t>McEvoy</t>
  </si>
  <si>
    <t>McGovern</t>
  </si>
  <si>
    <t>McGowan</t>
  </si>
  <si>
    <t>McMahon</t>
  </si>
  <si>
    <t>McNamee</t>
  </si>
  <si>
    <t>McNeill</t>
  </si>
  <si>
    <t>Meanwell</t>
  </si>
  <si>
    <t>(Marion</t>
  </si>
  <si>
    <t>Meek</t>
  </si>
  <si>
    <t>Meo</t>
  </si>
  <si>
    <t>Alfonzo</t>
  </si>
  <si>
    <t>Mernagh</t>
  </si>
  <si>
    <t>Midtsjo</t>
  </si>
  <si>
    <t>Miles</t>
  </si>
  <si>
    <t>Mineff</t>
  </si>
  <si>
    <t>Minkoff</t>
  </si>
  <si>
    <t>Lazar</t>
  </si>
  <si>
    <t>Mionoff</t>
  </si>
  <si>
    <t>Stoytcho</t>
  </si>
  <si>
    <t>Mitkoff</t>
  </si>
  <si>
    <t>Mito</t>
  </si>
  <si>
    <t>Mockler</t>
  </si>
  <si>
    <t>Moen</t>
  </si>
  <si>
    <t>Sigurd</t>
  </si>
  <si>
    <t>Moor</t>
  </si>
  <si>
    <t>Meier</t>
  </si>
  <si>
    <t>(Beila)</t>
  </si>
  <si>
    <t>Moran</t>
  </si>
  <si>
    <t>Morrow</t>
  </si>
  <si>
    <t>Moss</t>
  </si>
  <si>
    <t>Moubarek</t>
  </si>
  <si>
    <t>Halim</t>
  </si>
  <si>
    <t>Moussa</t>
  </si>
  <si>
    <t>(Mantoura</t>
  </si>
  <si>
    <t>Moutal</t>
  </si>
  <si>
    <t>Rahamin</t>
  </si>
  <si>
    <t>Mullens</t>
  </si>
  <si>
    <t>Mulvihill</t>
  </si>
  <si>
    <t>Murdlin</t>
  </si>
  <si>
    <t>Murphy</t>
  </si>
  <si>
    <t>Myhrman</t>
  </si>
  <si>
    <t>Pehr</t>
  </si>
  <si>
    <t>Naidenoff</t>
  </si>
  <si>
    <t>Penko</t>
  </si>
  <si>
    <t>Najib</t>
  </si>
  <si>
    <t>Adele</t>
  </si>
  <si>
    <t>Nakid</t>
  </si>
  <si>
    <t>Sahid</t>
  </si>
  <si>
    <t>Said</t>
  </si>
  <si>
    <t>Nancarrow</t>
  </si>
  <si>
    <t>Nankoff</t>
  </si>
  <si>
    <t>Nasr</t>
  </si>
  <si>
    <t>Mustafa</t>
  </si>
  <si>
    <t>Naughton</t>
  </si>
  <si>
    <t>Hannah</t>
  </si>
  <si>
    <t>Nenkoff</t>
  </si>
  <si>
    <t>Christo</t>
  </si>
  <si>
    <t>Nicola-Yarred</t>
  </si>
  <si>
    <t>Jamila</t>
  </si>
  <si>
    <t>Nieminen</t>
  </si>
  <si>
    <t>Manta</t>
  </si>
  <si>
    <t>Niklasson</t>
  </si>
  <si>
    <t>Nilsson</t>
  </si>
  <si>
    <t>Berta</t>
  </si>
  <si>
    <t>Helmina</t>
  </si>
  <si>
    <t>Nirva</t>
  </si>
  <si>
    <t>Iisakki</t>
  </si>
  <si>
    <t>Niskanen</t>
  </si>
  <si>
    <t>Juha</t>
  </si>
  <si>
    <t>Nosworthy</t>
  </si>
  <si>
    <t>Novel</t>
  </si>
  <si>
    <t>Mansouer</t>
  </si>
  <si>
    <t>Nysten</t>
  </si>
  <si>
    <t>Nysveen</t>
  </si>
  <si>
    <t>O'Brien</t>
  </si>
  <si>
    <t>O'Connell</t>
  </si>
  <si>
    <t>O'Connor</t>
  </si>
  <si>
    <t>Maurice</t>
  </si>
  <si>
    <t>Odahl</t>
  </si>
  <si>
    <t>O'Donoghue</t>
  </si>
  <si>
    <t>O'Driscoll</t>
  </si>
  <si>
    <t>O'Dwyer</t>
  </si>
  <si>
    <t>Ohman</t>
  </si>
  <si>
    <t>Velin</t>
  </si>
  <si>
    <t>O'Keefe</t>
  </si>
  <si>
    <t>O'Leary</t>
  </si>
  <si>
    <t>Artur</t>
  </si>
  <si>
    <t>Ole</t>
  </si>
  <si>
    <t>Olsson</t>
  </si>
  <si>
    <t>Elina</t>
  </si>
  <si>
    <t>Wilhelm</t>
  </si>
  <si>
    <t>Olsvigen</t>
  </si>
  <si>
    <t>Thor</t>
  </si>
  <si>
    <t>Oreskovic</t>
  </si>
  <si>
    <t>Jelka</t>
  </si>
  <si>
    <t>Osen</t>
  </si>
  <si>
    <t>Olaf</t>
  </si>
  <si>
    <t>Osman</t>
  </si>
  <si>
    <t>Mara</t>
  </si>
  <si>
    <t>O'Sullivan</t>
  </si>
  <si>
    <t>Palsson</t>
  </si>
  <si>
    <t>Gosta</t>
  </si>
  <si>
    <t>Stina</t>
  </si>
  <si>
    <t>Torborg</t>
  </si>
  <si>
    <t>Panula</t>
  </si>
  <si>
    <t>Urho</t>
  </si>
  <si>
    <t>Ernesti</t>
  </si>
  <si>
    <t>Jaako</t>
  </si>
  <si>
    <t>Pasic</t>
  </si>
  <si>
    <t>Patchett</t>
  </si>
  <si>
    <t>Paulner</t>
  </si>
  <si>
    <t>Uscher</t>
  </si>
  <si>
    <t>Pavlovic</t>
  </si>
  <si>
    <t>Stefo</t>
  </si>
  <si>
    <t>Peacock</t>
  </si>
  <si>
    <t>Treasteall</t>
  </si>
  <si>
    <t>Pearce</t>
  </si>
  <si>
    <t>Pedersen</t>
  </si>
  <si>
    <t>Peduzzi</t>
  </si>
  <si>
    <t>Pekoniemi</t>
  </si>
  <si>
    <t>Peltomaki</t>
  </si>
  <si>
    <t>Perkin</t>
  </si>
  <si>
    <t>Persson</t>
  </si>
  <si>
    <t>Peters</t>
  </si>
  <si>
    <t>Petersen</t>
  </si>
  <si>
    <t>Marius</t>
  </si>
  <si>
    <t>Petranec</t>
  </si>
  <si>
    <t>Petroff</t>
  </si>
  <si>
    <t>Nedelio</t>
  </si>
  <si>
    <t>Pastcho</t>
  </si>
  <si>
    <t>Petterson</t>
  </si>
  <si>
    <t>Pettersson</t>
  </si>
  <si>
    <t>Pickard</t>
  </si>
  <si>
    <t>Berk</t>
  </si>
  <si>
    <t>Plotcharsky</t>
  </si>
  <si>
    <t>Vasil</t>
  </si>
  <si>
    <t>Pokrnic</t>
  </si>
  <si>
    <t>Mate</t>
  </si>
  <si>
    <t>Tome</t>
  </si>
  <si>
    <t>Radeff</t>
  </si>
  <si>
    <t>Rasmussen</t>
  </si>
  <si>
    <t>(Lena</t>
  </si>
  <si>
    <t>Razi</t>
  </si>
  <si>
    <t>Raihed</t>
  </si>
  <si>
    <t>Reed</t>
  </si>
  <si>
    <t>Rekic</t>
  </si>
  <si>
    <t>Tido</t>
  </si>
  <si>
    <t>Reynolds</t>
  </si>
  <si>
    <t>Rice</t>
  </si>
  <si>
    <t>Eric</t>
  </si>
  <si>
    <t>Riihivouri</t>
  </si>
  <si>
    <t>Susanna</t>
  </si>
  <si>
    <t>Rintamaki</t>
  </si>
  <si>
    <t>Riordan</t>
  </si>
  <si>
    <t>Johanna</t>
  </si>
  <si>
    <t>Risien</t>
  </si>
  <si>
    <t>Robins</t>
  </si>
  <si>
    <t>Rommetvedt</t>
  </si>
  <si>
    <t>Knud</t>
  </si>
  <si>
    <t>Rosblom</t>
  </si>
  <si>
    <t>Salli</t>
  </si>
  <si>
    <t>Roth</t>
  </si>
  <si>
    <t>Rouse</t>
  </si>
  <si>
    <t>Rush</t>
  </si>
  <si>
    <t>Ryan</t>
  </si>
  <si>
    <t>Saad</t>
  </si>
  <si>
    <t>Saade</t>
  </si>
  <si>
    <t>Sadlier</t>
  </si>
  <si>
    <t>Sadowitz</t>
  </si>
  <si>
    <t>Saether</t>
  </si>
  <si>
    <t>Sage</t>
  </si>
  <si>
    <t>Stella</t>
  </si>
  <si>
    <t>Salander</t>
  </si>
  <si>
    <t>Salkjelsvik</t>
  </si>
  <si>
    <t>Salonen</t>
  </si>
  <si>
    <t>Samaan</t>
  </si>
  <si>
    <t>Youssef</t>
  </si>
  <si>
    <t>Sandstrom</t>
  </si>
  <si>
    <t>Beatrice</t>
  </si>
  <si>
    <t>Marguerite</t>
  </si>
  <si>
    <t>Sap</t>
  </si>
  <si>
    <t>Saundercock</t>
  </si>
  <si>
    <t>Sawyer</t>
  </si>
  <si>
    <t>Scanlan</t>
  </si>
  <si>
    <t>Sdycoff</t>
  </si>
  <si>
    <t>Todor</t>
  </si>
  <si>
    <t>Shaughnessy</t>
  </si>
  <si>
    <t>Sheerlinck</t>
  </si>
  <si>
    <t>Jan</t>
  </si>
  <si>
    <t>Shellard</t>
  </si>
  <si>
    <t>Shine</t>
  </si>
  <si>
    <t>Shorney</t>
  </si>
  <si>
    <t>Simmons</t>
  </si>
  <si>
    <t>Sirayanian</t>
  </si>
  <si>
    <t>Orsen</t>
  </si>
  <si>
    <t>Sirota</t>
  </si>
  <si>
    <t>Sivic</t>
  </si>
  <si>
    <t>Husein</t>
  </si>
  <si>
    <t>Sivola</t>
  </si>
  <si>
    <t>Sjoblom</t>
  </si>
  <si>
    <t>Skoog</t>
  </si>
  <si>
    <t>Margit</t>
  </si>
  <si>
    <t>Slabenoff</t>
  </si>
  <si>
    <t>Petco</t>
  </si>
  <si>
    <t>Slocovski</t>
  </si>
  <si>
    <t>Selman</t>
  </si>
  <si>
    <t>Smiljanic</t>
  </si>
  <si>
    <t>Mile</t>
  </si>
  <si>
    <t>Smyth</t>
  </si>
  <si>
    <t>Soholt</t>
  </si>
  <si>
    <t>Somerton</t>
  </si>
  <si>
    <t>Spector</t>
  </si>
  <si>
    <t>Woolf</t>
  </si>
  <si>
    <t>Spinner</t>
  </si>
  <si>
    <t>Staneff</t>
  </si>
  <si>
    <t>Stankovic</t>
  </si>
  <si>
    <t>Storey</t>
  </si>
  <si>
    <t>Stoytcheff</t>
  </si>
  <si>
    <t>Ilia</t>
  </si>
  <si>
    <t>Strandberg</t>
  </si>
  <si>
    <t>Stranden</t>
  </si>
  <si>
    <t>Juho</t>
  </si>
  <si>
    <t>Strilic</t>
  </si>
  <si>
    <t>Strom</t>
  </si>
  <si>
    <t>Telma</t>
  </si>
  <si>
    <t>Sunderland</t>
  </si>
  <si>
    <t>Sundman</t>
  </si>
  <si>
    <t>Sutehall</t>
  </si>
  <si>
    <t>Tenglin</t>
  </si>
  <si>
    <t>Gunnar</t>
  </si>
  <si>
    <t>Theobald</t>
  </si>
  <si>
    <t>Assad</t>
  </si>
  <si>
    <t>Thorneycroft</t>
  </si>
  <si>
    <t>Tikkanen</t>
  </si>
  <si>
    <t>Tobin</t>
  </si>
  <si>
    <t>Todoroff</t>
  </si>
  <si>
    <t>Tomlin</t>
  </si>
  <si>
    <t>Torber</t>
  </si>
  <si>
    <t>Torfa</t>
  </si>
  <si>
    <t>Tornquist</t>
  </si>
  <si>
    <t>Toufik</t>
  </si>
  <si>
    <t>Nakli</t>
  </si>
  <si>
    <t>Touma</t>
  </si>
  <si>
    <t>Georges</t>
  </si>
  <si>
    <t>Darwis</t>
  </si>
  <si>
    <t>Turcin</t>
  </si>
  <si>
    <t>Stjepan</t>
  </si>
  <si>
    <t>Turja</t>
  </si>
  <si>
    <t>Turkula</t>
  </si>
  <si>
    <t>(Hedwig)</t>
  </si>
  <si>
    <t>van</t>
  </si>
  <si>
    <t>Billiard</t>
  </si>
  <si>
    <t>Impe</t>
  </si>
  <si>
    <t>Melkebeke</t>
  </si>
  <si>
    <t>Vande</t>
  </si>
  <si>
    <t>Velde</t>
  </si>
  <si>
    <t>Walle</t>
  </si>
  <si>
    <t>Vanden</t>
  </si>
  <si>
    <t>Steen</t>
  </si>
  <si>
    <t>Vander</t>
  </si>
  <si>
    <t>Cruyssen</t>
  </si>
  <si>
    <t>Planke</t>
  </si>
  <si>
    <t>Vartanian</t>
  </si>
  <si>
    <t>Vendel</t>
  </si>
  <si>
    <t>Vestrom</t>
  </si>
  <si>
    <t>Hulda</t>
  </si>
  <si>
    <t>Vovk</t>
  </si>
  <si>
    <t>Janko</t>
  </si>
  <si>
    <t>Waelens</t>
  </si>
  <si>
    <t>Achille</t>
  </si>
  <si>
    <t>Wenzel</t>
  </si>
  <si>
    <t>Linhart</t>
  </si>
  <si>
    <t>Whabee</t>
  </si>
  <si>
    <t>Widegren</t>
  </si>
  <si>
    <t>Carl/Charles</t>
  </si>
  <si>
    <t>Wiklund</t>
  </si>
  <si>
    <t>Wilkes</t>
  </si>
  <si>
    <t>Willer</t>
  </si>
  <si>
    <t>Willey</t>
  </si>
  <si>
    <t>Windelov</t>
  </si>
  <si>
    <t>Wirz</t>
  </si>
  <si>
    <t>Wiseman</t>
  </si>
  <si>
    <t>Phillippe</t>
  </si>
  <si>
    <t>Wittevrongel</t>
  </si>
  <si>
    <t>Camille</t>
  </si>
  <si>
    <t>Yasbeck</t>
  </si>
  <si>
    <t>Antoni</t>
  </si>
  <si>
    <t>Youseff</t>
  </si>
  <si>
    <t>Gerious</t>
  </si>
  <si>
    <t>Yousif</t>
  </si>
  <si>
    <t>Wazli</t>
  </si>
  <si>
    <t>Zabour</t>
  </si>
  <si>
    <t>Hileni</t>
  </si>
  <si>
    <t>Thamine</t>
  </si>
  <si>
    <t>Zakarian</t>
  </si>
  <si>
    <t>Mapriededer</t>
  </si>
  <si>
    <t>Ortin</t>
  </si>
  <si>
    <t>Zimmerman</t>
  </si>
  <si>
    <t>Full Name</t>
  </si>
  <si>
    <t>Miss. Allen Elisabeth</t>
  </si>
  <si>
    <t>Master. Allison Hudson</t>
  </si>
  <si>
    <t>Miss. Allison Helen</t>
  </si>
  <si>
    <t>Mr. Allison Hudson</t>
  </si>
  <si>
    <t>Mrs. Allison Hudson</t>
  </si>
  <si>
    <t>Mr. Anderson Harry</t>
  </si>
  <si>
    <t>Miss. Andrews Kornelia</t>
  </si>
  <si>
    <t>Mr. Andrews Thomas</t>
  </si>
  <si>
    <t>Mrs. Appleton Edward</t>
  </si>
  <si>
    <t>Mr. Artagaveytia Ramon</t>
  </si>
  <si>
    <t>Col. Astor John</t>
  </si>
  <si>
    <t>Mrs. Astor John</t>
  </si>
  <si>
    <t>Mme. Aubart Leontine</t>
  </si>
  <si>
    <t>Miss. Barber Ellen</t>
  </si>
  <si>
    <t>Mr. Barkworth Algernon</t>
  </si>
  <si>
    <t>Mr. Baumann John</t>
  </si>
  <si>
    <t>Mr. Baxter Quigg</t>
  </si>
  <si>
    <t>Mrs. Baxter James</t>
  </si>
  <si>
    <t>Miss. Bazzani Albina</t>
  </si>
  <si>
    <t>Mr. Beattie Thomson</t>
  </si>
  <si>
    <t>Mr. Beckwith Richard</t>
  </si>
  <si>
    <t>Mrs. Beckwith Richard</t>
  </si>
  <si>
    <t>Mr. Behr Karl</t>
  </si>
  <si>
    <t>Miss. Bidois Rosalie</t>
  </si>
  <si>
    <t>Miss. Bird Ellen</t>
  </si>
  <si>
    <t>Mr. Birnbaum Jakob</t>
  </si>
  <si>
    <t>Mr. Bishop Dickinson</t>
  </si>
  <si>
    <t>Mrs. Bishop Dickinson</t>
  </si>
  <si>
    <t>Miss. Bissette Amelia</t>
  </si>
  <si>
    <t>Mr. Bjornstrom-Steffansson Mauritz</t>
  </si>
  <si>
    <t>Mr. Blackwell Stephen</t>
  </si>
  <si>
    <t>Mr. Blank Henry</t>
  </si>
  <si>
    <t>Miss. Bonnell Caroline</t>
  </si>
  <si>
    <t>Miss. Bonnell Elizabeth</t>
  </si>
  <si>
    <t>Mr. Borebank John</t>
  </si>
  <si>
    <t>Miss. Bowen Grace</t>
  </si>
  <si>
    <t>Miss. Bowerman Elsie</t>
  </si>
  <si>
    <t>Mr. Bradley George</t>
  </si>
  <si>
    <t>Mr. Brady John</t>
  </si>
  <si>
    <t>Mr. Brandeis Emil</t>
  </si>
  <si>
    <t>Dr. Brewe Arthur</t>
  </si>
  <si>
    <t>Mrs. Brown James</t>
  </si>
  <si>
    <t>Mrs. Brown John</t>
  </si>
  <si>
    <t>Mrs. Bucknell William</t>
  </si>
  <si>
    <t>Miss. Burns Elizabeth</t>
  </si>
  <si>
    <t>Major. Butt Archibald</t>
  </si>
  <si>
    <t>Mr. Cairns Alexander</t>
  </si>
  <si>
    <t>Mr. Calderhead Edward</t>
  </si>
  <si>
    <t>Mrs. Candee Edward</t>
  </si>
  <si>
    <t>Mr. Cardeza Thomas</t>
  </si>
  <si>
    <t>Mrs. Cardeza James</t>
  </si>
  <si>
    <t>Mr. Carlsson Frans</t>
  </si>
  <si>
    <t>Mr. Carrau Francisco</t>
  </si>
  <si>
    <t>Mr. Carrau Jose</t>
  </si>
  <si>
    <t>Master. Carter William</t>
  </si>
  <si>
    <t>Miss. Carter Lucile</t>
  </si>
  <si>
    <t>Mr. Carter William</t>
  </si>
  <si>
    <t>Mrs. Carter William</t>
  </si>
  <si>
    <t>Mr. Case Howard</t>
  </si>
  <si>
    <t>Mrs. Cassebeer Henry</t>
  </si>
  <si>
    <t>Mr. Cavendish Tyrell</t>
  </si>
  <si>
    <t>Mrs. Cavendish Tyrell</t>
  </si>
  <si>
    <t>Mr. Chaffee Herbert</t>
  </si>
  <si>
    <t>Mrs. Chaffee Herbert</t>
  </si>
  <si>
    <t>Mr. Chambers Norman</t>
  </si>
  <si>
    <t>Mrs. Chambers Norman</t>
  </si>
  <si>
    <t>Miss. Chaudanson Victorine</t>
  </si>
  <si>
    <t>Miss. Cherry Gladys</t>
  </si>
  <si>
    <t>Mr. Chevre Paul</t>
  </si>
  <si>
    <t>Mrs. Chibnall (Edith</t>
  </si>
  <si>
    <t>Mr. Chisholm Roderick</t>
  </si>
  <si>
    <t>Mr. Clark Walter</t>
  </si>
  <si>
    <t>Mrs. Clark Walter</t>
  </si>
  <si>
    <t>Miss. Cleaver Alice</t>
  </si>
  <si>
    <t>Mr. Clifford George</t>
  </si>
  <si>
    <t>Mr. Colley Edward</t>
  </si>
  <si>
    <t>Miss. Compton Sara</t>
  </si>
  <si>
    <t>Mr. Compton Alexander</t>
  </si>
  <si>
    <t>Mrs. Compton Alexander</t>
  </si>
  <si>
    <t>Mrs. Cornell Robert</t>
  </si>
  <si>
    <t>Mr. Crafton John</t>
  </si>
  <si>
    <t>Capt. Crosby Edward</t>
  </si>
  <si>
    <t>Miss. Crosby Harriet</t>
  </si>
  <si>
    <t>Mrs. Crosby Edward</t>
  </si>
  <si>
    <t>Mr. Cumings John</t>
  </si>
  <si>
    <t>Mrs. Cumings John</t>
  </si>
  <si>
    <t>Mr. Daly Peter</t>
  </si>
  <si>
    <t>Mr. Daniel Robert</t>
  </si>
  <si>
    <t>Miss. Daniels Sarah</t>
  </si>
  <si>
    <t>Mr. Davidson Thornton</t>
  </si>
  <si>
    <t>Mrs. Davidson Thornton</t>
  </si>
  <si>
    <t>Mr. Dick Albert</t>
  </si>
  <si>
    <t>Mrs. Dick Albert</t>
  </si>
  <si>
    <t>Dr. Dodge Washington</t>
  </si>
  <si>
    <t>Master. Dodge Washington</t>
  </si>
  <si>
    <t>Mrs. Dodge Washington</t>
  </si>
  <si>
    <t>Mr. Douglas Walter</t>
  </si>
  <si>
    <t>Mrs. Douglas Frederick</t>
  </si>
  <si>
    <t>Mrs. Douglas Walter</t>
  </si>
  <si>
    <t>Gordon Duff Lady.</t>
  </si>
  <si>
    <t>Gordon Duff Sir.</t>
  </si>
  <si>
    <t>Mr. Dulles William</t>
  </si>
  <si>
    <t>Mrs. Earnshaw Boulton</t>
  </si>
  <si>
    <t>Miss. Endres Caroline</t>
  </si>
  <si>
    <t>Miss. Eustis Elizabeth</t>
  </si>
  <si>
    <t>Miss. Evans Edith</t>
  </si>
  <si>
    <t>Mr. Farthing John</t>
  </si>
  <si>
    <t>Mrs. Flegenheim Alfred</t>
  </si>
  <si>
    <t>Miss. Fleming Margaret</t>
  </si>
  <si>
    <t>Mr. Flynn John</t>
  </si>
  <si>
    <t>Mr. Foreman Benjamin</t>
  </si>
  <si>
    <t>Miss. Fortune Alice</t>
  </si>
  <si>
    <t>Miss. Fortune Ethel</t>
  </si>
  <si>
    <t>Miss. Fortune Mabel</t>
  </si>
  <si>
    <t>Mr. Fortune Charles</t>
  </si>
  <si>
    <t>Mr. Fortune Mark</t>
  </si>
  <si>
    <t>Mrs. Fortune Mark</t>
  </si>
  <si>
    <t>Miss. Francatelli Laura</t>
  </si>
  <si>
    <t>Mr. Franklin Thomas</t>
  </si>
  <si>
    <t>Dr. Frauenthal Henry</t>
  </si>
  <si>
    <t>Mr. Frauenthal Isaac</t>
  </si>
  <si>
    <t>Mrs. Frauenthal Henry</t>
  </si>
  <si>
    <t>Miss. Frolicher Hedwig</t>
  </si>
  <si>
    <t>Mr. Frolicher-Stehli Maxmillian</t>
  </si>
  <si>
    <t>Mrs. Frolicher-Stehli Maxmillian</t>
  </si>
  <si>
    <t>Mr. Fry Richard</t>
  </si>
  <si>
    <t>Mr. Futrelle Jacques</t>
  </si>
  <si>
    <t>Mrs. Futrelle Jacques</t>
  </si>
  <si>
    <t>Mr. Gee Arthur</t>
  </si>
  <si>
    <t>Miss. Geiger Amalie</t>
  </si>
  <si>
    <t>Miss. Gibson Dorothy</t>
  </si>
  <si>
    <t>Mrs. Gibson Leonard</t>
  </si>
  <si>
    <t>Mr. Giglio Victor</t>
  </si>
  <si>
    <t>Mr. Goldenberg Samuel</t>
  </si>
  <si>
    <t>Mrs. Goldenberg Samuel</t>
  </si>
  <si>
    <t>Mr. Goldschmidt George</t>
  </si>
  <si>
    <t>Col. Gracie Archibald</t>
  </si>
  <si>
    <t>Miss. Graham Margaret</t>
  </si>
  <si>
    <t>Mr. Graham George</t>
  </si>
  <si>
    <t>Mrs. Graham William</t>
  </si>
  <si>
    <t>Mr. Greenfield William</t>
  </si>
  <si>
    <t>Mrs. Greenfield Leo</t>
  </si>
  <si>
    <t>Mr. Guggenheim Benjamin</t>
  </si>
  <si>
    <t>Mr. Harder George</t>
  </si>
  <si>
    <t>Mrs. Harder George</t>
  </si>
  <si>
    <t>Mr. Harper Henry</t>
  </si>
  <si>
    <t>Mrs. Harper Henry</t>
  </si>
  <si>
    <t>Mr. Harrington Charles</t>
  </si>
  <si>
    <t>Mr. Harris Henry</t>
  </si>
  <si>
    <t>Mrs. Harris Henry</t>
  </si>
  <si>
    <t>Mr. Harrison William</t>
  </si>
  <si>
    <t>Mr. Hassab Hammad</t>
  </si>
  <si>
    <t>Mr. Hawksford Walter</t>
  </si>
  <si>
    <t>Miss. Hays Margaret</t>
  </si>
  <si>
    <t>Mr. Hays Charles</t>
  </si>
  <si>
    <t>Mrs. Hays Charles</t>
  </si>
  <si>
    <t>Mr. Head Christopher</t>
  </si>
  <si>
    <t>Mr. Hilliard Herbert</t>
  </si>
  <si>
    <t>Mr. Hipkins William</t>
  </si>
  <si>
    <t>Miss. Hippach Jean</t>
  </si>
  <si>
    <t>Mrs. Hippach Louis</t>
  </si>
  <si>
    <t>Mrs. Hogeboom John</t>
  </si>
  <si>
    <t>Mr. Holverson Alexander</t>
  </si>
  <si>
    <t>Mrs. Holverson Alexander</t>
  </si>
  <si>
    <t>Mr. Homer Harry</t>
  </si>
  <si>
    <t>Mr. Hoyt Frederick</t>
  </si>
  <si>
    <t>Mr. Hoyt William</t>
  </si>
  <si>
    <t>Mrs. Hoyt Frederick</t>
  </si>
  <si>
    <t>Miss. Icard Amelie</t>
  </si>
  <si>
    <t>Miss. Isham Ann</t>
  </si>
  <si>
    <t>Mr. Ismay Joseph</t>
  </si>
  <si>
    <t>Mr. Jones Charles</t>
  </si>
  <si>
    <t>Mr. Julian Henry</t>
  </si>
  <si>
    <t>Mr. Keeping Edwin</t>
  </si>
  <si>
    <t>Mr. Kent Edward</t>
  </si>
  <si>
    <t>Mr. Kenyon Frederick</t>
  </si>
  <si>
    <t>Mrs. Kenyon Frederick</t>
  </si>
  <si>
    <t>Mr. Kimball Edwin</t>
  </si>
  <si>
    <t>Mrs. Kimball Edwin</t>
  </si>
  <si>
    <t>Mr. Klaber Herman</t>
  </si>
  <si>
    <t>Miss. Kreuchen Emilie</t>
  </si>
  <si>
    <t>Dr. Leader Alice</t>
  </si>
  <si>
    <t>Miss. LeRoy Bertha</t>
  </si>
  <si>
    <t>Mr. Lesurer Gustave</t>
  </si>
  <si>
    <t>Mr. Lewy Ervin</t>
  </si>
  <si>
    <t>Mr. Lindeberg-Lind Erik</t>
  </si>
  <si>
    <t>Mrs. Lindstrom Carl</t>
  </si>
  <si>
    <t>Miss. Lines Mary</t>
  </si>
  <si>
    <t>Mrs. Lines Ernest</t>
  </si>
  <si>
    <t>Mr. Long Milton</t>
  </si>
  <si>
    <t>Miss. Longley Gretchen</t>
  </si>
  <si>
    <t>Mr. Loring Joseph</t>
  </si>
  <si>
    <t>Miss. Lurette Elise</t>
  </si>
  <si>
    <t>Miss. Madill Georgette</t>
  </si>
  <si>
    <t>Mr. Maguire John</t>
  </si>
  <si>
    <t>Miss. Maioni Roberta</t>
  </si>
  <si>
    <t>Mr. Marechal Pierre</t>
  </si>
  <si>
    <t>Mr. Marvin Daniel</t>
  </si>
  <si>
    <t>Mrs. Marvin Daniel</t>
  </si>
  <si>
    <t>Mlle. Mayne Berthe</t>
  </si>
  <si>
    <t>Mr. McCaffry Thomas</t>
  </si>
  <si>
    <t>Mr. McCarthy Timothy</t>
  </si>
  <si>
    <t>Mr. McGough James</t>
  </si>
  <si>
    <t>Mr. Meyer Edgar</t>
  </si>
  <si>
    <t>Mrs. Meyer Edgar</t>
  </si>
  <si>
    <t>Mr. Millet Francis</t>
  </si>
  <si>
    <t>Dr. Minahan William</t>
  </si>
  <si>
    <t>Miss. Minahan Daisy</t>
  </si>
  <si>
    <t>Mrs. Minahan William</t>
  </si>
  <si>
    <t>Mr. Mock Philipp</t>
  </si>
  <si>
    <t>Mr. Molson Harry</t>
  </si>
  <si>
    <t>Mr. Moore Clarence</t>
  </si>
  <si>
    <t>Mr. Natsch Charles</t>
  </si>
  <si>
    <t>Miss. Newell Madeleine</t>
  </si>
  <si>
    <t>Miss. Newell Marjorie</t>
  </si>
  <si>
    <t>Mr. Newell Arthur</t>
  </si>
  <si>
    <t>Miss. Newsom Helen</t>
  </si>
  <si>
    <t>Mr. Nicholson Arthur</t>
  </si>
  <si>
    <t>y Oliva Ocana</t>
  </si>
  <si>
    <t>Mr. Omont Alfred</t>
  </si>
  <si>
    <t>Miss. Ostby Helene</t>
  </si>
  <si>
    <t>Mr. Ostby Engelhart</t>
  </si>
  <si>
    <t>y Ovies Rodriguez</t>
  </si>
  <si>
    <t>Mr. Parr William</t>
  </si>
  <si>
    <t>Mr. Partner Austen</t>
  </si>
  <si>
    <t>Mr. Payne Vivian</t>
  </si>
  <si>
    <t>Mr. Pears Thomas</t>
  </si>
  <si>
    <t>Mrs. Pears Thomas</t>
  </si>
  <si>
    <t>y Penasco Castellana</t>
  </si>
  <si>
    <t>Miss. Perreault Anne</t>
  </si>
  <si>
    <t>Major. Peuchen Arthur</t>
  </si>
  <si>
    <t>Mr. Porter Walter</t>
  </si>
  <si>
    <t>Mrs. Potter Thomas</t>
  </si>
  <si>
    <t>Jonkheer. Reuchlin John</t>
  </si>
  <si>
    <t>Mr. Rheims George</t>
  </si>
  <si>
    <t>Mr. Ringhini Sante</t>
  </si>
  <si>
    <t>Mr. Robbins Victor</t>
  </si>
  <si>
    <t>Mrs. Robert Edward</t>
  </si>
  <si>
    <t>Mr. Roebling Washington</t>
  </si>
  <si>
    <t>Mr. Romaine Charles</t>
  </si>
  <si>
    <t>Mr. Rood Hugh</t>
  </si>
  <si>
    <t>Miss. Rosenbaum Edith</t>
  </si>
  <si>
    <t>Mr. Rosenshine George</t>
  </si>
  <si>
    <t>Mr. Ross John</t>
  </si>
  <si>
    <t>the Rothes Countess.</t>
  </si>
  <si>
    <t>Mr. Rothschild Martin</t>
  </si>
  <si>
    <t>Mrs. Rothschild Martin</t>
  </si>
  <si>
    <t>Mr. Rowe Alfred</t>
  </si>
  <si>
    <t>Master. Ryerson John</t>
  </si>
  <si>
    <t>Miss. Ryerson Emily</t>
  </si>
  <si>
    <t>Miss. Ryerson Susan</t>
  </si>
  <si>
    <t>Mr. Ryerson Arthur</t>
  </si>
  <si>
    <t>Mrs. Ryerson Arthur</t>
  </si>
  <si>
    <t>Mr. Saalfeld Adolphe</t>
  </si>
  <si>
    <t>Mlle. Sagesser Emma</t>
  </si>
  <si>
    <t>Mr. Salomon Abraham</t>
  </si>
  <si>
    <t>Mrs. Schabert Paul</t>
  </si>
  <si>
    <t>Miss. Serepeca Augusta</t>
  </si>
  <si>
    <t>Mr. Seward Frederic</t>
  </si>
  <si>
    <t>Miss. Shutes Elizabeth</t>
  </si>
  <si>
    <t>Mr. Silverthorne Spencer</t>
  </si>
  <si>
    <t>Mr. Silvey William</t>
  </si>
  <si>
    <t>Mrs. Silvey William</t>
  </si>
  <si>
    <t>Col. Simonius-Blumer Oberst</t>
  </si>
  <si>
    <t>Mr. Sloper William</t>
  </si>
  <si>
    <t>Mr. Smart John</t>
  </si>
  <si>
    <t>Mr. Smith James</t>
  </si>
  <si>
    <t>Mr. Smith Lucien</t>
  </si>
  <si>
    <t>Mr. Smith Richard</t>
  </si>
  <si>
    <t>Mrs. Smith Lucien</t>
  </si>
  <si>
    <t>Mr. Snyder John</t>
  </si>
  <si>
    <t>Mrs. Snyder John</t>
  </si>
  <si>
    <t>Master. Spedden Robert</t>
  </si>
  <si>
    <t>Mr. Spedden Frederic</t>
  </si>
  <si>
    <t>Mrs. Spedden Frederic</t>
  </si>
  <si>
    <t>Mr. Spencer William</t>
  </si>
  <si>
    <t>Mrs. Spencer William</t>
  </si>
  <si>
    <t>Dr. Stahelin-Maeglin Max</t>
  </si>
  <si>
    <t>Mr. Stead William</t>
  </si>
  <si>
    <t>Mr. Stengel Charles</t>
  </si>
  <si>
    <t>Mrs. Stengel Charles</t>
  </si>
  <si>
    <t>Mrs. Stephenson Walter</t>
  </si>
  <si>
    <t>Mr. Stewart Albert</t>
  </si>
  <si>
    <t>Mrs. Stone George</t>
  </si>
  <si>
    <t>Mr. Straus Isidor</t>
  </si>
  <si>
    <t>Mrs. Straus Isidor</t>
  </si>
  <si>
    <t>Mr. Sutton Frederick</t>
  </si>
  <si>
    <t>Mrs. Swift Frederick</t>
  </si>
  <si>
    <t>Miss. Taussig Ruth</t>
  </si>
  <si>
    <t>Mr. Taussig Emil</t>
  </si>
  <si>
    <t>Mrs. Taussig Emil</t>
  </si>
  <si>
    <t>Mr. Taylor Elmer</t>
  </si>
  <si>
    <t>Mrs. Taylor Elmer</t>
  </si>
  <si>
    <t>Mr. Thayer John</t>
  </si>
  <si>
    <t>Mrs. Thayer John</t>
  </si>
  <si>
    <t>Mrs. Thorne Gertrude</t>
  </si>
  <si>
    <t>Mr. Tucker Gilbert</t>
  </si>
  <si>
    <t>Don. Uruchurtu Manuel</t>
  </si>
  <si>
    <t>der Van hoef</t>
  </si>
  <si>
    <t>Mr. Walker William</t>
  </si>
  <si>
    <t>Miss. Ward Anna</t>
  </si>
  <si>
    <t>Mr. Warren Frank</t>
  </si>
  <si>
    <t>Mrs. Warren Frank</t>
  </si>
  <si>
    <t>Col. Weir John</t>
  </si>
  <si>
    <t>Mr. White Percival</t>
  </si>
  <si>
    <t>Mr. White Richard</t>
  </si>
  <si>
    <t>Mrs. White John</t>
  </si>
  <si>
    <t>Miss. Wick Mary</t>
  </si>
  <si>
    <t>Mr. Wick George</t>
  </si>
  <si>
    <t>Mrs. Wick George</t>
  </si>
  <si>
    <t>Mr. Widener George</t>
  </si>
  <si>
    <t>Mr. Widener Harry</t>
  </si>
  <si>
    <t>Mrs. Widener George</t>
  </si>
  <si>
    <t>Miss. Willard Constance</t>
  </si>
  <si>
    <t>Mr. Williams Charles</t>
  </si>
  <si>
    <t>Mr. Williams Richard</t>
  </si>
  <si>
    <t>Mr. Williams-Lambert Fletcher</t>
  </si>
  <si>
    <t>Miss. Wilson Helen</t>
  </si>
  <si>
    <t>Mr. Woolner Hugh</t>
  </si>
  <si>
    <t>Mr. Wright George</t>
  </si>
  <si>
    <t>Miss. Young Marie</t>
  </si>
  <si>
    <t>Mr. Abelson Samuel</t>
  </si>
  <si>
    <t>Mrs. Abelson Samuel</t>
  </si>
  <si>
    <t>Mr. Aldworth Charles</t>
  </si>
  <si>
    <t>Mr. Andrew Edgardo</t>
  </si>
  <si>
    <t>Mr. Andrew Frank</t>
  </si>
  <si>
    <t>Mr. Angle William</t>
  </si>
  <si>
    <t>Mrs. Angle William</t>
  </si>
  <si>
    <t>Mr. Ashby John</t>
  </si>
  <si>
    <t>Mr. Bailey Percy</t>
  </si>
  <si>
    <t>Mr. Baimbrigge Charles</t>
  </si>
  <si>
    <t>Mrs. Ball (Ada</t>
  </si>
  <si>
    <t>Mr. Banfield Frederick</t>
  </si>
  <si>
    <t>Rev. Bateman Robert</t>
  </si>
  <si>
    <t>Mr. Beane Edward</t>
  </si>
  <si>
    <t>Mrs. Beane Edward</t>
  </si>
  <si>
    <t>Mr. Beauchamp Henry</t>
  </si>
  <si>
    <t>Master. Becker Richard</t>
  </si>
  <si>
    <t>Miss. Becker Marion</t>
  </si>
  <si>
    <t>Miss. Becker Ruth</t>
  </si>
  <si>
    <t>Mrs. Becker Allen</t>
  </si>
  <si>
    <t>Mr. Beesley Lawrence</t>
  </si>
  <si>
    <t>Miss. Bentham Lilian</t>
  </si>
  <si>
    <t>Mr. Berriman William</t>
  </si>
  <si>
    <t>Mr. Botsford William</t>
  </si>
  <si>
    <t>Mr. Bowenur Solomon</t>
  </si>
  <si>
    <t>Mr. Bracken James</t>
  </si>
  <si>
    <t>Miss. Brown Amelia</t>
  </si>
  <si>
    <t>Miss. Brown Edith</t>
  </si>
  <si>
    <t>Mr. Brown Thomas</t>
  </si>
  <si>
    <t>Mrs. Brown Thomas</t>
  </si>
  <si>
    <t>Miss. Bryhl Dagmar</t>
  </si>
  <si>
    <t>Mr. Bryhl Kurt</t>
  </si>
  <si>
    <t>Miss. Buss Kate</t>
  </si>
  <si>
    <t>Mr. Butler Reginald</t>
  </si>
  <si>
    <t>Rev. Byles Thomas</t>
  </si>
  <si>
    <t>Mrs. Bystrom (Karolina)</t>
  </si>
  <si>
    <t>Master. Caldwell Alden</t>
  </si>
  <si>
    <t>Mr. Caldwell Albert</t>
  </si>
  <si>
    <t>Mrs. Caldwell Albert</t>
  </si>
  <si>
    <t>Miss. Cameron Clear</t>
  </si>
  <si>
    <t>Mr. Campbell William</t>
  </si>
  <si>
    <t>Mr. Carbines William</t>
  </si>
  <si>
    <t>Mrs. Carter Ernest</t>
  </si>
  <si>
    <t>Rev. Carter Ernest</t>
  </si>
  <si>
    <t>Mr. Chapman Charles</t>
  </si>
  <si>
    <t>Mr. Chapman John</t>
  </si>
  <si>
    <t>Mrs. Chapman John</t>
  </si>
  <si>
    <t>Miss. Christy Julie</t>
  </si>
  <si>
    <t>Mrs. Christy (Alice</t>
  </si>
  <si>
    <t>Mr. Clarke Charles</t>
  </si>
  <si>
    <t>Mrs. Clarke Charles</t>
  </si>
  <si>
    <t>Mr. Coleridge Reginald</t>
  </si>
  <si>
    <t>Mr. Collander Erik</t>
  </si>
  <si>
    <t>Mr. Collett Sidney</t>
  </si>
  <si>
    <t>Miss. Collyer Marjorie</t>
  </si>
  <si>
    <t>Mr. Collyer Harvey</t>
  </si>
  <si>
    <t>Mrs. Collyer Harvey</t>
  </si>
  <si>
    <t>Mrs. Cook (Selena</t>
  </si>
  <si>
    <t>Mrs. Corbett Walter</t>
  </si>
  <si>
    <t>Mrs. Corey Percy</t>
  </si>
  <si>
    <t>Mr. Cotterill Henry</t>
  </si>
  <si>
    <t>Mr. Cunningham Alfred</t>
  </si>
  <si>
    <t>Master. Davies John</t>
  </si>
  <si>
    <t>Mr. Davies Charles</t>
  </si>
  <si>
    <t>Mrs. Davies John</t>
  </si>
  <si>
    <t>Miss. Davis Mary</t>
  </si>
  <si>
    <t>Brito de Mr.</t>
  </si>
  <si>
    <t>Mr. Deacon Percy</t>
  </si>
  <si>
    <t>Carlo del Mr.</t>
  </si>
  <si>
    <t>Carlo del Mrs.</t>
  </si>
  <si>
    <t>Mr. Denbury Herbert</t>
  </si>
  <si>
    <t>Mr. Dibden William</t>
  </si>
  <si>
    <t>Miss. Doling Elsie</t>
  </si>
  <si>
    <t>Mrs. Doling John</t>
  </si>
  <si>
    <t>Mr. Downton William</t>
  </si>
  <si>
    <t>Master. Drew Marshall</t>
  </si>
  <si>
    <t>Mr. Drew James</t>
  </si>
  <si>
    <t>Mrs. Drew James</t>
  </si>
  <si>
    <t>y Duran More</t>
  </si>
  <si>
    <t>Mr. Eitemiller George</t>
  </si>
  <si>
    <t>Mr. Enander Ingvar</t>
  </si>
  <si>
    <t>Mr. Fahlstrom Arne</t>
  </si>
  <si>
    <t>Mr. Faunthorpe Harry</t>
  </si>
  <si>
    <t>Mrs. Faunthorpe Lizzie</t>
  </si>
  <si>
    <t>Mr. Fillbrook Joseph</t>
  </si>
  <si>
    <t>Mr. Fox Stanley</t>
  </si>
  <si>
    <t>Mr. Frost Anthony</t>
  </si>
  <si>
    <t>Miss. Funk Annie</t>
  </si>
  <si>
    <t>Mr. Fynney Joseph</t>
  </si>
  <si>
    <t>Mr. Gale Harry</t>
  </si>
  <si>
    <t>Mr. Gale Shadrach</t>
  </si>
  <si>
    <t>Miss. Garside Ethel</t>
  </si>
  <si>
    <t>Mr. Gaskell Alfred</t>
  </si>
  <si>
    <t>Mr. Gavey Lawrence</t>
  </si>
  <si>
    <t>Mr. Gilbert William</t>
  </si>
  <si>
    <t>Mr. Giles Edgar</t>
  </si>
  <si>
    <t>Mr. Giles Frederick</t>
  </si>
  <si>
    <t>Mr. Giles Ralph</t>
  </si>
  <si>
    <t>Mr. Gill John</t>
  </si>
  <si>
    <t>Mr. Gillespie William</t>
  </si>
  <si>
    <t>Mr. Givard Hans</t>
  </si>
  <si>
    <t>Mr. Greenberg Samuel</t>
  </si>
  <si>
    <t>Mr. Hale Reginald</t>
  </si>
  <si>
    <t>Master. Hamalainen Viljo</t>
  </si>
  <si>
    <t>Mrs. Hamalainen William</t>
  </si>
  <si>
    <t>Mr. Harbeck William</t>
  </si>
  <si>
    <t>Miss. Harper Annie</t>
  </si>
  <si>
    <t>Rev. Harper John</t>
  </si>
  <si>
    <t>Mr. Harris George</t>
  </si>
  <si>
    <t>Mr. Harris Walter</t>
  </si>
  <si>
    <t>Miss. Hart Eva</t>
  </si>
  <si>
    <t>Mr. Hart Benjamin</t>
  </si>
  <si>
    <t>Mrs. Hart Benjamin</t>
  </si>
  <si>
    <t>Miss. Herman Alice</t>
  </si>
  <si>
    <t>Miss. Herman Kate</t>
  </si>
  <si>
    <t>Mr. Herman Samuel</t>
  </si>
  <si>
    <t>Mrs. Herman Samuel</t>
  </si>
  <si>
    <t>Mrs. Hewlett (Mary</t>
  </si>
  <si>
    <t>Mr. Hickman Leonard</t>
  </si>
  <si>
    <t>Mr. Hickman Lewis</t>
  </si>
  <si>
    <t>Mr. Hickman Stanley</t>
  </si>
  <si>
    <t>Miss. Hiltunen Marta</t>
  </si>
  <si>
    <t>Miss. Hocking Ellen</t>
  </si>
  <si>
    <t>Mr. Hocking Richard</t>
  </si>
  <si>
    <t>Mr. Hocking Samuel</t>
  </si>
  <si>
    <t>Mrs. Hocking Elizabeth</t>
  </si>
  <si>
    <t>Mr. Hodges Henry</t>
  </si>
  <si>
    <t>Mr. Hold Stephen</t>
  </si>
  <si>
    <t>Mrs. Hold Stephen</t>
  </si>
  <si>
    <t>Mr. Hood Ambrose</t>
  </si>
  <si>
    <t>Mr. Hosono Masabumi</t>
  </si>
  <si>
    <t>Mr. Howard Benjamin</t>
  </si>
  <si>
    <t>Mrs. Howard Benjamin</t>
  </si>
  <si>
    <t>Mr. Hunt George</t>
  </si>
  <si>
    <t>Miss. Ilett Bertha</t>
  </si>
  <si>
    <t>Mr. Jacobsohn Sidney</t>
  </si>
  <si>
    <t>Mrs. Jacobsohn Sidney</t>
  </si>
  <si>
    <t>Mr. Jarvis John</t>
  </si>
  <si>
    <t>Mr. Jefferys Clifford</t>
  </si>
  <si>
    <t>Mr. Jefferys Ernest</t>
  </si>
  <si>
    <t>Mr. Jenkin Stephen</t>
  </si>
  <si>
    <t>Mrs. Jerwan Amin</t>
  </si>
  <si>
    <t>Mr. Kantor Sinai</t>
  </si>
  <si>
    <t>Mrs. Kantor Sinai</t>
  </si>
  <si>
    <t>Mrs. Karnes J</t>
  </si>
  <si>
    <t>Miss. Keane Nora</t>
  </si>
  <si>
    <t>Mr. Keane Daniel</t>
  </si>
  <si>
    <t>Mrs. Kelly Florence</t>
  </si>
  <si>
    <t>Rev. Kirkland Charles</t>
  </si>
  <si>
    <t>Mr. Knight Robert</t>
  </si>
  <si>
    <t>Mr. Kvillner Johan</t>
  </si>
  <si>
    <t>Mrs. Lahtinen William</t>
  </si>
  <si>
    <t>Rev. Lahtinen William</t>
  </si>
  <si>
    <t>Mr. Lamb John</t>
  </si>
  <si>
    <t>Miss. Laroche Louise</t>
  </si>
  <si>
    <t>Miss. Laroche Simonne</t>
  </si>
  <si>
    <t>Mr. Laroche Joseph</t>
  </si>
  <si>
    <t>Mrs. Laroche Joseph</t>
  </si>
  <si>
    <t>Miss. Lehmann Bertha</t>
  </si>
  <si>
    <t>Miss. Leitch Jessie</t>
  </si>
  <si>
    <t>Mrs. Lemore (Amelia</t>
  </si>
  <si>
    <t>Mr. Levy Rene</t>
  </si>
  <si>
    <t>Mr. Leyson Robert</t>
  </si>
  <si>
    <t>Mr. Lingane John</t>
  </si>
  <si>
    <t>Mr. Louch Charles</t>
  </si>
  <si>
    <t>Mrs. Louch Charles</t>
  </si>
  <si>
    <t>Mrs. Mack (Mary)</t>
  </si>
  <si>
    <t>Mr. Malachard Noel</t>
  </si>
  <si>
    <t>Master. Mallet Andre</t>
  </si>
  <si>
    <t>Mr. Mallet Albert</t>
  </si>
  <si>
    <t>Mrs. Mallet Albert</t>
  </si>
  <si>
    <t>Mr. Mangiavacchi Serafino</t>
  </si>
  <si>
    <t>Mr. Matthews William</t>
  </si>
  <si>
    <t>Mr. Maybery Frank</t>
  </si>
  <si>
    <t>Mr. McCrae Arthur</t>
  </si>
  <si>
    <t>Mr. McCrie James</t>
  </si>
  <si>
    <t>Mr. McKane Peter</t>
  </si>
  <si>
    <t>Miss. Mellinger Madeleine</t>
  </si>
  <si>
    <t>Mrs. Mellinger (Elizabeth</t>
  </si>
  <si>
    <t>Mr. Mellors William</t>
  </si>
  <si>
    <t>Mr. Meyer August</t>
  </si>
  <si>
    <t>Mr. Milling Jacob</t>
  </si>
  <si>
    <t>Mr. Mitchell Henry</t>
  </si>
  <si>
    <t>Rev. Montvila Juozas</t>
  </si>
  <si>
    <t>Dr. Moraweck Ernest</t>
  </si>
  <si>
    <t>Mr. Morley Henry</t>
  </si>
  <si>
    <t>Mr. Mudd Thomas</t>
  </si>
  <si>
    <t>Mr. Myles Thomas</t>
  </si>
  <si>
    <t>Mr. Nasser Nicholas</t>
  </si>
  <si>
    <t>Mrs. Nasser Nicholas</t>
  </si>
  <si>
    <t>Master. Navratil Edmond</t>
  </si>
  <si>
    <t>Master. Navratil Michel</t>
  </si>
  <si>
    <t>Mr. Navratil Michel</t>
  </si>
  <si>
    <t>Mr. Nesson Israel</t>
  </si>
  <si>
    <t>Mr. Nicholls Joseph</t>
  </si>
  <si>
    <t>Mr. Norman Robert</t>
  </si>
  <si>
    <t>Mr. Nourney Alfred</t>
  </si>
  <si>
    <t>Mrs. Nye (Elizabeth</t>
  </si>
  <si>
    <t>Mr. Otter Richard</t>
  </si>
  <si>
    <t>Mr. Oxenham Percy</t>
  </si>
  <si>
    <t>y Padro Manent</t>
  </si>
  <si>
    <t>Dr. Pain Alfred</t>
  </si>
  <si>
    <t>y Pallas Castello</t>
  </si>
  <si>
    <t>Mr. Parker Clifford</t>
  </si>
  <si>
    <t>Mr. Parkes Francis</t>
  </si>
  <si>
    <t>Mrs. Parrish (Lutie</t>
  </si>
  <si>
    <t>Mr. Pengelly Frederick</t>
  </si>
  <si>
    <t>Mr. Pernot Rene</t>
  </si>
  <si>
    <t>Rev. Peruschitz Joseph</t>
  </si>
  <si>
    <t>Miss. Phillips Alice</t>
  </si>
  <si>
    <t>Miss. Phillips Kate</t>
  </si>
  <si>
    <t>Mr. Phillips Escott</t>
  </si>
  <si>
    <t>Mrs. Pinsky (Rosa)</t>
  </si>
  <si>
    <t>Mr. Ponesell Martin</t>
  </si>
  <si>
    <t>Mr. Portaluppi Emilio</t>
  </si>
  <si>
    <t>Mr. Pulbaum Franz</t>
  </si>
  <si>
    <t>Miss. Quick Phyllis</t>
  </si>
  <si>
    <t>Miss. Quick Winifred</t>
  </si>
  <si>
    <t>Mrs. Quick Frederick</t>
  </si>
  <si>
    <t>Mr. Reeves David</t>
  </si>
  <si>
    <t>Mr. Renouf Peter</t>
  </si>
  <si>
    <t>Mrs. Renouf Peter</t>
  </si>
  <si>
    <t>Ms. Reynaldo Encarnacion</t>
  </si>
  <si>
    <t>Mr. Richard Emile</t>
  </si>
  <si>
    <t>Master. Richards George</t>
  </si>
  <si>
    <t>Master. Richards William</t>
  </si>
  <si>
    <t>Mrs. Richards Sidney</t>
  </si>
  <si>
    <t>Miss. Ridsdale Lucy</t>
  </si>
  <si>
    <t>Mr. Rogers Reginald</t>
  </si>
  <si>
    <t>Miss. Rugg Emily</t>
  </si>
  <si>
    <t>Mr. Schmidt August</t>
  </si>
  <si>
    <t>Mr. Sedgwick Charles</t>
  </si>
  <si>
    <t>Mr. Sharp Percival</t>
  </si>
  <si>
    <t>Mrs. Shelley William</t>
  </si>
  <si>
    <t>Miss. Silven Lyyli</t>
  </si>
  <si>
    <t>Miss. Sincock Maude</t>
  </si>
  <si>
    <t>Miss. Sinkkonen Anna</t>
  </si>
  <si>
    <t>Mr. Sjostedt Ernst</t>
  </si>
  <si>
    <t>Miss. Slayter Hilda</t>
  </si>
  <si>
    <t>Mr. Slemen Richard</t>
  </si>
  <si>
    <t>Miss. Smith Marion</t>
  </si>
  <si>
    <t>Mr. Sobey Samuel</t>
  </si>
  <si>
    <t>Mr. Stanton Samuel</t>
  </si>
  <si>
    <t>Mr. Stokes Philip</t>
  </si>
  <si>
    <t>Mr. Swane George</t>
  </si>
  <si>
    <t>Mr. Sweet George</t>
  </si>
  <si>
    <t>Miss. Toomey Ellen</t>
  </si>
  <si>
    <t>Mr. Troupiansky Moses</t>
  </si>
  <si>
    <t>Mrs. Trout William</t>
  </si>
  <si>
    <t>Miss. Troutt Edwina</t>
  </si>
  <si>
    <t>Mr. Turpin William</t>
  </si>
  <si>
    <t>Mrs. Turpin William</t>
  </si>
  <si>
    <t>Mr. Veal James</t>
  </si>
  <si>
    <t>Miss. Walcroft Nellie</t>
  </si>
  <si>
    <t>Mr. Ware John</t>
  </si>
  <si>
    <t>Mr. Ware William</t>
  </si>
  <si>
    <t>Mrs. Ware John</t>
  </si>
  <si>
    <t>Mr. Watson Ennis</t>
  </si>
  <si>
    <t>Miss. Watt Bertha</t>
  </si>
  <si>
    <t>Mrs. Watt James</t>
  </si>
  <si>
    <t>Miss. Webber Susan</t>
  </si>
  <si>
    <t>Mr. Weisz Leopold</t>
  </si>
  <si>
    <t>Mrs. Weisz Leopold</t>
  </si>
  <si>
    <t>Master. Wells Ralph</t>
  </si>
  <si>
    <t>Miss. Wells Joan</t>
  </si>
  <si>
    <t>Mrs. Wells Arthur</t>
  </si>
  <si>
    <t>Miss. West Barbara</t>
  </si>
  <si>
    <t>Miss. West Constance</t>
  </si>
  <si>
    <t>Mr. West Edwy</t>
  </si>
  <si>
    <t>Mrs. West Edwy</t>
  </si>
  <si>
    <t>Mr. Wheadon Edward</t>
  </si>
  <si>
    <t>Mr. Wheeler Edwin</t>
  </si>
  <si>
    <t>Mr. Wilhelms Charles</t>
  </si>
  <si>
    <t>Miss. Wright Marion</t>
  </si>
  <si>
    <t>Miss. Yrois Henriette</t>
  </si>
  <si>
    <t>Mr. Abbing Anthony</t>
  </si>
  <si>
    <t>Master. Abbott Eugene</t>
  </si>
  <si>
    <t>Mr. Abbott Rossmore</t>
  </si>
  <si>
    <t>Mrs. Abbott Stanton</t>
  </si>
  <si>
    <t>Miss. Abelseth Karen</t>
  </si>
  <si>
    <t>Mr. Abelseth Olaus</t>
  </si>
  <si>
    <t>Mr. Abrahamsson Abraham</t>
  </si>
  <si>
    <t>Mrs. Abrahim Joseph</t>
  </si>
  <si>
    <t>Mr. Adahl Mauritz</t>
  </si>
  <si>
    <t>Mr. Adams John</t>
  </si>
  <si>
    <t>Mrs. Ahlin Johan</t>
  </si>
  <si>
    <t>Master. Aks Philip</t>
  </si>
  <si>
    <t>Mrs. Aks Sam</t>
  </si>
  <si>
    <t>Mr. Albimona Nassef</t>
  </si>
  <si>
    <t>Mr. Alexander William</t>
  </si>
  <si>
    <t>Mr. Alhomaki Ilmari</t>
  </si>
  <si>
    <t>Mr. Ali Ahmed</t>
  </si>
  <si>
    <t>Mr. Ali William</t>
  </si>
  <si>
    <t>Mr. Allen William</t>
  </si>
  <si>
    <t>Mr. Allum Owen</t>
  </si>
  <si>
    <t>Mr. Andersen Albert</t>
  </si>
  <si>
    <t>Miss. Andersen-Jensen Carla</t>
  </si>
  <si>
    <t>Master. Andersson Sigvard</t>
  </si>
  <si>
    <t>Miss. Andersson Ebba</t>
  </si>
  <si>
    <t>Miss. Andersson Ellis</t>
  </si>
  <si>
    <t>Miss. Andersson Erna</t>
  </si>
  <si>
    <t>Miss. Andersson Ida</t>
  </si>
  <si>
    <t>Miss. Andersson Ingeborg</t>
  </si>
  <si>
    <t>Miss. Andersson Sigrid</t>
  </si>
  <si>
    <t>Mr. Andersson Anders</t>
  </si>
  <si>
    <t>Mr. Andersson August</t>
  </si>
  <si>
    <t>Mr. Andersson Johan</t>
  </si>
  <si>
    <t>Mrs. Andersson Anders</t>
  </si>
  <si>
    <t>Mr. Andreasson Paul</t>
  </si>
  <si>
    <t>Mr. Angheloff Minko</t>
  </si>
  <si>
    <t>Mr. Arnold-Franchi Josef</t>
  </si>
  <si>
    <t>Mrs. Arnold-Franchi Josef</t>
  </si>
  <si>
    <t>Mr. Aronsson Ernst</t>
  </si>
  <si>
    <t>Mr. Asim Adola</t>
  </si>
  <si>
    <t>Master. Asplund Carl</t>
  </si>
  <si>
    <t>Master. Asplund Clarence</t>
  </si>
  <si>
    <t>Master. Asplund Edvin</t>
  </si>
  <si>
    <t>Master. Asplund Filip</t>
  </si>
  <si>
    <t>Miss. Asplund Lillian</t>
  </si>
  <si>
    <t>Mr. Asplund Carl</t>
  </si>
  <si>
    <t>Mr. Asplund Johan</t>
  </si>
  <si>
    <t>Mrs. Asplund Carl</t>
  </si>
  <si>
    <t>Khalil Assaf Mrs.</t>
  </si>
  <si>
    <t>Mr. Assaf Gerios</t>
  </si>
  <si>
    <t>Mr. Assam Ali</t>
  </si>
  <si>
    <t>Miss. Attalah Malake</t>
  </si>
  <si>
    <t>Mr. Attalah Sleiman</t>
  </si>
  <si>
    <t>Mr. Augustsson Albert</t>
  </si>
  <si>
    <t>Miss. Ayoub Banoura</t>
  </si>
  <si>
    <t>Mr. Baccos Raffull</t>
  </si>
  <si>
    <t>Mr. Backstrom Karl</t>
  </si>
  <si>
    <t>Mrs. Backstrom Karl</t>
  </si>
  <si>
    <t>Miss. Baclini Eugenie</t>
  </si>
  <si>
    <t>Miss. Baclini Helene</t>
  </si>
  <si>
    <t>Miss. Baclini Marie</t>
  </si>
  <si>
    <t>Mrs. Baclini Solomon</t>
  </si>
  <si>
    <t>Miss. Badman Emily</t>
  </si>
  <si>
    <t>Mr. Badt Mohamed</t>
  </si>
  <si>
    <t>Mr. Balkic Cerin</t>
  </si>
  <si>
    <t>Mr. Barah Hanna</t>
  </si>
  <si>
    <t>Miss. Barbara Saiide</t>
  </si>
  <si>
    <t>Mrs. Barbara (Catherine</t>
  </si>
  <si>
    <t>Miss. Barry Julia</t>
  </si>
  <si>
    <t>Mr. Barton David</t>
  </si>
  <si>
    <t>Mr. Beavan William</t>
  </si>
  <si>
    <t>Mr. Bengtsson John</t>
  </si>
  <si>
    <t>Mr. Berglund Karl</t>
  </si>
  <si>
    <t>Master. Betros Seman</t>
  </si>
  <si>
    <t>Mr. Betros Tannous</t>
  </si>
  <si>
    <t>Mr. Bing Lee</t>
  </si>
  <si>
    <t>Mr. Birkeland Hans</t>
  </si>
  <si>
    <t>Mr. Bjorklund Ernst</t>
  </si>
  <si>
    <t>Mr. Bostandyeff Guentcho</t>
  </si>
  <si>
    <t>Master. Boulos Akar</t>
  </si>
  <si>
    <t>Miss. Boulos Nourelain</t>
  </si>
  <si>
    <t>Mr. Boulos Hanna</t>
  </si>
  <si>
    <t>Mrs. Boulos Joseph</t>
  </si>
  <si>
    <t>Miss. Bourke Mary</t>
  </si>
  <si>
    <t>Mr. Bourke John</t>
  </si>
  <si>
    <t>Mrs. Bourke John</t>
  </si>
  <si>
    <t>Mr. Bowen David</t>
  </si>
  <si>
    <t>Miss. Bradley Bridget</t>
  </si>
  <si>
    <t>Miss. Braf Elin</t>
  </si>
  <si>
    <t>Mr. Braund Lewis</t>
  </si>
  <si>
    <t>Mr. Braund Owen</t>
  </si>
  <si>
    <t>Mr. Brobeck Karl</t>
  </si>
  <si>
    <t>Mr. Brocklebank William</t>
  </si>
  <si>
    <t>Miss. Buckley Katherine</t>
  </si>
  <si>
    <t>Mr. Buckley Daniel</t>
  </si>
  <si>
    <t>Mr. Burke Jeremiah</t>
  </si>
  <si>
    <t>Miss. Burns Mary</t>
  </si>
  <si>
    <t>Miss. Cacic Manda</t>
  </si>
  <si>
    <t>Miss. Cacic Marija</t>
  </si>
  <si>
    <t>Mr. Cacic Jego</t>
  </si>
  <si>
    <t>Mr. Cacic Luka</t>
  </si>
  <si>
    <t>Mr. Calic Jovo</t>
  </si>
  <si>
    <t>Mr. Calic Petar</t>
  </si>
  <si>
    <t>Miss. Canavan Mary</t>
  </si>
  <si>
    <t>Mr. Canavan Patrick</t>
  </si>
  <si>
    <t>Mr. Cann Ernest</t>
  </si>
  <si>
    <t>Mr. Caram Joseph</t>
  </si>
  <si>
    <t>Mrs. Caram Joseph</t>
  </si>
  <si>
    <t>Mr. Carlsson August</t>
  </si>
  <si>
    <t>Mr. Carlsson Carl</t>
  </si>
  <si>
    <t>Miss. Carr Helen</t>
  </si>
  <si>
    <t>Miss. Carr Jeannie</t>
  </si>
  <si>
    <t>Mr. Carver Alfred</t>
  </si>
  <si>
    <t>Mr. Celotti Francesco</t>
  </si>
  <si>
    <t>Mr. Charters David</t>
  </si>
  <si>
    <t>Mr. Chip Chang</t>
  </si>
  <si>
    <t>Mr. Christmann Emil</t>
  </si>
  <si>
    <t>Mr. Chronopoulos Apostolos</t>
  </si>
  <si>
    <t>Mr. Chronopoulos Demetrios</t>
  </si>
  <si>
    <t>Mr. Coelho Domingos</t>
  </si>
  <si>
    <t>Mr. Cohen Gurshon</t>
  </si>
  <si>
    <t>Mr. Colbert Patrick</t>
  </si>
  <si>
    <t>Mr. Coleff Peju</t>
  </si>
  <si>
    <t>Mr. Coleff Satio</t>
  </si>
  <si>
    <t>Mr. Conlon Thomas</t>
  </si>
  <si>
    <t>Mr. Connaghton Michael</t>
  </si>
  <si>
    <t>Miss. Connolly Kate</t>
  </si>
  <si>
    <t>Mr. Connors Patrick</t>
  </si>
  <si>
    <t>Mr. Cook Jacob</t>
  </si>
  <si>
    <t>Mr. Cor Bartol</t>
  </si>
  <si>
    <t>Mr. Cor Ivan</t>
  </si>
  <si>
    <t>Mr. Cor Liudevit</t>
  </si>
  <si>
    <t>Mr. Corn Harry</t>
  </si>
  <si>
    <t>Master. Coutts Eden</t>
  </si>
  <si>
    <t>Master. Coutts William</t>
  </si>
  <si>
    <t>Mrs. Coutts William</t>
  </si>
  <si>
    <t>Mr. Coxon Daniel</t>
  </si>
  <si>
    <t>Mr. Crease Ernest</t>
  </si>
  <si>
    <t>Miss. Cribb Laura</t>
  </si>
  <si>
    <t>Mr. Cribb John</t>
  </si>
  <si>
    <t>Mr. Culumovic Jeso</t>
  </si>
  <si>
    <t>Mr. Daher Shedid</t>
  </si>
  <si>
    <t>Mr. Dahl Karl</t>
  </si>
  <si>
    <t>Miss. Dahlberg Gerda</t>
  </si>
  <si>
    <t>Mr. Dakic Branko</t>
  </si>
  <si>
    <t>Miss. Daly Margaret</t>
  </si>
  <si>
    <t>Mr. Daly Eugene</t>
  </si>
  <si>
    <t>Master. Danbom Gilbert</t>
  </si>
  <si>
    <t>Mr. Danbom Ernst</t>
  </si>
  <si>
    <t>Mrs. Danbom Ernst</t>
  </si>
  <si>
    <t>Mr. Danoff Yoto</t>
  </si>
  <si>
    <t>Mr. Dantcheff Ristiu</t>
  </si>
  <si>
    <t>Mr. Davies Alfred</t>
  </si>
  <si>
    <t>Mr. Davies Evan</t>
  </si>
  <si>
    <t>Mr. Davies John</t>
  </si>
  <si>
    <t>Mr. Davies Joseph</t>
  </si>
  <si>
    <t>Mr. Davison Thomas</t>
  </si>
  <si>
    <t>Mrs. Davison Thomas</t>
  </si>
  <si>
    <t>Messemaeker de Mr.</t>
  </si>
  <si>
    <t>Messemaeker de Mrs.</t>
  </si>
  <si>
    <t>Mulder de Mr.</t>
  </si>
  <si>
    <t>Pelsmaeker de Mr.</t>
  </si>
  <si>
    <t>Master. Dean Bertram</t>
  </si>
  <si>
    <t>Miss. Dean Elizabeth</t>
  </si>
  <si>
    <t>Mr. Dean Bertram</t>
  </si>
  <si>
    <t>Mrs. Dean Bertram</t>
  </si>
  <si>
    <t>Mr. Delalic Redjo</t>
  </si>
  <si>
    <t>Mr. Demetri Marinko</t>
  </si>
  <si>
    <t>Mr. Denkoff Mitto</t>
  </si>
  <si>
    <t>Mr. Dennis Samuel</t>
  </si>
  <si>
    <t>Mr. Dennis William</t>
  </si>
  <si>
    <t>Miss. Devaney Margaret</t>
  </si>
  <si>
    <t>Mr. Dika Mirko</t>
  </si>
  <si>
    <t>Mr. Dimic Jovan</t>
  </si>
  <si>
    <t>Mr. Dintcheff Valtcho</t>
  </si>
  <si>
    <t>Mr. Doharr Tannous</t>
  </si>
  <si>
    <t>Mr. Dooley Patrick</t>
  </si>
  <si>
    <t>Mr. Dorking Edward</t>
  </si>
  <si>
    <t>Miss. Dowdell Elizabeth</t>
  </si>
  <si>
    <t>Miss. Doyle Elizabeth</t>
  </si>
  <si>
    <t>Miss. Drapkin Jennie</t>
  </si>
  <si>
    <t>Mr. Drazenoic Jozef</t>
  </si>
  <si>
    <t>Mr. Duane Frank</t>
  </si>
  <si>
    <t>Mr. Duquemin Joseph</t>
  </si>
  <si>
    <t>Mr. Dyker Adolf</t>
  </si>
  <si>
    <t>Mrs. Dyker Adolf</t>
  </si>
  <si>
    <t>Mr. Edvardsson Gustaf</t>
  </si>
  <si>
    <t>Mr. Eklund Hans</t>
  </si>
  <si>
    <t>Mr. Ekstrom Johan</t>
  </si>
  <si>
    <t>Mr. Elias Dibo</t>
  </si>
  <si>
    <t>Mr. Elias Joseph</t>
  </si>
  <si>
    <t>Mr. Elias Tannous</t>
  </si>
  <si>
    <t>Mr. Elsbury William</t>
  </si>
  <si>
    <t>Miss. Emanuel Virginia</t>
  </si>
  <si>
    <t>Mr. Emir Farred</t>
  </si>
  <si>
    <t>Mr. Everett Thomas</t>
  </si>
  <si>
    <t>Mr. Farrell James</t>
  </si>
  <si>
    <t>Mr. Finoli Luigi</t>
  </si>
  <si>
    <t>Mr. Fischer Eberhard</t>
  </si>
  <si>
    <t>Miss. Fleming Honora</t>
  </si>
  <si>
    <t>Mr. Flynn James</t>
  </si>
  <si>
    <t>Mr. Foley Joseph</t>
  </si>
  <si>
    <t>Mr. Foley William</t>
  </si>
  <si>
    <t>Mr. Foo Choong</t>
  </si>
  <si>
    <t>Miss. Ford Doolina</t>
  </si>
  <si>
    <t>Miss. Ford Robina</t>
  </si>
  <si>
    <t>Mr. Ford Arthur</t>
  </si>
  <si>
    <t>Mr. Ford Edward</t>
  </si>
  <si>
    <t>Mr. Ford William</t>
  </si>
  <si>
    <t>Mrs. Ford Edward</t>
  </si>
  <si>
    <t>Mr. Fox Patrick</t>
  </si>
  <si>
    <t>Mr. Franklin Charles</t>
  </si>
  <si>
    <t>Mr. Gallagher Martin</t>
  </si>
  <si>
    <t>Mr. Garfirth John</t>
  </si>
  <si>
    <t>Mr. Gheorgheff Stanio</t>
  </si>
  <si>
    <t>Mr. Gilinski Eliezer</t>
  </si>
  <si>
    <t>Miss. Gilnagh Katherine</t>
  </si>
  <si>
    <t>Miss. Glynn Mary</t>
  </si>
  <si>
    <t>Master. Goldsmith Frank</t>
  </si>
  <si>
    <t>Mr. Goldsmith Frank</t>
  </si>
  <si>
    <t>Mr. Goldsmith Nathan</t>
  </si>
  <si>
    <t>Mrs. Goldsmith Frank</t>
  </si>
  <si>
    <t>Mr. Goncalves Manuel</t>
  </si>
  <si>
    <t>Master. Goodwin Harold</t>
  </si>
  <si>
    <t>Master. Goodwin Sidney</t>
  </si>
  <si>
    <t>Master. Goodwin William</t>
  </si>
  <si>
    <t>Miss. Goodwin Jessie</t>
  </si>
  <si>
    <t>Miss. Goodwin Lillian</t>
  </si>
  <si>
    <t>Mr. Goodwin Charles</t>
  </si>
  <si>
    <t>Mrs. Goodwin Frederick</t>
  </si>
  <si>
    <t>Mr. Green George</t>
  </si>
  <si>
    <t>Mr. Gronnestad Daniel</t>
  </si>
  <si>
    <t>Mr. Guest Robert</t>
  </si>
  <si>
    <t>Mr. Gustafsson Alfred</t>
  </si>
  <si>
    <t>Mr. Gustafsson Anders</t>
  </si>
  <si>
    <t>Mr. Gustafsson Johan</t>
  </si>
  <si>
    <t>Mr. Gustafsson Karl</t>
  </si>
  <si>
    <t>Miss. Haas Aloisia</t>
  </si>
  <si>
    <t>Miss. Hagardon Kate</t>
  </si>
  <si>
    <t>Mr. Hagland Ingvald</t>
  </si>
  <si>
    <t>Mr. Hagland Konrad</t>
  </si>
  <si>
    <t>Mr. Hakkarainen Pekka</t>
  </si>
  <si>
    <t>Mrs. Hakkarainen Pekka</t>
  </si>
  <si>
    <t>Mr. Hampe Leon</t>
  </si>
  <si>
    <t>Mr. Hanna Mansour</t>
  </si>
  <si>
    <t>Mr. Hansen Claus</t>
  </si>
  <si>
    <t>Mr. Hansen Henrik</t>
  </si>
  <si>
    <t>Mr. Hansen Henry</t>
  </si>
  <si>
    <t>Mrs. Hansen Claus</t>
  </si>
  <si>
    <t>Miss. Harknett Alice</t>
  </si>
  <si>
    <t>Mr. Harmer Abraham</t>
  </si>
  <si>
    <t>Mr. Hart Henry</t>
  </si>
  <si>
    <t>Mr. Hassan Houssein</t>
  </si>
  <si>
    <t>Miss. Healy Hanora</t>
  </si>
  <si>
    <t>Mr. Hedman Oskar</t>
  </si>
  <si>
    <t>Mr. Hee Ling</t>
  </si>
  <si>
    <t>Miss. Hegarty Hanora</t>
  </si>
  <si>
    <t>Miss. Heikkinen Laina</t>
  </si>
  <si>
    <t>Miss. Heininen Wendla</t>
  </si>
  <si>
    <t>Miss. Hellstrom Hilda</t>
  </si>
  <si>
    <t>Mr. Hendekovic Ignjac</t>
  </si>
  <si>
    <t>Miss. Henriksson Jenny</t>
  </si>
  <si>
    <t>Miss. Henry Delia</t>
  </si>
  <si>
    <t>Miss. Hirvonen Hildur</t>
  </si>
  <si>
    <t>Mrs. Hirvonen Alexander</t>
  </si>
  <si>
    <t>Mr. Holm John</t>
  </si>
  <si>
    <t>Mr. Holthen Johan</t>
  </si>
  <si>
    <t>Miss. Honkanen Eliina</t>
  </si>
  <si>
    <t>Mr. Horgan John</t>
  </si>
  <si>
    <t>Miss. Howard May</t>
  </si>
  <si>
    <t>Mr. Humblen Adolf</t>
  </si>
  <si>
    <t>Mr. Hyman Abraham</t>
  </si>
  <si>
    <t>Shawah Ibrahim Mr.</t>
  </si>
  <si>
    <t>Mr. Ilieff Ylio</t>
  </si>
  <si>
    <t>Miss. Ilmakangas Ida</t>
  </si>
  <si>
    <t>Miss. Ilmakangas Pieta</t>
  </si>
  <si>
    <t>Mr. Ivanoff Kanio</t>
  </si>
  <si>
    <t>Mr. Jalsevac Ivan</t>
  </si>
  <si>
    <t>Mr. Jansson Carl</t>
  </si>
  <si>
    <t>Mr. Jardin Jose</t>
  </si>
  <si>
    <t>Mr. Jensen Hans</t>
  </si>
  <si>
    <t>Mr. Jensen Niels</t>
  </si>
  <si>
    <t>Mr. Jensen Svend</t>
  </si>
  <si>
    <t>Miss. Jermyn Annie</t>
  </si>
  <si>
    <t>Mr. Johannesen-Bratthammer Bernt</t>
  </si>
  <si>
    <t>Mr. Johanson Jakob</t>
  </si>
  <si>
    <t>Palmquist Johansson Mr.</t>
  </si>
  <si>
    <t>Mr. Johansson Erik</t>
  </si>
  <si>
    <t>Mr. Johansson Gustaf</t>
  </si>
  <si>
    <t>Mr. Johansson Karl</t>
  </si>
  <si>
    <t>Mr. Johansson Nils</t>
  </si>
  <si>
    <t>Master. Johnson Harold</t>
  </si>
  <si>
    <t>Miss. Johnson Eleanor</t>
  </si>
  <si>
    <t>Mr. Johnson Alfred</t>
  </si>
  <si>
    <t>Mr. Johnson Malkolm</t>
  </si>
  <si>
    <t>Mr. Johnson William</t>
  </si>
  <si>
    <t>Mrs. Johnson Oscar</t>
  </si>
  <si>
    <t>Master. Johnston William</t>
  </si>
  <si>
    <t>Miss. Johnston Catherine</t>
  </si>
  <si>
    <t>Mr. Johnston Andrew</t>
  </si>
  <si>
    <t>Mrs. Johnston Andrew</t>
  </si>
  <si>
    <t>Mr. Jonkoff Lalio</t>
  </si>
  <si>
    <t>Mr. Jonsson Carl</t>
  </si>
  <si>
    <t>Mr. Jonsson Nils</t>
  </si>
  <si>
    <t>Miss. Jussila Katriina</t>
  </si>
  <si>
    <t>Miss. Jussila Mari</t>
  </si>
  <si>
    <t>Mr. Jussila Eiriik</t>
  </si>
  <si>
    <t>Mr. Kallio Nikolai</t>
  </si>
  <si>
    <t>Mr. Kalvik Johannes</t>
  </si>
  <si>
    <t>Mr. Karaic Milan</t>
  </si>
  <si>
    <t>Mr. Karlsson Einar</t>
  </si>
  <si>
    <t>Mr. Karlsson Julius</t>
  </si>
  <si>
    <t>Mr. Karlsson Nils</t>
  </si>
  <si>
    <t>Miss. Karun Manca</t>
  </si>
  <si>
    <t>Mr. Karun Franz</t>
  </si>
  <si>
    <t>Mr. Kassem Fared</t>
  </si>
  <si>
    <t>Mr. Katavelas Vassilios</t>
  </si>
  <si>
    <t>Mr. Keane Andrew</t>
  </si>
  <si>
    <t>Mr. Keefe Arthur</t>
  </si>
  <si>
    <t>Miss. Kelly Anna</t>
  </si>
  <si>
    <t>Miss. Kelly Mary</t>
  </si>
  <si>
    <t>Mr. Kelly James</t>
  </si>
  <si>
    <t>Mr. Kennedy John</t>
  </si>
  <si>
    <t>Mr. Khalil Betros</t>
  </si>
  <si>
    <t>Mrs. Khalil Betros</t>
  </si>
  <si>
    <t>Mr. Kiernan John</t>
  </si>
  <si>
    <t>Mr. Kiernan Philip</t>
  </si>
  <si>
    <t>Mr. Kilgannon Thomas</t>
  </si>
  <si>
    <t>Miss. Kink Maria</t>
  </si>
  <si>
    <t>Mr. Kink Vincenz</t>
  </si>
  <si>
    <t>Miss. Kink-Heilmann Luise</t>
  </si>
  <si>
    <t>Mr. Kink-Heilmann Anton</t>
  </si>
  <si>
    <t>Mrs. Kink-Heilmann Anton</t>
  </si>
  <si>
    <t>Miss. Klasen Gertrud</t>
  </si>
  <si>
    <t>Mr. Klasen Klas</t>
  </si>
  <si>
    <t>Mrs. Klasen (Hulda</t>
  </si>
  <si>
    <t>Mr. Kraeff Theodor</t>
  </si>
  <si>
    <t>Mr. Krekorian Neshan</t>
  </si>
  <si>
    <t>Mr. Lahoud Sarkis</t>
  </si>
  <si>
    <t>Miss. Laitinen Kristina</t>
  </si>
  <si>
    <t>Mr. Laleff Kristo</t>
  </si>
  <si>
    <t>Mr. Lam Ali</t>
  </si>
  <si>
    <t>Mr. Lam Len</t>
  </si>
  <si>
    <t>Miss. Landergren Aurora</t>
  </si>
  <si>
    <t>Mr. Lane Patrick</t>
  </si>
  <si>
    <t>Mr. Lang Fang</t>
  </si>
  <si>
    <t>Mr. Larsson August</t>
  </si>
  <si>
    <t>Mr. Larsson Bengt</t>
  </si>
  <si>
    <t>Mr. Larsson-Rondberg Edvard</t>
  </si>
  <si>
    <t>Mr. Leeni Fahim</t>
  </si>
  <si>
    <t>Master. Lefebre Henry</t>
  </si>
  <si>
    <t>Miss. Lefebre Ida</t>
  </si>
  <si>
    <t>Miss. Lefebre Jeannie</t>
  </si>
  <si>
    <t>Miss. Lefebre Mathilde</t>
  </si>
  <si>
    <t>Mrs. Lefebre Frank</t>
  </si>
  <si>
    <t>Mr. Leinonen Antti</t>
  </si>
  <si>
    <t>Mr. Lemberopolous Peter</t>
  </si>
  <si>
    <t>Miss. Lennon Mary</t>
  </si>
  <si>
    <t>Mr. Lennon Denis</t>
  </si>
  <si>
    <t>Mr. Leonard Lionel</t>
  </si>
  <si>
    <t>Mr. Lester James</t>
  </si>
  <si>
    <t>Mr. Lievens Rene</t>
  </si>
  <si>
    <t>Miss. Lindahl Agda</t>
  </si>
  <si>
    <t>Miss. Lindblom Augusta</t>
  </si>
  <si>
    <t>Mr. Lindell Edvard</t>
  </si>
  <si>
    <t>Mrs. Lindell Edvard</t>
  </si>
  <si>
    <t>Mr. Lindqvist Eino</t>
  </si>
  <si>
    <t>Mr. Linehan Michael</t>
  </si>
  <si>
    <t>Mr. Ling Lee</t>
  </si>
  <si>
    <t>Mr. Lithman Simon</t>
  </si>
  <si>
    <t>Mr. Lobb William</t>
  </si>
  <si>
    <t>Mrs. Lobb William</t>
  </si>
  <si>
    <t>Mr. Lockyer Edward</t>
  </si>
  <si>
    <t>Mr. Lovell John</t>
  </si>
  <si>
    <t>Mr. Lulic Nikola</t>
  </si>
  <si>
    <t>Mr. Lundahl Johan</t>
  </si>
  <si>
    <t>Miss. Lundin Olga</t>
  </si>
  <si>
    <t>Mr. Lundstrom Thure</t>
  </si>
  <si>
    <t>Mr. Lyntakoff Stanko</t>
  </si>
  <si>
    <t>Mr. MacKay George</t>
  </si>
  <si>
    <t>Miss. Madigan Margaret</t>
  </si>
  <si>
    <t>Mr. Madsen Fridtjof</t>
  </si>
  <si>
    <t>Mr. Maenpaa Matti</t>
  </si>
  <si>
    <t>Miss. Mahon Bridget</t>
  </si>
  <si>
    <t>Mr. Mahon John</t>
  </si>
  <si>
    <t>Mr. Maisner Simon</t>
  </si>
  <si>
    <t>Mr. Makinen Kalle</t>
  </si>
  <si>
    <t>Mr. Mamee Hanna</t>
  </si>
  <si>
    <t>Miss. Mangan Mary</t>
  </si>
  <si>
    <t>Miss. Mannion Margareth</t>
  </si>
  <si>
    <t>Mr. Mardirosian Sarkis</t>
  </si>
  <si>
    <t>Mr. Markoff Marin</t>
  </si>
  <si>
    <t>Mr. Markun Johann</t>
  </si>
  <si>
    <t>Mrs. Masselmani Fatima</t>
  </si>
  <si>
    <t>Mr. Matinoff Nicola</t>
  </si>
  <si>
    <t>Miss. McCarthy Catherine</t>
  </si>
  <si>
    <t>Mr. McCormack Thomas</t>
  </si>
  <si>
    <t>Miss. McCoy Agnes</t>
  </si>
  <si>
    <t>Miss. McCoy Alicia</t>
  </si>
  <si>
    <t>Mr. McCoy Bernard</t>
  </si>
  <si>
    <t>Miss. McDermott Brigdet</t>
  </si>
  <si>
    <t>Mr. McEvoy Michael</t>
  </si>
  <si>
    <t>Miss. McGovern Mary</t>
  </si>
  <si>
    <t>Miss. McGowan Anna</t>
  </si>
  <si>
    <t>Miss. McGowan Katherine</t>
  </si>
  <si>
    <t>Mr. McMahon Martin</t>
  </si>
  <si>
    <t>Mr. McNamee Neal</t>
  </si>
  <si>
    <t>Mrs. McNamee Neal</t>
  </si>
  <si>
    <t>Miss. McNeill Bridget</t>
  </si>
  <si>
    <t>Miss. Meanwell (Marion</t>
  </si>
  <si>
    <t>Mrs. Meek Thomas</t>
  </si>
  <si>
    <t>Mr. Meo Alfonzo</t>
  </si>
  <si>
    <t>Mr. Mernagh Robert</t>
  </si>
  <si>
    <t>Mr. Midtsjo Karl</t>
  </si>
  <si>
    <t>Mr. Miles Frank</t>
  </si>
  <si>
    <t>Mr. Mineff Ivan</t>
  </si>
  <si>
    <t>Mr. Minkoff Lazar</t>
  </si>
  <si>
    <t>Mr. Mionoff Stoytcho</t>
  </si>
  <si>
    <t>Mr. Mitkoff Mito</t>
  </si>
  <si>
    <t>Miss. Mockler Helen</t>
  </si>
  <si>
    <t>Mr. Moen Sigurd</t>
  </si>
  <si>
    <t>Master. Moor Meier</t>
  </si>
  <si>
    <t>Mrs. Moor (Beila)</t>
  </si>
  <si>
    <t>Mr. Moore Leonard</t>
  </si>
  <si>
    <t>Miss. Moran Bertha</t>
  </si>
  <si>
    <t>Mr. Moran Daniel</t>
  </si>
  <si>
    <t>Mr. Moran James</t>
  </si>
  <si>
    <t>Mr. Morley William</t>
  </si>
  <si>
    <t>Mr. Morrow Thomas</t>
  </si>
  <si>
    <t>Mr. Moss Albert</t>
  </si>
  <si>
    <t>Master. Moubarek Gerios</t>
  </si>
  <si>
    <t>Master. Moubarek Halim</t>
  </si>
  <si>
    <t>Mrs. Moubarek George</t>
  </si>
  <si>
    <t>Mrs. Moussa (Mantoura</t>
  </si>
  <si>
    <t>Mr. Moutal Rahamin</t>
  </si>
  <si>
    <t>Miss. Mullens Katherine</t>
  </si>
  <si>
    <t>Miss. Mulvihill Bertha</t>
  </si>
  <si>
    <t>Mr. Murdlin Joseph</t>
  </si>
  <si>
    <t>Miss. Murphy Katherine</t>
  </si>
  <si>
    <t>Miss. Murphy Margaret</t>
  </si>
  <si>
    <t>Miss. Murphy Nora</t>
  </si>
  <si>
    <t>Mr. Myhrman Pehr</t>
  </si>
  <si>
    <t>Mr. Naidenoff Penko</t>
  </si>
  <si>
    <t>Miss. Najib Adele</t>
  </si>
  <si>
    <t>Miss. Nakid Maria</t>
  </si>
  <si>
    <t>Mr. Nakid Sahid</t>
  </si>
  <si>
    <t>Mrs. Nakid Said</t>
  </si>
  <si>
    <t>Mr. Nancarrow William</t>
  </si>
  <si>
    <t>Mr. Nankoff Minko</t>
  </si>
  <si>
    <t>Mr. Nasr Mustafa</t>
  </si>
  <si>
    <t>Miss. Naughton Hannah</t>
  </si>
  <si>
    <t>Mr. Nenkoff Christo</t>
  </si>
  <si>
    <t>Master. Nicola-Yarred Elias</t>
  </si>
  <si>
    <t>Miss. Nicola-Yarred Jamila</t>
  </si>
  <si>
    <t>Miss. Nieminen Manta</t>
  </si>
  <si>
    <t>Mr. Niklasson Samuel</t>
  </si>
  <si>
    <t>Miss. Nilsson Berta</t>
  </si>
  <si>
    <t>Miss. Nilsson Helmina</t>
  </si>
  <si>
    <t>Mr. Nilsson August</t>
  </si>
  <si>
    <t>Mr. Nirva Iisakki</t>
  </si>
  <si>
    <t>Mr. Niskanen Juha</t>
  </si>
  <si>
    <t>Mr. Nosworthy Richard</t>
  </si>
  <si>
    <t>Mr. Novel Mansouer</t>
  </si>
  <si>
    <t>Miss. Nysten Anna</t>
  </si>
  <si>
    <t>Mr. Nysveen Johan</t>
  </si>
  <si>
    <t>Mr. O'Brien Thomas</t>
  </si>
  <si>
    <t>Mr. O'Brien Timothy</t>
  </si>
  <si>
    <t>Mrs. O'Brien Thomas</t>
  </si>
  <si>
    <t>Mr. O'Connell Patrick</t>
  </si>
  <si>
    <t>Mr. O'Connor Maurice</t>
  </si>
  <si>
    <t>Mr. O'Connor Patrick</t>
  </si>
  <si>
    <t>Mr. Odahl Nils</t>
  </si>
  <si>
    <t>Ms. O'Donoghue Bridget</t>
  </si>
  <si>
    <t>Miss. O'Driscoll Bridget</t>
  </si>
  <si>
    <t>Miss. O'Dwyer Ellen</t>
  </si>
  <si>
    <t>Miss. Ohman Velin</t>
  </si>
  <si>
    <t>Mr. O'Keefe Patrick</t>
  </si>
  <si>
    <t>Miss. O'Leary Hanora</t>
  </si>
  <si>
    <t>Master. Olsen Artur</t>
  </si>
  <si>
    <t>Mr. Olsen Henry</t>
  </si>
  <si>
    <t>Mr. Olsen Karl</t>
  </si>
  <si>
    <t>Mr. Olsen Ole</t>
  </si>
  <si>
    <t>Miss. Olsson Elina</t>
  </si>
  <si>
    <t>Mr. Olsson Nils</t>
  </si>
  <si>
    <t>Mr. Olsson Oscar</t>
  </si>
  <si>
    <t>Mr. Olsvigen Thor</t>
  </si>
  <si>
    <t>Miss. Oreskovic Jelka</t>
  </si>
  <si>
    <t>Miss. Oreskovic Marija</t>
  </si>
  <si>
    <t>Mr. Oreskovic Luka</t>
  </si>
  <si>
    <t>Mr. Osen Olaf</t>
  </si>
  <si>
    <t>Mrs. Osman Mara</t>
  </si>
  <si>
    <t>Miss. O'Sullivan Bridget</t>
  </si>
  <si>
    <t>Master. Palsson Gosta</t>
  </si>
  <si>
    <t>Master. Palsson Paul</t>
  </si>
  <si>
    <t>Miss. Palsson Stina</t>
  </si>
  <si>
    <t>Miss. Palsson Torborg</t>
  </si>
  <si>
    <t>Mrs. Palsson Nils</t>
  </si>
  <si>
    <t>Master. Panula Eino</t>
  </si>
  <si>
    <t>Master. Panula Juha</t>
  </si>
  <si>
    <t>Master. Panula Urho</t>
  </si>
  <si>
    <t>Mr. Panula Ernesti</t>
  </si>
  <si>
    <t>Mr. Panula Jaako</t>
  </si>
  <si>
    <t>Mrs. Panula Juha</t>
  </si>
  <si>
    <t>Mr. Pasic Jakob</t>
  </si>
  <si>
    <t>Mr. Patchett George</t>
  </si>
  <si>
    <t>Mr. Paulner Uscher</t>
  </si>
  <si>
    <t>Mr. Pavlovic Stefo</t>
  </si>
  <si>
    <t>Master. Peacock Alfred</t>
  </si>
  <si>
    <t>Miss. Peacock Treasteall</t>
  </si>
  <si>
    <t>Mrs. Peacock Benjamin</t>
  </si>
  <si>
    <t>Mr. Pearce Ernest</t>
  </si>
  <si>
    <t>Mr. Pedersen Olaf</t>
  </si>
  <si>
    <t>Mr. Peduzzi Joseph</t>
  </si>
  <si>
    <t>Mr. Pekoniemi Edvard</t>
  </si>
  <si>
    <t>Mr. Peltomaki Nikolai</t>
  </si>
  <si>
    <t>Mr. Perkin John</t>
  </si>
  <si>
    <t>Mr. Persson Ernst</t>
  </si>
  <si>
    <t>Master. Peter Michael</t>
  </si>
  <si>
    <t>Miss. Peter Anna</t>
  </si>
  <si>
    <t>Mrs. Peter Catherine</t>
  </si>
  <si>
    <t>Miss. Peters Katie</t>
  </si>
  <si>
    <t>Mr. Petersen Marius</t>
  </si>
  <si>
    <t>Miss. Petranec Matilda</t>
  </si>
  <si>
    <t>Mr. Petroff Nedelio</t>
  </si>
  <si>
    <t>Mr. Petroff Pastcho</t>
  </si>
  <si>
    <t>Mr. Petterson Johan</t>
  </si>
  <si>
    <t>Miss. Pettersson Ellen</t>
  </si>
  <si>
    <t>Mr. Pickard Berk</t>
  </si>
  <si>
    <t>Mr. Plotcharsky Vasil</t>
  </si>
  <si>
    <t>Mr. Pokrnic Mate</t>
  </si>
  <si>
    <t>Mr. Pokrnic Tome</t>
  </si>
  <si>
    <t>Mr. Radeff Alexander</t>
  </si>
  <si>
    <t>Mrs. Rasmussen (Lena</t>
  </si>
  <si>
    <t>Mr. Razi Raihed</t>
  </si>
  <si>
    <t>Mr. Reed James</t>
  </si>
  <si>
    <t>Mr. Rekic Tido</t>
  </si>
  <si>
    <t>Mr. Reynolds Harold</t>
  </si>
  <si>
    <t>Master. Rice Albert</t>
  </si>
  <si>
    <t>Master. Rice Arthur</t>
  </si>
  <si>
    <t>Master. Rice Eric</t>
  </si>
  <si>
    <t>Master. Rice Eugene</t>
  </si>
  <si>
    <t>Master. Rice George</t>
  </si>
  <si>
    <t>Mrs. Rice William</t>
  </si>
  <si>
    <t>Miss. Riihivouri Susanna</t>
  </si>
  <si>
    <t>Mr. Rintamaki Matti</t>
  </si>
  <si>
    <t>Miss. Riordan Johanna</t>
  </si>
  <si>
    <t>Mr. Risien Samuel</t>
  </si>
  <si>
    <t>Mrs. Risien Samuel</t>
  </si>
  <si>
    <t>Mr. Robins Alexander</t>
  </si>
  <si>
    <t>Mrs. Robins Alexander</t>
  </si>
  <si>
    <t>Mr. Rogers William</t>
  </si>
  <si>
    <t>Mr. Rommetvedt Knud</t>
  </si>
  <si>
    <t>Miss. Rosblom Salli</t>
  </si>
  <si>
    <t>Mr. Rosblom Viktor</t>
  </si>
  <si>
    <t>Mrs. Rosblom Viktor</t>
  </si>
  <si>
    <t>Miss. Roth Sarah</t>
  </si>
  <si>
    <t>Mr. Rouse Richard</t>
  </si>
  <si>
    <t>Mr. Rush Alfred</t>
  </si>
  <si>
    <t>Mr. Ryan Edward</t>
  </si>
  <si>
    <t>Mr. Ryan Patrick</t>
  </si>
  <si>
    <t>Mr. Saad Amin</t>
  </si>
  <si>
    <t>Mr. Saad Khalil</t>
  </si>
  <si>
    <t>Mr. Saade Jean</t>
  </si>
  <si>
    <t>Mr. Sadlier Matthew</t>
  </si>
  <si>
    <t>Mr. Sadowitz Harry</t>
  </si>
  <si>
    <t>Mr. Saether Simon</t>
  </si>
  <si>
    <t>Master. Sage Thomas</t>
  </si>
  <si>
    <t>Master. Sage William</t>
  </si>
  <si>
    <t>Miss. Sage Ada</t>
  </si>
  <si>
    <t>Miss. Sage Constance</t>
  </si>
  <si>
    <t>Miss. Sage Dorothy</t>
  </si>
  <si>
    <t>Miss. Sage Stella</t>
  </si>
  <si>
    <t>Mr. Sage Douglas</t>
  </si>
  <si>
    <t>Mr. Sage Frederick</t>
  </si>
  <si>
    <t>Mr. Sage George</t>
  </si>
  <si>
    <t>Mr. Sage John</t>
  </si>
  <si>
    <t>Mrs. Sage John</t>
  </si>
  <si>
    <t>Mr. Salander Karl</t>
  </si>
  <si>
    <t>Miss. Salkjelsvik Anna</t>
  </si>
  <si>
    <t>Mr. Salonen Johan</t>
  </si>
  <si>
    <t>Mr. Samaan Elias</t>
  </si>
  <si>
    <t>Mr. Samaan Hanna</t>
  </si>
  <si>
    <t>Mr. Samaan Youssef</t>
  </si>
  <si>
    <t>Miss. Sandstrom Beatrice</t>
  </si>
  <si>
    <t>Mrs. Sandstrom Hjalmar</t>
  </si>
  <si>
    <t>Miss. Sandstrom Marguerite</t>
  </si>
  <si>
    <t>Mr. Sap Julius</t>
  </si>
  <si>
    <t>Mr. Saundercock William</t>
  </si>
  <si>
    <t>Mr. Sawyer Frederick</t>
  </si>
  <si>
    <t>Mr. Scanlan James</t>
  </si>
  <si>
    <t>Mr. Sdycoff Todor</t>
  </si>
  <si>
    <t>Mr. Shaughnessy Patrick</t>
  </si>
  <si>
    <t>Mr. Sheerlinck Jan</t>
  </si>
  <si>
    <t>Mr. Shellard Frederick</t>
  </si>
  <si>
    <t>Miss. Shine Ellen</t>
  </si>
  <si>
    <t>Mr. Shorney Charles</t>
  </si>
  <si>
    <t>Mr. Simmons John</t>
  </si>
  <si>
    <t>Mr. Sirayanian Orsen</t>
  </si>
  <si>
    <t>Mr. Sirota Maurice</t>
  </si>
  <si>
    <t>Mr. Sivic Husein</t>
  </si>
  <si>
    <t>Mr. Sivola Antti</t>
  </si>
  <si>
    <t>Miss. Sjoblom Anna</t>
  </si>
  <si>
    <t>Master. Skoog Harald</t>
  </si>
  <si>
    <t>Master. Skoog Karl</t>
  </si>
  <si>
    <t>Miss. Skoog Mabel</t>
  </si>
  <si>
    <t>Miss. Skoog Margit</t>
  </si>
  <si>
    <t>Mr. Skoog Wilhelm</t>
  </si>
  <si>
    <t>Mrs. Skoog William</t>
  </si>
  <si>
    <t>Mr. Slabenoff Petco</t>
  </si>
  <si>
    <t>Mr. Slocovski Selman</t>
  </si>
  <si>
    <t>Mr. Smiljanic Mile</t>
  </si>
  <si>
    <t>Mr. Smith Thomas</t>
  </si>
  <si>
    <t>Miss. Smyth Julia</t>
  </si>
  <si>
    <t>Mr. Soholt Peter</t>
  </si>
  <si>
    <t>Mr. Somerton Francis</t>
  </si>
  <si>
    <t>Mr. Spector Woolf</t>
  </si>
  <si>
    <t>Mr. Spinner Henry</t>
  </si>
  <si>
    <t>Mr. Staneff Ivan</t>
  </si>
  <si>
    <t>Mr. Stankovic Ivan</t>
  </si>
  <si>
    <t>Miss. Stanley Amy</t>
  </si>
  <si>
    <t>Mr. Stanley Edward</t>
  </si>
  <si>
    <t>Mr. Storey Thomas</t>
  </si>
  <si>
    <t>Mr. Stoytcheff Ilia</t>
  </si>
  <si>
    <t>Miss. Strandberg Ida</t>
  </si>
  <si>
    <t>Mr. Stranden Juho</t>
  </si>
  <si>
    <t>Mr. Strilic Ivan</t>
  </si>
  <si>
    <t>Miss. Strom Telma</t>
  </si>
  <si>
    <t>Mrs. Strom Wilhelm</t>
  </si>
  <si>
    <t>Mr. Sunderland Victor</t>
  </si>
  <si>
    <t>Mr. Sundman Johan</t>
  </si>
  <si>
    <t>Mr. Sutehall Henry</t>
  </si>
  <si>
    <t>Mr. Svensson Johan</t>
  </si>
  <si>
    <t>Mr. Svensson Olof</t>
  </si>
  <si>
    <t>Mr. Tenglin Gunnar</t>
  </si>
  <si>
    <t>Mr. Theobald Thomas</t>
  </si>
  <si>
    <t>Master. Thomas Assad</t>
  </si>
  <si>
    <t>Mr. Thomas Charles</t>
  </si>
  <si>
    <t>Mr. Thomas John</t>
  </si>
  <si>
    <t>Mr. Thomas Tannous</t>
  </si>
  <si>
    <t>Mrs. Thomas Alexander</t>
  </si>
  <si>
    <t>Mr. Thomson Alexander</t>
  </si>
  <si>
    <t>Mr. Thorneycroft Percival</t>
  </si>
  <si>
    <t>Mrs. Thorneycroft Percival</t>
  </si>
  <si>
    <t>Mr. Tikkanen Juho</t>
  </si>
  <si>
    <t>Mr. Tobin Roger</t>
  </si>
  <si>
    <t>Mr. Todoroff Lalio</t>
  </si>
  <si>
    <t>Mr. Tomlin Ernest</t>
  </si>
  <si>
    <t>Mr. Torber Ernst</t>
  </si>
  <si>
    <t>Mr. Torfa Assad</t>
  </si>
  <si>
    <t>Mr. Tornquist William</t>
  </si>
  <si>
    <t>Mr. Toufik Nakli</t>
  </si>
  <si>
    <t>Master. Touma Georges</t>
  </si>
  <si>
    <t>Miss. Touma Maria</t>
  </si>
  <si>
    <t>Mrs. Touma Darwis</t>
  </si>
  <si>
    <t>Mr. Turcin Stjepan</t>
  </si>
  <si>
    <t>Miss. Turja Anna</t>
  </si>
  <si>
    <t>Mrs. Turkula (Hedwig)</t>
  </si>
  <si>
    <t>Billiard van Master.</t>
  </si>
  <si>
    <t>Billiard van Mr.</t>
  </si>
  <si>
    <t>Impe Van Miss.</t>
  </si>
  <si>
    <t>Impe Van Mr.</t>
  </si>
  <si>
    <t>Impe Van Mrs.</t>
  </si>
  <si>
    <t>Melkebeke van Mr.</t>
  </si>
  <si>
    <t>Velde Vande Mr.</t>
  </si>
  <si>
    <t>Walle Vande Mr.</t>
  </si>
  <si>
    <t>Steen Vanden Mr.</t>
  </si>
  <si>
    <t>Cruyssen Vander Mr.</t>
  </si>
  <si>
    <t>Planke Vander Miss.</t>
  </si>
  <si>
    <t>Planke Vander Mr.</t>
  </si>
  <si>
    <t>Planke Vander Mrs.</t>
  </si>
  <si>
    <t>Mr. Vartanian David</t>
  </si>
  <si>
    <t>Mr. Vendel Olof</t>
  </si>
  <si>
    <t>Miss. Vestrom Hulda</t>
  </si>
  <si>
    <t>Mr. Vovk Janko</t>
  </si>
  <si>
    <t>Mr. Waelens Achille</t>
  </si>
  <si>
    <t>Mr. Ware Frederick</t>
  </si>
  <si>
    <t>Mr. Warren Charles</t>
  </si>
  <si>
    <t>Mr. Webber James</t>
  </si>
  <si>
    <t>Mr. Wenzel Linhart</t>
  </si>
  <si>
    <t>Mrs. Whabee George</t>
  </si>
  <si>
    <t>Mr. Widegren Carl/Charles</t>
  </si>
  <si>
    <t>Mr. Wiklund Jakob</t>
  </si>
  <si>
    <t>Mr. Wiklund Karl</t>
  </si>
  <si>
    <t>Mrs. Wilkes James</t>
  </si>
  <si>
    <t>Mr. Willer Aaron</t>
  </si>
  <si>
    <t>Mr. Willey Edward</t>
  </si>
  <si>
    <t>Mr. Williams Howard</t>
  </si>
  <si>
    <t>Mr. Williams Leslie</t>
  </si>
  <si>
    <t>Mr. Windelov Einar</t>
  </si>
  <si>
    <t>Mr. Wirz Albert</t>
  </si>
  <si>
    <t>Mr. Wiseman Phillippe</t>
  </si>
  <si>
    <t>Mr. Wittevrongel Camille</t>
  </si>
  <si>
    <t>Mr. Yasbeck Antoni</t>
  </si>
  <si>
    <t>Mrs. Yasbeck Antoni</t>
  </si>
  <si>
    <t>Mr. Youseff Gerious</t>
  </si>
  <si>
    <t>Mr. Yousif Wazli</t>
  </si>
  <si>
    <t>Mr. Yousseff Gerious</t>
  </si>
  <si>
    <t>Miss. Zabour Hileni</t>
  </si>
  <si>
    <t>Miss. Zabour Thamine</t>
  </si>
  <si>
    <t>Mr. Zakarian Mapriededer</t>
  </si>
  <si>
    <t>Mr. Zakarian Ortin</t>
  </si>
  <si>
    <t>Mr. Zimmerman Leo</t>
  </si>
  <si>
    <t>Gender</t>
  </si>
  <si>
    <t>Female</t>
  </si>
  <si>
    <t>Male</t>
  </si>
  <si>
    <t>Sibling/Spouse</t>
  </si>
  <si>
    <t>Parent/Children</t>
  </si>
  <si>
    <t>Young Adult</t>
  </si>
  <si>
    <t>Child</t>
  </si>
  <si>
    <t>Adult</t>
  </si>
  <si>
    <t>Age Grade</t>
  </si>
  <si>
    <t>Old Adult</t>
  </si>
  <si>
    <t>Teenager</t>
  </si>
  <si>
    <t>Unknown</t>
  </si>
  <si>
    <t>Decks</t>
  </si>
  <si>
    <t>decks</t>
  </si>
  <si>
    <t>E</t>
  </si>
  <si>
    <t>G</t>
  </si>
  <si>
    <t>Cherbourg</t>
  </si>
  <si>
    <t>Queenstown</t>
  </si>
  <si>
    <t>Boat</t>
  </si>
  <si>
    <t>Not Applicable</t>
  </si>
  <si>
    <t>body not found</t>
  </si>
  <si>
    <t>body found</t>
  </si>
  <si>
    <t>Body Count</t>
  </si>
  <si>
    <t>Not Found</t>
  </si>
  <si>
    <t>Found</t>
  </si>
  <si>
    <t>Body</t>
  </si>
  <si>
    <t>Row Labels</t>
  </si>
  <si>
    <t>Grand Total</t>
  </si>
  <si>
    <t>Count of Survival Status</t>
  </si>
  <si>
    <t>Column Labels</t>
  </si>
  <si>
    <t>Average of Fare</t>
  </si>
  <si>
    <t>Fare Range</t>
  </si>
  <si>
    <t>High</t>
  </si>
  <si>
    <t>Low</t>
  </si>
  <si>
    <t>Mid</t>
  </si>
  <si>
    <t>dashboard</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</si>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</sst>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Red]0.00"/>
    <numFmt numFmtId="165" formatCode="_-[$$-409]* #,##0.00_ ;_-[$$-409]* \-#,##0.00\ ;_-[$$-409]* &quot;-&quot;??_ ;_-@_ "/>
    <numFmt numFmtId="166" formatCode="&quot;₦&quot;#,##0.00"/>
    <numFmt numFmtId="167" formatCode="[$$-45C]#,##0.00;[Red][$$-45C]#,##0.00"/>
    <numFmt numFmtId="168" formatCode="[$$-C09]#,##0.00"/>
  </numFmts>
  <fonts count="4">
    <font>
      <sz val="11"/>
      <color theme="1"/>
      <name val="Aptos Narrow"/>
      <family val="2"/>
      <scheme val="minor"/>
    </font>
    <font>
      <b/>
      <sz val="11"/>
      <color theme="1"/>
      <name val="Aptos Narrow"/>
      <family val="2"/>
      <scheme val="minor"/>
    </font>
    <font>
      <b/>
      <sz val="24"/>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Alignment="1"/>
    <xf numFmtId="10" fontId="0" fillId="0" borderId="0" xfId="0" applyNumberFormat="1"/>
    <xf numFmtId="166" fontId="0" fillId="0" borderId="0" xfId="0" applyNumberFormat="1"/>
    <xf numFmtId="167" fontId="0" fillId="0" borderId="0" xfId="0" applyNumberFormat="1" applyAlignment="1">
      <alignment horizontal="center"/>
    </xf>
    <xf numFmtId="168" fontId="0" fillId="0" borderId="0" xfId="0" applyNumberFormat="1"/>
    <xf numFmtId="0" fontId="0" fillId="0" borderId="0" xfId="0" applyBorder="1"/>
  </cellXfs>
  <cellStyles count="1">
    <cellStyle name="Normal" xfId="0" builtinId="0"/>
  </cellStyles>
  <dxfs count="7">
    <dxf>
      <numFmt numFmtId="165" formatCode="_-[$$-409]* #,##0.00_ ;_-[$$-409]* \-#,##0.00\ ;_-[$$-409]* &quot;-&quot;??_ ;_-@_ "/>
    </dxf>
    <dxf>
      <numFmt numFmtId="0" formatCode="General"/>
    </dxf>
    <dxf>
      <numFmt numFmtId="0" formatCode="General"/>
    </dxf>
    <dxf>
      <numFmt numFmtId="168" formatCode="[$$-C09]#,##0.00"/>
    </dxf>
    <dxf>
      <numFmt numFmtId="167" formatCode="[$$-45C]#,##0.00;[Red][$$-45C]#,##0.00"/>
    </dxf>
    <dxf>
      <numFmt numFmtId="165" formatCode="_-[$$-409]* #,##0.00_ ;_-[$$-409]* \-#,##0.00\ ;_-[$$-409]* &quot;-&quot;??_ ;_-@_ "/>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Count of Survival Status By Passenger Class</a:t>
            </a:r>
          </a:p>
          <a:p>
            <a:pPr>
              <a:defRPr/>
            </a:pPr>
            <a:r>
              <a:rPr lang="en-GB"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Charts'!$B$3:$B$4</c:f>
              <c:strCache>
                <c:ptCount val="1"/>
                <c:pt idx="0">
                  <c:v>Died</c:v>
                </c:pt>
              </c:strCache>
            </c:strRef>
          </c:tx>
          <c:spPr>
            <a:solidFill>
              <a:schemeClr val="accent1"/>
            </a:solidFill>
            <a:ln>
              <a:noFill/>
            </a:ln>
            <a:effectLst/>
          </c:spPr>
          <c:invertIfNegative val="0"/>
          <c:cat>
            <c:strRef>
              <c:f>'Pivot Table and Charts'!$A$5:$A$8</c:f>
              <c:strCache>
                <c:ptCount val="3"/>
                <c:pt idx="0">
                  <c:v>First Class</c:v>
                </c:pt>
                <c:pt idx="1">
                  <c:v>Second Class</c:v>
                </c:pt>
                <c:pt idx="2">
                  <c:v>Third Class</c:v>
                </c:pt>
              </c:strCache>
            </c:strRef>
          </c:cat>
          <c:val>
            <c:numRef>
              <c:f>'Pivot Table and Charts'!$B$5:$B$8</c:f>
              <c:numCache>
                <c:formatCode>General</c:formatCode>
                <c:ptCount val="3"/>
                <c:pt idx="0">
                  <c:v>123</c:v>
                </c:pt>
                <c:pt idx="1">
                  <c:v>158</c:v>
                </c:pt>
                <c:pt idx="2">
                  <c:v>528</c:v>
                </c:pt>
              </c:numCache>
            </c:numRef>
          </c:val>
          <c:extLst>
            <c:ext xmlns:c16="http://schemas.microsoft.com/office/drawing/2014/chart" uri="{C3380CC4-5D6E-409C-BE32-E72D297353CC}">
              <c16:uniqueId val="{00000000-B9EC-431A-8AC9-19176E698AED}"/>
            </c:ext>
          </c:extLst>
        </c:ser>
        <c:ser>
          <c:idx val="1"/>
          <c:order val="1"/>
          <c:tx>
            <c:strRef>
              <c:f>'Pivot Table and Charts'!$C$3:$C$4</c:f>
              <c:strCache>
                <c:ptCount val="1"/>
                <c:pt idx="0">
                  <c:v>Survived</c:v>
                </c:pt>
              </c:strCache>
            </c:strRef>
          </c:tx>
          <c:spPr>
            <a:solidFill>
              <a:schemeClr val="accent2"/>
            </a:solidFill>
            <a:ln>
              <a:noFill/>
            </a:ln>
            <a:effectLst/>
          </c:spPr>
          <c:invertIfNegative val="0"/>
          <c:cat>
            <c:strRef>
              <c:f>'Pivot Table and Charts'!$A$5:$A$8</c:f>
              <c:strCache>
                <c:ptCount val="3"/>
                <c:pt idx="0">
                  <c:v>First Class</c:v>
                </c:pt>
                <c:pt idx="1">
                  <c:v>Second Class</c:v>
                </c:pt>
                <c:pt idx="2">
                  <c:v>Third Class</c:v>
                </c:pt>
              </c:strCache>
            </c:strRef>
          </c:cat>
          <c:val>
            <c:numRef>
              <c:f>'Pivot Table and Charts'!$C$5:$C$8</c:f>
              <c:numCache>
                <c:formatCode>General</c:formatCode>
                <c:ptCount val="3"/>
                <c:pt idx="0">
                  <c:v>200</c:v>
                </c:pt>
                <c:pt idx="1">
                  <c:v>119</c:v>
                </c:pt>
                <c:pt idx="2">
                  <c:v>181</c:v>
                </c:pt>
              </c:numCache>
            </c:numRef>
          </c:val>
          <c:extLst>
            <c:ext xmlns:c16="http://schemas.microsoft.com/office/drawing/2014/chart" uri="{C3380CC4-5D6E-409C-BE32-E72D297353CC}">
              <c16:uniqueId val="{00000001-E919-45C5-A998-9201F2AA4A18}"/>
            </c:ext>
          </c:extLst>
        </c:ser>
        <c:dLbls>
          <c:showLegendKey val="0"/>
          <c:showVal val="0"/>
          <c:showCatName val="0"/>
          <c:showSerName val="0"/>
          <c:showPercent val="0"/>
          <c:showBubbleSize val="0"/>
        </c:dLbls>
        <c:gapWidth val="219"/>
        <c:overlap val="-27"/>
        <c:axId val="178597695"/>
        <c:axId val="223994303"/>
      </c:barChart>
      <c:catAx>
        <c:axId val="17859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3994303"/>
        <c:crosses val="autoZero"/>
        <c:auto val="1"/>
        <c:lblAlgn val="ctr"/>
        <c:lblOffset val="100"/>
        <c:noMultiLvlLbl val="0"/>
      </c:catAx>
      <c:valAx>
        <c:axId val="223994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9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Survival Rate by Gender</a:t>
            </a:r>
          </a:p>
          <a:p>
            <a:pPr>
              <a:defRPr/>
            </a:pPr>
            <a:endParaRPr lang="en-US"/>
          </a:p>
        </c:rich>
      </c:tx>
      <c:layout>
        <c:manualLayout>
          <c:xMode val="edge"/>
          <c:yMode val="edge"/>
          <c:x val="0.1329853054911059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52249565534554"/>
          <c:y val="0.1227390180878553"/>
          <c:w val="0.60308810172570393"/>
          <c:h val="0.8578811369509044"/>
        </c:manualLayout>
      </c:layout>
      <c:doughnutChart>
        <c:varyColors val="1"/>
        <c:ser>
          <c:idx val="0"/>
          <c:order val="0"/>
          <c:tx>
            <c:strRef>
              <c:f>'Pivot Table and Charts'!$B$17:$B$18</c:f>
              <c:strCache>
                <c:ptCount val="1"/>
                <c:pt idx="0">
                  <c:v>Died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2C-444B-A27D-FCF1371DEE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2C-444B-A27D-FCF1371DEE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Charts'!$A$19:$A$21</c:f>
              <c:strCache>
                <c:ptCount val="2"/>
                <c:pt idx="0">
                  <c:v>Female</c:v>
                </c:pt>
                <c:pt idx="1">
                  <c:v>Male</c:v>
                </c:pt>
              </c:strCache>
            </c:strRef>
          </c:cat>
          <c:val>
            <c:numRef>
              <c:f>'Pivot Table and Charts'!$B$19:$B$21</c:f>
              <c:numCache>
                <c:formatCode>General</c:formatCode>
                <c:ptCount val="2"/>
                <c:pt idx="0">
                  <c:v>127</c:v>
                </c:pt>
                <c:pt idx="1">
                  <c:v>682</c:v>
                </c:pt>
              </c:numCache>
            </c:numRef>
          </c:val>
          <c:extLst>
            <c:ext xmlns:c16="http://schemas.microsoft.com/office/drawing/2014/chart" uri="{C3380CC4-5D6E-409C-BE32-E72D297353CC}">
              <c16:uniqueId val="{00000000-EB48-44AD-8754-0FEBA49B18FE}"/>
            </c:ext>
          </c:extLst>
        </c:ser>
        <c:ser>
          <c:idx val="1"/>
          <c:order val="1"/>
          <c:tx>
            <c:strRef>
              <c:f>'Pivot Table and Charts'!$C$17:$C$18</c:f>
              <c:strCache>
                <c:ptCount val="1"/>
                <c:pt idx="0">
                  <c:v>Survived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8969-4760-AEB0-E973DF6FEB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8969-4760-AEB0-E973DF6FE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Charts'!$A$19:$A$21</c:f>
              <c:strCache>
                <c:ptCount val="2"/>
                <c:pt idx="0">
                  <c:v>Female</c:v>
                </c:pt>
                <c:pt idx="1">
                  <c:v>Male</c:v>
                </c:pt>
              </c:strCache>
            </c:strRef>
          </c:cat>
          <c:val>
            <c:numRef>
              <c:f>'Pivot Table and Charts'!$C$19:$C$21</c:f>
              <c:numCache>
                <c:formatCode>General</c:formatCode>
                <c:ptCount val="2"/>
                <c:pt idx="0">
                  <c:v>339</c:v>
                </c:pt>
                <c:pt idx="1">
                  <c:v>161</c:v>
                </c:pt>
              </c:numCache>
            </c:numRef>
          </c:val>
          <c:extLst>
            <c:ext xmlns:c16="http://schemas.microsoft.com/office/drawing/2014/chart" uri="{C3380CC4-5D6E-409C-BE32-E72D297353CC}">
              <c16:uniqueId val="{00000009-BD4C-49CD-AE96-E5BE90CA80A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Charts!PivotTable3</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Average Fare</a:t>
            </a:r>
            <a:r>
              <a:rPr lang="en-GB" sz="1400" b="0" i="0" u="none" strike="noStrike" baseline="0">
                <a:effectLst/>
              </a:rPr>
              <a:t> By Pasenger</a:t>
            </a:r>
            <a:endParaRPr lang="en-GB"/>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73165299507274"/>
          <c:y val="0.24119793321798905"/>
          <c:w val="0.82815868643051471"/>
          <c:h val="0.58013760309250051"/>
        </c:manualLayout>
      </c:layout>
      <c:barChart>
        <c:barDir val="col"/>
        <c:grouping val="clustered"/>
        <c:varyColors val="0"/>
        <c:ser>
          <c:idx val="0"/>
          <c:order val="0"/>
          <c:tx>
            <c:strRef>
              <c:f>'Pivot Table and Charts'!$B$29</c:f>
              <c:strCache>
                <c:ptCount val="1"/>
                <c:pt idx="0">
                  <c:v>Total</c:v>
                </c:pt>
              </c:strCache>
            </c:strRef>
          </c:tx>
          <c:spPr>
            <a:solidFill>
              <a:schemeClr val="accent1"/>
            </a:solidFill>
            <a:ln>
              <a:noFill/>
            </a:ln>
            <a:effectLst/>
          </c:spPr>
          <c:invertIfNegative val="0"/>
          <c:cat>
            <c:strRef>
              <c:f>'Pivot Table and Charts'!$A$30:$A$33</c:f>
              <c:strCache>
                <c:ptCount val="3"/>
                <c:pt idx="0">
                  <c:v>First Class</c:v>
                </c:pt>
                <c:pt idx="1">
                  <c:v>Second Class</c:v>
                </c:pt>
                <c:pt idx="2">
                  <c:v>Third Class</c:v>
                </c:pt>
              </c:strCache>
            </c:strRef>
          </c:cat>
          <c:val>
            <c:numRef>
              <c:f>'Pivot Table and Charts'!$B$30:$B$33</c:f>
              <c:numCache>
                <c:formatCode>[$$-C09]#,##0.00</c:formatCode>
                <c:ptCount val="3"/>
                <c:pt idx="0">
                  <c:v>87.508991640866867</c:v>
                </c:pt>
                <c:pt idx="1">
                  <c:v>21.1791963898917</c:v>
                </c:pt>
                <c:pt idx="2">
                  <c:v>13.304512552891381</c:v>
                </c:pt>
              </c:numCache>
            </c:numRef>
          </c:val>
          <c:extLst>
            <c:ext xmlns:c16="http://schemas.microsoft.com/office/drawing/2014/chart" uri="{C3380CC4-5D6E-409C-BE32-E72D297353CC}">
              <c16:uniqueId val="{00000000-0ED5-4121-A15C-57A9624DDBA3}"/>
            </c:ext>
          </c:extLst>
        </c:ser>
        <c:dLbls>
          <c:showLegendKey val="0"/>
          <c:showVal val="0"/>
          <c:showCatName val="0"/>
          <c:showSerName val="0"/>
          <c:showPercent val="0"/>
          <c:showBubbleSize val="0"/>
        </c:dLbls>
        <c:gapWidth val="219"/>
        <c:overlap val="-27"/>
        <c:axId val="373053295"/>
        <c:axId val="234667183"/>
      </c:barChart>
      <c:catAx>
        <c:axId val="37305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4667183"/>
        <c:crosses val="autoZero"/>
        <c:auto val="1"/>
        <c:lblAlgn val="ctr"/>
        <c:lblOffset val="100"/>
        <c:noMultiLvlLbl val="0"/>
      </c:catAx>
      <c:valAx>
        <c:axId val="234667183"/>
        <c:scaling>
          <c:orientation val="minMax"/>
        </c:scaling>
        <c:delete val="0"/>
        <c:axPos val="l"/>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305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Charts!PivotTable4</c:name>
    <c:fmtId val="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Survival Count By Age Grade</a:t>
            </a:r>
            <a:r>
              <a:rPr lang="en-GB" sz="1400" b="0" i="0" u="none" strike="noStrike" baseline="0"/>
              <a:t> </a:t>
            </a: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20005832604259"/>
          <c:y val="0.26339743589743592"/>
          <c:w val="0.83379994167395743"/>
          <c:h val="0.54363264688067836"/>
        </c:manualLayout>
      </c:layout>
      <c:barChart>
        <c:barDir val="col"/>
        <c:grouping val="clustered"/>
        <c:varyColors val="0"/>
        <c:ser>
          <c:idx val="0"/>
          <c:order val="0"/>
          <c:tx>
            <c:strRef>
              <c:f>'Pivot Table and Charts'!$B$43:$B$44</c:f>
              <c:strCache>
                <c:ptCount val="1"/>
                <c:pt idx="0">
                  <c:v>Died</c:v>
                </c:pt>
              </c:strCache>
            </c:strRef>
          </c:tx>
          <c:spPr>
            <a:solidFill>
              <a:schemeClr val="accent1"/>
            </a:solidFill>
            <a:ln>
              <a:noFill/>
            </a:ln>
            <a:effectLst/>
          </c:spPr>
          <c:invertIfNegative val="0"/>
          <c:cat>
            <c:strRef>
              <c:f>'Pivot Table and Charts'!$A$45:$A$50</c:f>
              <c:strCache>
                <c:ptCount val="5"/>
                <c:pt idx="0">
                  <c:v>Adult</c:v>
                </c:pt>
                <c:pt idx="1">
                  <c:v>Child</c:v>
                </c:pt>
                <c:pt idx="2">
                  <c:v>Old Adult</c:v>
                </c:pt>
                <c:pt idx="3">
                  <c:v>Teenager</c:v>
                </c:pt>
                <c:pt idx="4">
                  <c:v>Young Adult</c:v>
                </c:pt>
              </c:strCache>
            </c:strRef>
          </c:cat>
          <c:val>
            <c:numRef>
              <c:f>'Pivot Table and Charts'!$B$45:$B$50</c:f>
              <c:numCache>
                <c:formatCode>General</c:formatCode>
                <c:ptCount val="5"/>
                <c:pt idx="0">
                  <c:v>255</c:v>
                </c:pt>
                <c:pt idx="1">
                  <c:v>32</c:v>
                </c:pt>
                <c:pt idx="2">
                  <c:v>28</c:v>
                </c:pt>
                <c:pt idx="3">
                  <c:v>41</c:v>
                </c:pt>
                <c:pt idx="4">
                  <c:v>453</c:v>
                </c:pt>
              </c:numCache>
            </c:numRef>
          </c:val>
          <c:extLst>
            <c:ext xmlns:c16="http://schemas.microsoft.com/office/drawing/2014/chart" uri="{C3380CC4-5D6E-409C-BE32-E72D297353CC}">
              <c16:uniqueId val="{00000000-F7D1-47EA-A958-9F73094A7B7F}"/>
            </c:ext>
          </c:extLst>
        </c:ser>
        <c:ser>
          <c:idx val="1"/>
          <c:order val="1"/>
          <c:tx>
            <c:strRef>
              <c:f>'Pivot Table and Charts'!$C$43:$C$44</c:f>
              <c:strCache>
                <c:ptCount val="1"/>
                <c:pt idx="0">
                  <c:v>Survived</c:v>
                </c:pt>
              </c:strCache>
            </c:strRef>
          </c:tx>
          <c:spPr>
            <a:solidFill>
              <a:schemeClr val="accent2"/>
            </a:solidFill>
            <a:ln>
              <a:noFill/>
            </a:ln>
            <a:effectLst/>
          </c:spPr>
          <c:invertIfNegative val="0"/>
          <c:cat>
            <c:strRef>
              <c:f>'Pivot Table and Charts'!$A$45:$A$50</c:f>
              <c:strCache>
                <c:ptCount val="5"/>
                <c:pt idx="0">
                  <c:v>Adult</c:v>
                </c:pt>
                <c:pt idx="1">
                  <c:v>Child</c:v>
                </c:pt>
                <c:pt idx="2">
                  <c:v>Old Adult</c:v>
                </c:pt>
                <c:pt idx="3">
                  <c:v>Teenager</c:v>
                </c:pt>
                <c:pt idx="4">
                  <c:v>Young Adult</c:v>
                </c:pt>
              </c:strCache>
            </c:strRef>
          </c:cat>
          <c:val>
            <c:numRef>
              <c:f>'Pivot Table and Charts'!$C$45:$C$50</c:f>
              <c:numCache>
                <c:formatCode>General</c:formatCode>
                <c:ptCount val="5"/>
                <c:pt idx="0">
                  <c:v>182</c:v>
                </c:pt>
                <c:pt idx="1">
                  <c:v>50</c:v>
                </c:pt>
                <c:pt idx="2">
                  <c:v>12</c:v>
                </c:pt>
                <c:pt idx="3">
                  <c:v>31</c:v>
                </c:pt>
                <c:pt idx="4">
                  <c:v>225</c:v>
                </c:pt>
              </c:numCache>
            </c:numRef>
          </c:val>
          <c:extLst>
            <c:ext xmlns:c16="http://schemas.microsoft.com/office/drawing/2014/chart" uri="{C3380CC4-5D6E-409C-BE32-E72D297353CC}">
              <c16:uniqueId val="{00000001-41E4-4F8D-B664-C961D6B3B9FC}"/>
            </c:ext>
          </c:extLst>
        </c:ser>
        <c:dLbls>
          <c:showLegendKey val="0"/>
          <c:showVal val="0"/>
          <c:showCatName val="0"/>
          <c:showSerName val="0"/>
          <c:showPercent val="0"/>
          <c:showBubbleSize val="0"/>
        </c:dLbls>
        <c:gapWidth val="219"/>
        <c:overlap val="-27"/>
        <c:axId val="373043551"/>
        <c:axId val="382125919"/>
      </c:barChart>
      <c:catAx>
        <c:axId val="37304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2125919"/>
        <c:crosses val="autoZero"/>
        <c:auto val="1"/>
        <c:lblAlgn val="ctr"/>
        <c:lblOffset val="100"/>
        <c:noMultiLvlLbl val="0"/>
      </c:catAx>
      <c:valAx>
        <c:axId val="38212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3043551"/>
        <c:crosses val="autoZero"/>
        <c:crossBetween val="between"/>
      </c:valAx>
      <c:spPr>
        <a:noFill/>
        <a:ln>
          <a:noFill/>
        </a:ln>
        <a:effectLst/>
      </c:spPr>
    </c:plotArea>
    <c:legend>
      <c:legendPos val="r"/>
      <c:layout>
        <c:manualLayout>
          <c:xMode val="edge"/>
          <c:yMode val="edge"/>
          <c:x val="0.82081475341898047"/>
          <c:y val="6.5191298203109191E-2"/>
          <c:w val="0.17567636791879887"/>
          <c:h val="0.216347668079951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Charts!PivotTable6</c:name>
    <c:fmtId val="1"/>
  </c:pivotSource>
  <c:chart>
    <c:title>
      <c:tx>
        <c:rich>
          <a:bodyPr rot="0" spcFirstLastPara="1" vertOverflow="ellipsis" vert="horz" wrap="square" anchor="ctr" anchorCtr="1"/>
          <a:lstStyle/>
          <a:p>
            <a:pPr lvl="2" algn="l" rtl="0">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baseline="0">
                <a:effectLst/>
                <a:latin typeface="Amasis MT Pro Black" panose="02040A04050005020304" pitchFamily="18" charset="0"/>
              </a:rPr>
              <a:t>Average Fare</a:t>
            </a:r>
            <a:r>
              <a:rPr lang="en-GB" sz="1400" b="0" i="0" u="none" strike="noStrike" baseline="0">
                <a:latin typeface="Amasis MT Pro Black" panose="02040A04050005020304" pitchFamily="18" charset="0"/>
              </a:rPr>
              <a:t> By Passenger</a:t>
            </a:r>
            <a:endParaRPr lang="en-GB" sz="1400">
              <a:latin typeface="Amasis MT Pro Black" panose="02040A04050005020304" pitchFamily="18" charset="0"/>
            </a:endParaRPr>
          </a:p>
        </c:rich>
      </c:tx>
      <c:layout>
        <c:manualLayout>
          <c:xMode val="edge"/>
          <c:yMode val="edge"/>
          <c:x val="0.24379826163033971"/>
          <c:y val="5.6179775280898875E-2"/>
        </c:manualLayout>
      </c:layout>
      <c:overlay val="0"/>
      <c:spPr>
        <a:noFill/>
        <a:ln>
          <a:noFill/>
        </a:ln>
        <a:effectLst/>
      </c:spPr>
      <c:txPr>
        <a:bodyPr rot="0" spcFirstLastPara="1" vertOverflow="ellipsis" vert="horz" wrap="square" anchor="ctr" anchorCtr="1"/>
        <a:lstStyle/>
        <a:p>
          <a:pPr lvl="2" algn="l" rtl="0">
            <a:defRPr sz="14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58216364258817"/>
          <c:y val="0.22528089887640451"/>
          <c:w val="0.82222459964243599"/>
          <c:h val="0.62416811662587124"/>
        </c:manualLayout>
      </c:layout>
      <c:barChart>
        <c:barDir val="col"/>
        <c:grouping val="clustered"/>
        <c:varyColors val="0"/>
        <c:ser>
          <c:idx val="0"/>
          <c:order val="0"/>
          <c:tx>
            <c:strRef>
              <c:f>'Pivot Table and Charts'!$B$57</c:f>
              <c:strCache>
                <c:ptCount val="1"/>
                <c:pt idx="0">
                  <c:v>Total</c:v>
                </c:pt>
              </c:strCache>
            </c:strRef>
          </c:tx>
          <c:spPr>
            <a:solidFill>
              <a:schemeClr val="accent1"/>
            </a:solidFill>
            <a:ln>
              <a:noFill/>
            </a:ln>
            <a:effectLst/>
          </c:spPr>
          <c:invertIfNegative val="0"/>
          <c:cat>
            <c:strRef>
              <c:f>'Pivot Table and Charts'!$A$58:$A$61</c:f>
              <c:strCache>
                <c:ptCount val="3"/>
                <c:pt idx="0">
                  <c:v>First Class</c:v>
                </c:pt>
                <c:pt idx="1">
                  <c:v>Second Class</c:v>
                </c:pt>
                <c:pt idx="2">
                  <c:v>Third Class</c:v>
                </c:pt>
              </c:strCache>
            </c:strRef>
          </c:cat>
          <c:val>
            <c:numRef>
              <c:f>'Pivot Table and Charts'!$B$58:$B$61</c:f>
              <c:numCache>
                <c:formatCode>_-[$$-409]* #,##0.00_ ;_-[$$-409]* \-#,##0.00\ ;_-[$$-409]* "-"??_ ;_-@_ </c:formatCode>
                <c:ptCount val="3"/>
                <c:pt idx="0">
                  <c:v>87.508991640866867</c:v>
                </c:pt>
                <c:pt idx="1">
                  <c:v>21.1791963898917</c:v>
                </c:pt>
                <c:pt idx="2">
                  <c:v>13.304512552891381</c:v>
                </c:pt>
              </c:numCache>
            </c:numRef>
          </c:val>
          <c:extLst>
            <c:ext xmlns:c16="http://schemas.microsoft.com/office/drawing/2014/chart" uri="{C3380CC4-5D6E-409C-BE32-E72D297353CC}">
              <c16:uniqueId val="{00000000-3479-4BEA-92A9-C64C8C8419A7}"/>
            </c:ext>
          </c:extLst>
        </c:ser>
        <c:dLbls>
          <c:showLegendKey val="0"/>
          <c:showVal val="0"/>
          <c:showCatName val="0"/>
          <c:showSerName val="0"/>
          <c:showPercent val="0"/>
          <c:showBubbleSize val="0"/>
        </c:dLbls>
        <c:gapWidth val="219"/>
        <c:overlap val="-27"/>
        <c:axId val="232714991"/>
        <c:axId val="235063567"/>
      </c:barChart>
      <c:catAx>
        <c:axId val="23271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5063567"/>
        <c:crosses val="autoZero"/>
        <c:auto val="1"/>
        <c:lblAlgn val="ctr"/>
        <c:lblOffset val="100"/>
        <c:noMultiLvlLbl val="0"/>
      </c:catAx>
      <c:valAx>
        <c:axId val="235063567"/>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271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Survival By Fare Range</a:t>
            </a:r>
          </a:p>
          <a:p>
            <a:pPr>
              <a:defRPr/>
            </a:pPr>
            <a:endParaRPr lang="en-GB"/>
          </a:p>
        </c:rich>
      </c:tx>
      <c:layout>
        <c:manualLayout>
          <c:xMode val="edge"/>
          <c:yMode val="edge"/>
          <c:x val="0.19410368515256343"/>
          <c:y val="7.5445816186556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Charts'!$B$68:$B$69</c:f>
              <c:strCache>
                <c:ptCount val="1"/>
                <c:pt idx="0">
                  <c:v>Died</c:v>
                </c:pt>
              </c:strCache>
            </c:strRef>
          </c:tx>
          <c:spPr>
            <a:solidFill>
              <a:schemeClr val="accent1"/>
            </a:solidFill>
            <a:ln>
              <a:noFill/>
            </a:ln>
            <a:effectLst/>
          </c:spPr>
          <c:invertIfNegative val="0"/>
          <c:cat>
            <c:strRef>
              <c:f>'Pivot Table and Charts'!$A$70:$A$73</c:f>
              <c:strCache>
                <c:ptCount val="3"/>
                <c:pt idx="0">
                  <c:v>High</c:v>
                </c:pt>
                <c:pt idx="1">
                  <c:v>Low</c:v>
                </c:pt>
                <c:pt idx="2">
                  <c:v>Mid</c:v>
                </c:pt>
              </c:strCache>
            </c:strRef>
          </c:cat>
          <c:val>
            <c:numRef>
              <c:f>'Pivot Table and Charts'!$B$70:$B$73</c:f>
              <c:numCache>
                <c:formatCode>General</c:formatCode>
                <c:ptCount val="3"/>
                <c:pt idx="0">
                  <c:v>82</c:v>
                </c:pt>
                <c:pt idx="1">
                  <c:v>381</c:v>
                </c:pt>
                <c:pt idx="2">
                  <c:v>346</c:v>
                </c:pt>
              </c:numCache>
            </c:numRef>
          </c:val>
          <c:extLst>
            <c:ext xmlns:c16="http://schemas.microsoft.com/office/drawing/2014/chart" uri="{C3380CC4-5D6E-409C-BE32-E72D297353CC}">
              <c16:uniqueId val="{00000000-F5A6-4260-80CC-25ECB87BD2E6}"/>
            </c:ext>
          </c:extLst>
        </c:ser>
        <c:ser>
          <c:idx val="1"/>
          <c:order val="1"/>
          <c:tx>
            <c:strRef>
              <c:f>'Pivot Table and Charts'!$C$68:$C$69</c:f>
              <c:strCache>
                <c:ptCount val="1"/>
                <c:pt idx="0">
                  <c:v>Survived</c:v>
                </c:pt>
              </c:strCache>
            </c:strRef>
          </c:tx>
          <c:spPr>
            <a:solidFill>
              <a:schemeClr val="accent2"/>
            </a:solidFill>
            <a:ln>
              <a:noFill/>
            </a:ln>
            <a:effectLst/>
          </c:spPr>
          <c:invertIfNegative val="0"/>
          <c:cat>
            <c:strRef>
              <c:f>'Pivot Table and Charts'!$A$70:$A$73</c:f>
              <c:strCache>
                <c:ptCount val="3"/>
                <c:pt idx="0">
                  <c:v>High</c:v>
                </c:pt>
                <c:pt idx="1">
                  <c:v>Low</c:v>
                </c:pt>
                <c:pt idx="2">
                  <c:v>Mid</c:v>
                </c:pt>
              </c:strCache>
            </c:strRef>
          </c:cat>
          <c:val>
            <c:numRef>
              <c:f>'Pivot Table and Charts'!$C$70:$C$73</c:f>
              <c:numCache>
                <c:formatCode>General</c:formatCode>
                <c:ptCount val="3"/>
                <c:pt idx="0">
                  <c:v>158</c:v>
                </c:pt>
                <c:pt idx="1">
                  <c:v>110</c:v>
                </c:pt>
                <c:pt idx="2">
                  <c:v>232</c:v>
                </c:pt>
              </c:numCache>
            </c:numRef>
          </c:val>
          <c:extLst>
            <c:ext xmlns:c16="http://schemas.microsoft.com/office/drawing/2014/chart" uri="{C3380CC4-5D6E-409C-BE32-E72D297353CC}">
              <c16:uniqueId val="{00000001-CD5A-4F7D-9723-C390801481F1}"/>
            </c:ext>
          </c:extLst>
        </c:ser>
        <c:dLbls>
          <c:showLegendKey val="0"/>
          <c:showVal val="0"/>
          <c:showCatName val="0"/>
          <c:showSerName val="0"/>
          <c:showPercent val="0"/>
          <c:showBubbleSize val="0"/>
        </c:dLbls>
        <c:gapWidth val="219"/>
        <c:overlap val="-27"/>
        <c:axId val="1078801536"/>
        <c:axId val="1209558336"/>
      </c:barChart>
      <c:catAx>
        <c:axId val="107880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9558336"/>
        <c:crosses val="autoZero"/>
        <c:auto val="1"/>
        <c:lblAlgn val="ctr"/>
        <c:lblOffset val="100"/>
        <c:noMultiLvlLbl val="0"/>
      </c:catAx>
      <c:valAx>
        <c:axId val="120955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880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noFill/>
          </a:ln>
          <a:effectLst/>
        </c:spPr>
      </c:pivotFmt>
      <c:pivotFmt>
        <c:idx val="8"/>
        <c:spPr>
          <a:solidFill>
            <a:schemeClr val="bg1">
              <a:lumMod val="75000"/>
            </a:schemeClr>
          </a:solidFill>
          <a:ln>
            <a:noFill/>
          </a:ln>
          <a:effectLst/>
        </c:spPr>
      </c:pivotFmt>
      <c:pivotFmt>
        <c:idx val="9"/>
        <c:spPr>
          <a:solidFill>
            <a:schemeClr val="bg1">
              <a:lumMod val="75000"/>
            </a:schemeClr>
          </a:solidFill>
          <a:ln>
            <a:noFill/>
          </a:ln>
          <a:effectLst/>
        </c:spPr>
      </c:pivotFmt>
      <c:pivotFmt>
        <c:idx val="10"/>
        <c:spPr>
          <a:solidFill>
            <a:schemeClr val="bg1">
              <a:lumMod val="75000"/>
            </a:schemeClr>
          </a:solidFill>
          <a:ln>
            <a:noFill/>
          </a:ln>
          <a:effectLst/>
        </c:spPr>
      </c:pivotFmt>
      <c:pivotFmt>
        <c:idx val="11"/>
        <c:spPr>
          <a:solidFill>
            <a:schemeClr val="bg1">
              <a:lumMod val="75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2">
              <a:lumMod val="40000"/>
              <a:lumOff val="6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20029210266188"/>
          <c:y val="0.16773771272164703"/>
          <c:w val="0.83379982720578794"/>
          <c:h val="0.54363264688067836"/>
        </c:manualLayout>
      </c:layout>
      <c:barChart>
        <c:barDir val="col"/>
        <c:grouping val="clustered"/>
        <c:varyColors val="0"/>
        <c:ser>
          <c:idx val="0"/>
          <c:order val="0"/>
          <c:tx>
            <c:strRef>
              <c:f>'Pivot Table and Charts'!$B$43:$B$44</c:f>
              <c:strCache>
                <c:ptCount val="1"/>
                <c:pt idx="0">
                  <c:v>Died</c:v>
                </c:pt>
              </c:strCache>
            </c:strRef>
          </c:tx>
          <c:spPr>
            <a:solidFill>
              <a:schemeClr val="bg1">
                <a:lumMod val="75000"/>
              </a:schemeClr>
            </a:solidFill>
            <a:ln>
              <a:noFill/>
            </a:ln>
            <a:effectLst/>
          </c:spPr>
          <c:invertIfNegative val="0"/>
          <c:cat>
            <c:strRef>
              <c:f>'Pivot Table and Charts'!$A$45:$A$50</c:f>
              <c:strCache>
                <c:ptCount val="5"/>
                <c:pt idx="0">
                  <c:v>Adult</c:v>
                </c:pt>
                <c:pt idx="1">
                  <c:v>Child</c:v>
                </c:pt>
                <c:pt idx="2">
                  <c:v>Old Adult</c:v>
                </c:pt>
                <c:pt idx="3">
                  <c:v>Teenager</c:v>
                </c:pt>
                <c:pt idx="4">
                  <c:v>Young Adult</c:v>
                </c:pt>
              </c:strCache>
            </c:strRef>
          </c:cat>
          <c:val>
            <c:numRef>
              <c:f>'Pivot Table and Charts'!$B$45:$B$50</c:f>
              <c:numCache>
                <c:formatCode>General</c:formatCode>
                <c:ptCount val="5"/>
                <c:pt idx="0">
                  <c:v>255</c:v>
                </c:pt>
                <c:pt idx="1">
                  <c:v>32</c:v>
                </c:pt>
                <c:pt idx="2">
                  <c:v>28</c:v>
                </c:pt>
                <c:pt idx="3">
                  <c:v>41</c:v>
                </c:pt>
                <c:pt idx="4">
                  <c:v>453</c:v>
                </c:pt>
              </c:numCache>
            </c:numRef>
          </c:val>
          <c:extLst>
            <c:ext xmlns:c16="http://schemas.microsoft.com/office/drawing/2014/chart" uri="{C3380CC4-5D6E-409C-BE32-E72D297353CC}">
              <c16:uniqueId val="{00000000-A044-41B9-988E-B80017A631F3}"/>
            </c:ext>
          </c:extLst>
        </c:ser>
        <c:ser>
          <c:idx val="1"/>
          <c:order val="1"/>
          <c:tx>
            <c:strRef>
              <c:f>'Pivot Table and Charts'!$C$43:$C$44</c:f>
              <c:strCache>
                <c:ptCount val="1"/>
                <c:pt idx="0">
                  <c:v>Survived</c:v>
                </c:pt>
              </c:strCache>
            </c:strRef>
          </c:tx>
          <c:spPr>
            <a:solidFill>
              <a:schemeClr val="accent2">
                <a:lumMod val="40000"/>
                <a:lumOff val="60000"/>
              </a:schemeClr>
            </a:solidFill>
            <a:ln>
              <a:noFill/>
            </a:ln>
            <a:effectLst/>
          </c:spPr>
          <c:invertIfNegative val="0"/>
          <c:cat>
            <c:strRef>
              <c:f>'Pivot Table and Charts'!$A$45:$A$50</c:f>
              <c:strCache>
                <c:ptCount val="5"/>
                <c:pt idx="0">
                  <c:v>Adult</c:v>
                </c:pt>
                <c:pt idx="1">
                  <c:v>Child</c:v>
                </c:pt>
                <c:pt idx="2">
                  <c:v>Old Adult</c:v>
                </c:pt>
                <c:pt idx="3">
                  <c:v>Teenager</c:v>
                </c:pt>
                <c:pt idx="4">
                  <c:v>Young Adult</c:v>
                </c:pt>
              </c:strCache>
            </c:strRef>
          </c:cat>
          <c:val>
            <c:numRef>
              <c:f>'Pivot Table and Charts'!$C$45:$C$50</c:f>
              <c:numCache>
                <c:formatCode>General</c:formatCode>
                <c:ptCount val="5"/>
                <c:pt idx="0">
                  <c:v>182</c:v>
                </c:pt>
                <c:pt idx="1">
                  <c:v>50</c:v>
                </c:pt>
                <c:pt idx="2">
                  <c:v>12</c:v>
                </c:pt>
                <c:pt idx="3">
                  <c:v>31</c:v>
                </c:pt>
                <c:pt idx="4">
                  <c:v>225</c:v>
                </c:pt>
              </c:numCache>
            </c:numRef>
          </c:val>
          <c:extLst>
            <c:ext xmlns:c16="http://schemas.microsoft.com/office/drawing/2014/chart" uri="{C3380CC4-5D6E-409C-BE32-E72D297353CC}">
              <c16:uniqueId val="{00000002-6371-4354-8E49-E55C0A0D1F94}"/>
            </c:ext>
          </c:extLst>
        </c:ser>
        <c:dLbls>
          <c:showLegendKey val="0"/>
          <c:showVal val="0"/>
          <c:showCatName val="0"/>
          <c:showSerName val="0"/>
          <c:showPercent val="0"/>
          <c:showBubbleSize val="0"/>
        </c:dLbls>
        <c:gapWidth val="219"/>
        <c:overlap val="-27"/>
        <c:axId val="373043551"/>
        <c:axId val="382125919"/>
      </c:barChart>
      <c:catAx>
        <c:axId val="37304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2125919"/>
        <c:crosses val="autoZero"/>
        <c:auto val="1"/>
        <c:lblAlgn val="ctr"/>
        <c:lblOffset val="100"/>
        <c:noMultiLvlLbl val="0"/>
      </c:catAx>
      <c:valAx>
        <c:axId val="38212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3043551"/>
        <c:crosses val="autoZero"/>
        <c:crossBetween val="between"/>
      </c:valAx>
      <c:spPr>
        <a:noFill/>
        <a:ln w="25400">
          <a:noFill/>
        </a:ln>
        <a:effectLst/>
      </c:spPr>
    </c:plotArea>
    <c:legend>
      <c:legendPos val="r"/>
      <c:layout>
        <c:manualLayout>
          <c:xMode val="edge"/>
          <c:yMode val="edge"/>
          <c:x val="0.532509884056245"/>
          <c:y val="6.3546873912183069E-2"/>
          <c:w val="0.17526174977040276"/>
          <c:h val="0.24895409518997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pivotFmt>
      <c:pivotFmt>
        <c:idx val="8"/>
        <c:spPr>
          <a:solidFill>
            <a:schemeClr val="bg1">
              <a:lumMod val="85000"/>
            </a:schemeClr>
          </a:solidFill>
          <a:ln>
            <a:noFill/>
          </a:ln>
          <a:effectLst/>
        </c:spPr>
      </c:pivotFmt>
      <c:pivotFmt>
        <c:idx val="9"/>
        <c:spPr>
          <a:solidFill>
            <a:schemeClr val="bg1">
              <a:lumMod val="85000"/>
            </a:schemeClr>
          </a:solidFill>
          <a:ln>
            <a:noFill/>
          </a:ln>
          <a:effectLst/>
        </c:spPr>
      </c:pivotFmt>
      <c:pivotFmt>
        <c:idx val="10"/>
        <c:spPr>
          <a:solidFill>
            <a:schemeClr val="accent2">
              <a:lumMod val="40000"/>
              <a:lumOff val="6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40000"/>
              <a:lumOff val="6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27596818632305"/>
          <c:y val="6.4755721363439364E-2"/>
          <c:w val="0.56737529749777449"/>
          <c:h val="0.67547809041439699"/>
        </c:manualLayout>
      </c:layout>
      <c:barChart>
        <c:barDir val="col"/>
        <c:grouping val="clustered"/>
        <c:varyColors val="0"/>
        <c:ser>
          <c:idx val="0"/>
          <c:order val="0"/>
          <c:tx>
            <c:strRef>
              <c:f>'Pivot Table and Charts'!$B$3:$B$4</c:f>
              <c:strCache>
                <c:ptCount val="1"/>
                <c:pt idx="0">
                  <c:v>Died</c:v>
                </c:pt>
              </c:strCache>
            </c:strRef>
          </c:tx>
          <c:spPr>
            <a:solidFill>
              <a:schemeClr val="bg1">
                <a:lumMod val="85000"/>
              </a:schemeClr>
            </a:solidFill>
            <a:ln>
              <a:noFill/>
            </a:ln>
            <a:effectLst/>
          </c:spPr>
          <c:invertIfNegative val="0"/>
          <c:cat>
            <c:strRef>
              <c:f>'Pivot Table and Charts'!$A$5:$A$8</c:f>
              <c:strCache>
                <c:ptCount val="3"/>
                <c:pt idx="0">
                  <c:v>First Class</c:v>
                </c:pt>
                <c:pt idx="1">
                  <c:v>Second Class</c:v>
                </c:pt>
                <c:pt idx="2">
                  <c:v>Third Class</c:v>
                </c:pt>
              </c:strCache>
            </c:strRef>
          </c:cat>
          <c:val>
            <c:numRef>
              <c:f>'Pivot Table and Charts'!$B$5:$B$8</c:f>
              <c:numCache>
                <c:formatCode>General</c:formatCode>
                <c:ptCount val="3"/>
                <c:pt idx="0">
                  <c:v>123</c:v>
                </c:pt>
                <c:pt idx="1">
                  <c:v>158</c:v>
                </c:pt>
                <c:pt idx="2">
                  <c:v>528</c:v>
                </c:pt>
              </c:numCache>
            </c:numRef>
          </c:val>
          <c:extLst>
            <c:ext xmlns:c16="http://schemas.microsoft.com/office/drawing/2014/chart" uri="{C3380CC4-5D6E-409C-BE32-E72D297353CC}">
              <c16:uniqueId val="{00000000-83C6-4907-AD58-0E98894E65FD}"/>
            </c:ext>
          </c:extLst>
        </c:ser>
        <c:ser>
          <c:idx val="1"/>
          <c:order val="1"/>
          <c:tx>
            <c:strRef>
              <c:f>'Pivot Table and Charts'!$C$3:$C$4</c:f>
              <c:strCache>
                <c:ptCount val="1"/>
                <c:pt idx="0">
                  <c:v>Survived</c:v>
                </c:pt>
              </c:strCache>
            </c:strRef>
          </c:tx>
          <c:spPr>
            <a:solidFill>
              <a:schemeClr val="accent2">
                <a:lumMod val="40000"/>
                <a:lumOff val="60000"/>
              </a:schemeClr>
            </a:solidFill>
            <a:ln>
              <a:noFill/>
            </a:ln>
            <a:effectLst/>
          </c:spPr>
          <c:invertIfNegative val="0"/>
          <c:cat>
            <c:strRef>
              <c:f>'Pivot Table and Charts'!$A$5:$A$8</c:f>
              <c:strCache>
                <c:ptCount val="3"/>
                <c:pt idx="0">
                  <c:v>First Class</c:v>
                </c:pt>
                <c:pt idx="1">
                  <c:v>Second Class</c:v>
                </c:pt>
                <c:pt idx="2">
                  <c:v>Third Class</c:v>
                </c:pt>
              </c:strCache>
            </c:strRef>
          </c:cat>
          <c:val>
            <c:numRef>
              <c:f>'Pivot Table and Charts'!$C$5:$C$8</c:f>
              <c:numCache>
                <c:formatCode>General</c:formatCode>
                <c:ptCount val="3"/>
                <c:pt idx="0">
                  <c:v>200</c:v>
                </c:pt>
                <c:pt idx="1">
                  <c:v>119</c:v>
                </c:pt>
                <c:pt idx="2">
                  <c:v>181</c:v>
                </c:pt>
              </c:numCache>
            </c:numRef>
          </c:val>
          <c:extLst>
            <c:ext xmlns:c16="http://schemas.microsoft.com/office/drawing/2014/chart" uri="{C3380CC4-5D6E-409C-BE32-E72D297353CC}">
              <c16:uniqueId val="{00000002-08F3-4A31-8636-047EDCB9D95C}"/>
            </c:ext>
          </c:extLst>
        </c:ser>
        <c:dLbls>
          <c:showLegendKey val="0"/>
          <c:showVal val="0"/>
          <c:showCatName val="0"/>
          <c:showSerName val="0"/>
          <c:showPercent val="0"/>
          <c:showBubbleSize val="0"/>
        </c:dLbls>
        <c:gapWidth val="219"/>
        <c:overlap val="-27"/>
        <c:axId val="178597695"/>
        <c:axId val="223994303"/>
      </c:barChart>
      <c:catAx>
        <c:axId val="17859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23994303"/>
        <c:crosses val="autoZero"/>
        <c:auto val="1"/>
        <c:lblAlgn val="ctr"/>
        <c:lblOffset val="100"/>
        <c:noMultiLvlLbl val="0"/>
      </c:catAx>
      <c:valAx>
        <c:axId val="223994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859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75000"/>
            </a:schemeClr>
          </a:solidFill>
          <a:ln>
            <a:noFill/>
          </a:ln>
          <a:effectLst/>
        </c:spPr>
      </c:pivotFmt>
      <c:pivotFmt>
        <c:idx val="4"/>
        <c:spPr>
          <a:solidFill>
            <a:schemeClr val="bg1">
              <a:lumMod val="75000"/>
            </a:schemeClr>
          </a:solidFill>
          <a:ln>
            <a:noFill/>
          </a:ln>
          <a:effectLst/>
        </c:spPr>
      </c:pivotFmt>
      <c:pivotFmt>
        <c:idx val="5"/>
        <c:spPr>
          <a:solidFill>
            <a:schemeClr val="bg1">
              <a:lumMod val="75000"/>
            </a:schemeClr>
          </a:solidFill>
          <a:ln>
            <a:noFill/>
          </a:ln>
          <a:effectLst/>
        </c:spPr>
      </c:pivotFmt>
    </c:pivotFmts>
    <c:plotArea>
      <c:layout>
        <c:manualLayout>
          <c:layoutTarget val="inner"/>
          <c:xMode val="edge"/>
          <c:yMode val="edge"/>
          <c:x val="0.17896188652448375"/>
          <c:y val="0.24119767909521239"/>
          <c:w val="0.82815868643051471"/>
          <c:h val="0.58013760309250051"/>
        </c:manualLayout>
      </c:layout>
      <c:barChart>
        <c:barDir val="col"/>
        <c:grouping val="clustered"/>
        <c:varyColors val="0"/>
        <c:ser>
          <c:idx val="0"/>
          <c:order val="0"/>
          <c:tx>
            <c:strRef>
              <c:f>'Pivot Table and Charts'!$B$29</c:f>
              <c:strCache>
                <c:ptCount val="1"/>
                <c:pt idx="0">
                  <c:v>Total</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1-CE96-4456-9CC0-57721FD62403}"/>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2-CE96-4456-9CC0-57721FD62403}"/>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3-CE96-4456-9CC0-57721FD62403}"/>
              </c:ext>
            </c:extLst>
          </c:dPt>
          <c:cat>
            <c:strRef>
              <c:f>'Pivot Table and Charts'!$A$30:$A$33</c:f>
              <c:strCache>
                <c:ptCount val="3"/>
                <c:pt idx="0">
                  <c:v>First Class</c:v>
                </c:pt>
                <c:pt idx="1">
                  <c:v>Second Class</c:v>
                </c:pt>
                <c:pt idx="2">
                  <c:v>Third Class</c:v>
                </c:pt>
              </c:strCache>
            </c:strRef>
          </c:cat>
          <c:val>
            <c:numRef>
              <c:f>'Pivot Table and Charts'!$B$30:$B$33</c:f>
              <c:numCache>
                <c:formatCode>[$$-C09]#,##0.00</c:formatCode>
                <c:ptCount val="3"/>
                <c:pt idx="0">
                  <c:v>87.508991640866867</c:v>
                </c:pt>
                <c:pt idx="1">
                  <c:v>21.1791963898917</c:v>
                </c:pt>
                <c:pt idx="2">
                  <c:v>13.304512552891381</c:v>
                </c:pt>
              </c:numCache>
            </c:numRef>
          </c:val>
          <c:extLst>
            <c:ext xmlns:c16="http://schemas.microsoft.com/office/drawing/2014/chart" uri="{C3380CC4-5D6E-409C-BE32-E72D297353CC}">
              <c16:uniqueId val="{00000000-CE96-4456-9CC0-57721FD62403}"/>
            </c:ext>
          </c:extLst>
        </c:ser>
        <c:dLbls>
          <c:showLegendKey val="0"/>
          <c:showVal val="0"/>
          <c:showCatName val="0"/>
          <c:showSerName val="0"/>
          <c:showPercent val="0"/>
          <c:showBubbleSize val="0"/>
        </c:dLbls>
        <c:gapWidth val="219"/>
        <c:overlap val="-27"/>
        <c:axId val="373053295"/>
        <c:axId val="234667183"/>
      </c:barChart>
      <c:catAx>
        <c:axId val="37305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34667183"/>
        <c:crosses val="autoZero"/>
        <c:auto val="1"/>
        <c:lblAlgn val="ctr"/>
        <c:lblOffset val="100"/>
        <c:noMultiLvlLbl val="0"/>
      </c:catAx>
      <c:valAx>
        <c:axId val="234667183"/>
        <c:scaling>
          <c:orientation val="minMax"/>
        </c:scaling>
        <c:delete val="0"/>
        <c:axPos val="l"/>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73053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pivotFmt>
      <c:pivotFmt>
        <c:idx val="7"/>
        <c:spPr>
          <a:solidFill>
            <a:schemeClr val="bg1">
              <a:lumMod val="75000"/>
            </a:schemeClr>
          </a:solidFill>
          <a:ln>
            <a:noFill/>
          </a:ln>
          <a:effectLst/>
        </c:spPr>
      </c:pivotFmt>
      <c:pivotFmt>
        <c:idx val="8"/>
        <c:spPr>
          <a:solidFill>
            <a:schemeClr val="bg1">
              <a:lumMod val="75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96828538276665"/>
          <c:y val="0.35856356501356368"/>
          <c:w val="0.58726043678502449"/>
          <c:h val="0.46983355475627275"/>
        </c:manualLayout>
      </c:layout>
      <c:barChart>
        <c:barDir val="col"/>
        <c:grouping val="clustered"/>
        <c:varyColors val="0"/>
        <c:ser>
          <c:idx val="0"/>
          <c:order val="0"/>
          <c:tx>
            <c:strRef>
              <c:f>'Pivot Table and Charts'!$B$68:$B$69</c:f>
              <c:strCache>
                <c:ptCount val="1"/>
                <c:pt idx="0">
                  <c:v>Died</c:v>
                </c:pt>
              </c:strCache>
            </c:strRef>
          </c:tx>
          <c:spPr>
            <a:solidFill>
              <a:schemeClr val="bg1">
                <a:lumMod val="75000"/>
              </a:schemeClr>
            </a:solidFill>
            <a:ln>
              <a:noFill/>
            </a:ln>
            <a:effectLst/>
          </c:spPr>
          <c:invertIfNegative val="0"/>
          <c:cat>
            <c:strRef>
              <c:f>'Pivot Table and Charts'!$A$70:$A$73</c:f>
              <c:strCache>
                <c:ptCount val="3"/>
                <c:pt idx="0">
                  <c:v>High</c:v>
                </c:pt>
                <c:pt idx="1">
                  <c:v>Low</c:v>
                </c:pt>
                <c:pt idx="2">
                  <c:v>Mid</c:v>
                </c:pt>
              </c:strCache>
            </c:strRef>
          </c:cat>
          <c:val>
            <c:numRef>
              <c:f>'Pivot Table and Charts'!$B$70:$B$73</c:f>
              <c:numCache>
                <c:formatCode>General</c:formatCode>
                <c:ptCount val="3"/>
                <c:pt idx="0">
                  <c:v>82</c:v>
                </c:pt>
                <c:pt idx="1">
                  <c:v>381</c:v>
                </c:pt>
                <c:pt idx="2">
                  <c:v>346</c:v>
                </c:pt>
              </c:numCache>
            </c:numRef>
          </c:val>
          <c:extLst>
            <c:ext xmlns:c16="http://schemas.microsoft.com/office/drawing/2014/chart" uri="{C3380CC4-5D6E-409C-BE32-E72D297353CC}">
              <c16:uniqueId val="{00000000-2174-4384-91AB-7EA0287C8EED}"/>
            </c:ext>
          </c:extLst>
        </c:ser>
        <c:ser>
          <c:idx val="1"/>
          <c:order val="1"/>
          <c:tx>
            <c:strRef>
              <c:f>'Pivot Table and Charts'!$C$68:$C$69</c:f>
              <c:strCache>
                <c:ptCount val="1"/>
                <c:pt idx="0">
                  <c:v>Survived</c:v>
                </c:pt>
              </c:strCache>
            </c:strRef>
          </c:tx>
          <c:spPr>
            <a:solidFill>
              <a:schemeClr val="accent2">
                <a:lumMod val="40000"/>
                <a:lumOff val="60000"/>
              </a:schemeClr>
            </a:solidFill>
            <a:ln>
              <a:noFill/>
            </a:ln>
            <a:effectLst/>
          </c:spPr>
          <c:invertIfNegative val="0"/>
          <c:cat>
            <c:strRef>
              <c:f>'Pivot Table and Charts'!$A$70:$A$73</c:f>
              <c:strCache>
                <c:ptCount val="3"/>
                <c:pt idx="0">
                  <c:v>High</c:v>
                </c:pt>
                <c:pt idx="1">
                  <c:v>Low</c:v>
                </c:pt>
                <c:pt idx="2">
                  <c:v>Mid</c:v>
                </c:pt>
              </c:strCache>
            </c:strRef>
          </c:cat>
          <c:val>
            <c:numRef>
              <c:f>'Pivot Table and Charts'!$C$70:$C$73</c:f>
              <c:numCache>
                <c:formatCode>General</c:formatCode>
                <c:ptCount val="3"/>
                <c:pt idx="0">
                  <c:v>158</c:v>
                </c:pt>
                <c:pt idx="1">
                  <c:v>110</c:v>
                </c:pt>
                <c:pt idx="2">
                  <c:v>232</c:v>
                </c:pt>
              </c:numCache>
            </c:numRef>
          </c:val>
          <c:extLst>
            <c:ext xmlns:c16="http://schemas.microsoft.com/office/drawing/2014/chart" uri="{C3380CC4-5D6E-409C-BE32-E72D297353CC}">
              <c16:uniqueId val="{00000002-7928-4D44-A28F-89565154CF2D}"/>
            </c:ext>
          </c:extLst>
        </c:ser>
        <c:dLbls>
          <c:showLegendKey val="0"/>
          <c:showVal val="0"/>
          <c:showCatName val="0"/>
          <c:showSerName val="0"/>
          <c:showPercent val="0"/>
          <c:showBubbleSize val="0"/>
        </c:dLbls>
        <c:gapWidth val="219"/>
        <c:overlap val="-27"/>
        <c:axId val="1078801536"/>
        <c:axId val="1209558336"/>
      </c:barChart>
      <c:catAx>
        <c:axId val="107880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09558336"/>
        <c:crosses val="autoZero"/>
        <c:auto val="1"/>
        <c:lblAlgn val="ctr"/>
        <c:lblOffset val="100"/>
        <c:noMultiLvlLbl val="0"/>
      </c:catAx>
      <c:valAx>
        <c:axId val="120955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7880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[Titanic _Survival_Analysis.xlsx]Pivot Table and Charts!PivotTable2</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bg1">
              <a:lumMod val="75000"/>
            </a:schemeClr>
          </a:solidFill>
        </c:spPr>
        <c:marker>
          <c:symbol val="none"/>
        </c:marker>
        <c:dLbl>
          <c:idx val="0"/>
          <c:spPr>
            <a:noFill/>
            <a:ln>
              <a:noFill/>
            </a:ln>
            <a:effectLst/>
          </c:spPr>
          <c:txPr>
            <a:bodyPr wrap="square" lIns="38100" tIns="19050" rIns="38100" bIns="19050" anchor="ctr">
              <a:spAutoFit/>
            </a:bodyPr>
            <a:lstStyle/>
            <a:p>
              <a:pPr>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1">
              <a:lumMod val="75000"/>
            </a:schemeClr>
          </a:solidFill>
          <a:ln w="19050">
            <a:solidFill>
              <a:schemeClr val="lt1"/>
            </a:solidFill>
          </a:ln>
          <a:effectLst/>
        </c:spPr>
      </c:pivotFmt>
      <c:pivotFmt>
        <c:idx val="20"/>
        <c:spPr>
          <a:solidFill>
            <a:schemeClr val="accent2">
              <a:lumMod val="60000"/>
              <a:lumOff val="40000"/>
            </a:schemeClr>
          </a:solidFill>
          <a:ln w="19050">
            <a:solidFill>
              <a:schemeClr val="lt1"/>
            </a:solidFill>
          </a:ln>
          <a:effectLst/>
        </c:spPr>
      </c:pivotFmt>
      <c:pivotFmt>
        <c:idx val="21"/>
        <c:spPr>
          <a:solidFill>
            <a:schemeClr val="accent2">
              <a:lumMod val="60000"/>
              <a:lumOff val="40000"/>
            </a:schemeClr>
          </a:solidFill>
        </c:spPr>
        <c:marker>
          <c:symbol val="none"/>
        </c:marker>
        <c:dLbl>
          <c:idx val="0"/>
          <c:spPr>
            <a:noFill/>
            <a:ln>
              <a:noFill/>
            </a:ln>
            <a:effectLst/>
          </c:spPr>
          <c:txPr>
            <a:bodyPr wrap="square" lIns="38100" tIns="19050" rIns="38100" bIns="19050" anchor="ctr">
              <a:spAutoFit/>
            </a:bodyPr>
            <a:lstStyle/>
            <a:p>
              <a:pPr>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1">
              <a:lumMod val="75000"/>
            </a:schemeClr>
          </a:solidFill>
          <a:ln w="19050">
            <a:solidFill>
              <a:schemeClr val="lt1"/>
            </a:solidFill>
          </a:ln>
          <a:effectLst/>
        </c:spPr>
      </c:pivotFmt>
      <c:pivotFmt>
        <c:idx val="23"/>
        <c:spPr>
          <a:solidFill>
            <a:schemeClr val="accent2">
              <a:lumMod val="60000"/>
              <a:lumOff val="40000"/>
            </a:schemeClr>
          </a:solidFill>
          <a:ln w="19050">
            <a:solidFill>
              <a:schemeClr val="lt1"/>
            </a:solidFill>
          </a:ln>
          <a:effectLst/>
        </c:spPr>
      </c:pivotFmt>
      <c:pivotFmt>
        <c:idx val="2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8352249565534554"/>
          <c:y val="0.1227390180878553"/>
          <c:w val="0.60308810172570393"/>
          <c:h val="0.8578811369509044"/>
        </c:manualLayout>
      </c:layout>
      <c:doughnutChart>
        <c:varyColors val="1"/>
        <c:ser>
          <c:idx val="0"/>
          <c:order val="0"/>
          <c:tx>
            <c:strRef>
              <c:f>'Pivot Table and Charts'!$B$17:$B$18</c:f>
              <c:strCache>
                <c:ptCount val="1"/>
                <c:pt idx="0">
                  <c:v>Died</c:v>
                </c:pt>
              </c:strCache>
            </c:strRef>
          </c:tx>
          <c:spPr>
            <a:solidFill>
              <a:schemeClr val="bg1">
                <a:lumMod val="75000"/>
              </a:schemeClr>
            </a:solidFill>
          </c:spPr>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18-EE41-45B5-8251-7F985C1550BD}"/>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A-EE41-45B5-8251-7F985C1550BD}"/>
              </c:ext>
            </c:extLst>
          </c:dPt>
          <c:dLbls>
            <c:spPr>
              <a:noFill/>
              <a:ln>
                <a:noFill/>
              </a:ln>
              <a:effectLst/>
            </c:spPr>
            <c:txPr>
              <a:bodyPr wrap="square" lIns="38100" tIns="19050" rIns="38100" bIns="19050" anchor="ctr">
                <a:spAutoFit/>
              </a:bodyPr>
              <a:lstStyle/>
              <a:p>
                <a:pPr>
                  <a:defRPr/>
                </a:pPr>
                <a:endParaRPr lang="en-NG"/>
              </a:p>
            </c:txPr>
            <c:showLegendKey val="0"/>
            <c:showVal val="1"/>
            <c:showCatName val="0"/>
            <c:showSerName val="0"/>
            <c:showPercent val="0"/>
            <c:showBubbleSize val="0"/>
            <c:showLeaderLines val="1"/>
            <c:extLst>
              <c:ext xmlns:c15="http://schemas.microsoft.com/office/drawing/2012/chart" uri="{CE6537A1-D6FC-4f65-9D91-7224C49458BB}"/>
            </c:extLst>
          </c:dLbls>
          <c:cat>
            <c:strRef>
              <c:f>'Pivot Table and Charts'!$A$19:$A$21</c:f>
              <c:strCache>
                <c:ptCount val="2"/>
                <c:pt idx="0">
                  <c:v>Female</c:v>
                </c:pt>
                <c:pt idx="1">
                  <c:v>Male</c:v>
                </c:pt>
              </c:strCache>
            </c:strRef>
          </c:cat>
          <c:val>
            <c:numRef>
              <c:f>'Pivot Table and Charts'!$B$19:$B$21</c:f>
              <c:numCache>
                <c:formatCode>General</c:formatCode>
                <c:ptCount val="2"/>
                <c:pt idx="0">
                  <c:v>127</c:v>
                </c:pt>
                <c:pt idx="1">
                  <c:v>682</c:v>
                </c:pt>
              </c:numCache>
            </c:numRef>
          </c:val>
          <c:extLst>
            <c:ext xmlns:c16="http://schemas.microsoft.com/office/drawing/2014/chart" uri="{C3380CC4-5D6E-409C-BE32-E72D297353CC}">
              <c16:uniqueId val="{0000001B-EE41-45B5-8251-7F985C1550BD}"/>
            </c:ext>
          </c:extLst>
        </c:ser>
        <c:ser>
          <c:idx val="1"/>
          <c:order val="1"/>
          <c:tx>
            <c:strRef>
              <c:f>'Pivot Table and Charts'!$C$17:$C$18</c:f>
              <c:strCache>
                <c:ptCount val="1"/>
                <c:pt idx="0">
                  <c:v>Survived</c:v>
                </c:pt>
              </c:strCache>
            </c:strRef>
          </c:tx>
          <c:spPr>
            <a:solidFill>
              <a:schemeClr val="accent2">
                <a:lumMod val="60000"/>
                <a:lumOff val="40000"/>
              </a:schemeClr>
            </a:solidFill>
          </c:spPr>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802F-4C69-915E-AA1009BCB861}"/>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802F-4C69-915E-AA1009BCB861}"/>
              </c:ext>
            </c:extLst>
          </c:dPt>
          <c:dLbls>
            <c:spPr>
              <a:noFill/>
              <a:ln>
                <a:noFill/>
              </a:ln>
              <a:effectLst/>
            </c:spPr>
            <c:txPr>
              <a:bodyPr wrap="square" lIns="38100" tIns="19050" rIns="38100" bIns="19050" anchor="ctr">
                <a:spAutoFit/>
              </a:bodyPr>
              <a:lstStyle/>
              <a:p>
                <a:pPr>
                  <a:defRPr/>
                </a:pPr>
                <a:endParaRPr lang="en-NG"/>
              </a:p>
            </c:txPr>
            <c:showLegendKey val="0"/>
            <c:showVal val="1"/>
            <c:showCatName val="0"/>
            <c:showSerName val="0"/>
            <c:showPercent val="0"/>
            <c:showBubbleSize val="0"/>
            <c:showLeaderLines val="1"/>
            <c:extLst>
              <c:ext xmlns:c15="http://schemas.microsoft.com/office/drawing/2012/chart" uri="{CE6537A1-D6FC-4f65-9D91-7224C49458BB}"/>
            </c:extLst>
          </c:dLbls>
          <c:cat>
            <c:strRef>
              <c:f>'Pivot Table and Charts'!$A$19:$A$21</c:f>
              <c:strCache>
                <c:ptCount val="2"/>
                <c:pt idx="0">
                  <c:v>Female</c:v>
                </c:pt>
                <c:pt idx="1">
                  <c:v>Male</c:v>
                </c:pt>
              </c:strCache>
            </c:strRef>
          </c:cat>
          <c:val>
            <c:numRef>
              <c:f>'Pivot Table and Charts'!$C$19:$C$21</c:f>
              <c:numCache>
                <c:formatCode>General</c:formatCode>
                <c:ptCount val="2"/>
                <c:pt idx="0">
                  <c:v>339</c:v>
                </c:pt>
                <c:pt idx="1">
                  <c:v>161</c:v>
                </c:pt>
              </c:numCache>
            </c:numRef>
          </c:val>
          <c:extLst>
            <c:ext xmlns:c16="http://schemas.microsoft.com/office/drawing/2014/chart" uri="{C3380CC4-5D6E-409C-BE32-E72D297353CC}">
              <c16:uniqueId val="{0000000A-6725-4B96-A694-9F95F3B79AB5}"/>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80664571220150616"/>
          <c:y val="0.38452766078658773"/>
          <c:w val="0.176616418977602"/>
          <c:h val="0.13310122360662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chart>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205740</xdr:colOff>
      <xdr:row>1</xdr:row>
      <xdr:rowOff>91440</xdr:rowOff>
    </xdr:from>
    <xdr:to>
      <xdr:col>10</xdr:col>
      <xdr:colOff>320040</xdr:colOff>
      <xdr:row>11</xdr:row>
      <xdr:rowOff>99060</xdr:rowOff>
    </xdr:to>
    <xdr:graphicFrame macro="">
      <xdr:nvGraphicFramePr>
        <xdr:cNvPr id="2" name="Chart 1">
          <a:extLst>
            <a:ext uri="{FF2B5EF4-FFF2-40B4-BE49-F238E27FC236}">
              <a16:creationId xmlns:a16="http://schemas.microsoft.com/office/drawing/2014/main" id="{B86EFC4E-09E1-5361-13EB-926E61C9D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502920</xdr:colOff>
      <xdr:row>14</xdr:row>
      <xdr:rowOff>68580</xdr:rowOff>
    </xdr:from>
    <xdr:to>
      <xdr:col>11</xdr:col>
      <xdr:colOff>129540</xdr:colOff>
      <xdr:row>25</xdr:row>
      <xdr:rowOff>15240</xdr:rowOff>
    </xdr:to>
    <xdr:graphicFrame macro="">
      <xdr:nvGraphicFramePr>
        <xdr:cNvPr id="3" name="Chart 2">
          <a:extLst>
            <a:ext uri="{FF2B5EF4-FFF2-40B4-BE49-F238E27FC236}">
              <a16:creationId xmlns:a16="http://schemas.microsoft.com/office/drawing/2014/main" id="{D20F36C8-510E-CB56-C303-AC3B4647C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533400</xdr:colOff>
      <xdr:row>26</xdr:row>
      <xdr:rowOff>68580</xdr:rowOff>
    </xdr:from>
    <xdr:to>
      <xdr:col>9</xdr:col>
      <xdr:colOff>403860</xdr:colOff>
      <xdr:row>35</xdr:row>
      <xdr:rowOff>121920</xdr:rowOff>
    </xdr:to>
    <xdr:graphicFrame macro="">
      <xdr:nvGraphicFramePr>
        <xdr:cNvPr id="4" name="Chart 3">
          <a:extLst>
            <a:ext uri="{FF2B5EF4-FFF2-40B4-BE49-F238E27FC236}">
              <a16:creationId xmlns:a16="http://schemas.microsoft.com/office/drawing/2014/main" id="{7FFEC07A-F20C-0C7E-1900-81BE10990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434340</xdr:colOff>
      <xdr:row>41</xdr:row>
      <xdr:rowOff>15240</xdr:rowOff>
    </xdr:from>
    <xdr:to>
      <xdr:col>11</xdr:col>
      <xdr:colOff>396240</xdr:colOff>
      <xdr:row>51</xdr:row>
      <xdr:rowOff>167640</xdr:rowOff>
    </xdr:to>
    <xdr:graphicFrame macro="">
      <xdr:nvGraphicFramePr>
        <xdr:cNvPr id="5" name="Chart 4">
          <a:extLst>
            <a:ext uri="{FF2B5EF4-FFF2-40B4-BE49-F238E27FC236}">
              <a16:creationId xmlns:a16="http://schemas.microsoft.com/office/drawing/2014/main" id="{D0C3130E-6285-636E-11B6-7B3E2EF14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266700</xdr:colOff>
      <xdr:row>53</xdr:row>
      <xdr:rowOff>0</xdr:rowOff>
    </xdr:from>
    <xdr:to>
      <xdr:col>11</xdr:col>
      <xdr:colOff>205740</xdr:colOff>
      <xdr:row>64</xdr:row>
      <xdr:rowOff>22860</xdr:rowOff>
    </xdr:to>
    <xdr:graphicFrame macro="">
      <xdr:nvGraphicFramePr>
        <xdr:cNvPr id="6" name="Chart 5">
          <a:extLst>
            <a:ext uri="{FF2B5EF4-FFF2-40B4-BE49-F238E27FC236}">
              <a16:creationId xmlns:a16="http://schemas.microsoft.com/office/drawing/2014/main" id="{D9911E26-631E-5384-C80C-D8814C946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350520</xdr:colOff>
      <xdr:row>66</xdr:row>
      <xdr:rowOff>7620</xdr:rowOff>
    </xdr:from>
    <xdr:to>
      <xdr:col>10</xdr:col>
      <xdr:colOff>129540</xdr:colOff>
      <xdr:row>76</xdr:row>
      <xdr:rowOff>30480</xdr:rowOff>
    </xdr:to>
    <xdr:graphicFrame macro="">
      <xdr:nvGraphicFramePr>
        <xdr:cNvPr id="7" name="Chart 6">
          <a:extLst>
            <a:ext uri="{FF2B5EF4-FFF2-40B4-BE49-F238E27FC236}">
              <a16:creationId xmlns:a16="http://schemas.microsoft.com/office/drawing/2014/main" id="{7818D810-0485-BC27-C87B-BC2AC808C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259080</xdr:colOff>
      <xdr:row>2</xdr:row>
      <xdr:rowOff>38101</xdr:rowOff>
    </xdr:from>
    <xdr:to>
      <xdr:col>21</xdr:col>
      <xdr:colOff>259080</xdr:colOff>
      <xdr:row>10</xdr:row>
      <xdr:rowOff>60961</xdr:rowOff>
    </xdr:to>
    <mc:AlternateContent xmlns:mc="http://schemas.openxmlformats.org/markup-compatibility/2006" xmlns:a14="http://schemas.microsoft.com/office/drawing/2010/main">
      <mc:Choice Requires="a14">
        <xdr:graphicFrame macro="">
          <xdr:nvGraphicFramePr>
            <xdr:cNvPr id="8" name="Passenger Class">
              <a:extLst>
                <a:ext uri="{FF2B5EF4-FFF2-40B4-BE49-F238E27FC236}">
                  <a16:creationId xmlns:a16="http://schemas.microsoft.com/office/drawing/2014/main" id="{5D899C2B-02CE-1705-5F6A-3BBDA2100A7F}"/>
                </a:ext>
              </a:extLst>
            </xdr:cNvPr>
            <xdr:cNvGraphicFramePr/>
          </xdr:nvGraphicFramePr>
          <xdr:xfrm>
            <a:off x="0" y="0"/>
            <a:ext cx="0" cy="0"/>
          </xdr:xfrm>
          <a:graphic>
            <a:graphicData uri="http://schemas.microsoft.com/office/drawing/2010/slicer">
              <sle:slicer xmlns:sle="http://schemas.microsoft.com/office/drawing/2010/slicer" name="Passenger Class"/>
            </a:graphicData>
          </a:graphic>
        </xdr:graphicFrame>
      </mc:Choice>
      <mc:Fallback xmlns="">
        <xdr:sp macro="" textlink="">
          <xdr:nvSpPr>
            <xdr:cNvPr id="0" name=""/>
            <xdr:cNvSpPr>
              <a:spLocks noTextEdit="1"/>
            </xdr:cNvSpPr>
          </xdr:nvSpPr>
          <xdr:spPr>
            <a:xfrm>
              <a:off x="12748260" y="403861"/>
              <a:ext cx="1828800" cy="14859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441960</xdr:colOff>
      <xdr:row>3</xdr:row>
      <xdr:rowOff>160020</xdr:rowOff>
    </xdr:from>
    <xdr:to>
      <xdr:col>21</xdr:col>
      <xdr:colOff>228600</xdr:colOff>
      <xdr:row>10</xdr:row>
      <xdr:rowOff>158115</xdr:rowOff>
    </xdr:to>
    <mc:AlternateContent xmlns:mc="http://schemas.openxmlformats.org/markup-compatibility/2006" xmlns:a14="http://schemas.microsoft.com/office/drawing/2010/main">
      <mc:Choice Requires="a14">
        <xdr:graphicFrame macro="">
          <xdr:nvGraphicFramePr>
            <xdr:cNvPr id="9" name="Survival Status">
              <a:extLst>
                <a:ext uri="{FF2B5EF4-FFF2-40B4-BE49-F238E27FC236}">
                  <a16:creationId xmlns:a16="http://schemas.microsoft.com/office/drawing/2014/main" id="{64EC5AA3-8948-75D1-A45D-184B3371759F}"/>
                </a:ext>
              </a:extLst>
            </xdr:cNvPr>
            <xdr:cNvGraphicFramePr/>
          </xdr:nvGraphicFramePr>
          <xdr:xfrm>
            <a:off x="0" y="0"/>
            <a:ext cx="0" cy="0"/>
          </xdr:xfrm>
          <a:graphic>
            <a:graphicData uri="http://schemas.microsoft.com/office/drawing/2010/slicer">
              <sle:slicer xmlns:sle="http://schemas.microsoft.com/office/drawing/2010/slicer" name="Survival Status"/>
            </a:graphicData>
          </a:graphic>
        </xdr:graphicFrame>
      </mc:Choice>
      <mc:Fallback xmlns="">
        <xdr:sp macro="" textlink="">
          <xdr:nvSpPr>
            <xdr:cNvPr id="0" name=""/>
            <xdr:cNvSpPr>
              <a:spLocks noTextEdit="1"/>
            </xdr:cNvSpPr>
          </xdr:nvSpPr>
          <xdr:spPr>
            <a:xfrm>
              <a:off x="12931140" y="708660"/>
              <a:ext cx="1615440" cy="127825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388620</xdr:colOff>
      <xdr:row>5</xdr:row>
      <xdr:rowOff>30481</xdr:rowOff>
    </xdr:from>
    <xdr:to>
      <xdr:col>21</xdr:col>
      <xdr:colOff>388620</xdr:colOff>
      <xdr:row>10</xdr:row>
      <xdr:rowOff>152401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867F92BC-14F4-4AAA-D093-E7B4E63230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877800" y="944881"/>
              <a:ext cx="1828800" cy="10363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533400</xdr:colOff>
      <xdr:row>6</xdr:row>
      <xdr:rowOff>144781</xdr:rowOff>
    </xdr:from>
    <xdr:to>
      <xdr:col>21</xdr:col>
      <xdr:colOff>160020</xdr:colOff>
      <xdr:row>12</xdr:row>
      <xdr:rowOff>22861</xdr:rowOff>
    </xdr:to>
    <mc:AlternateContent xmlns:mc="http://schemas.openxmlformats.org/markup-compatibility/2006" xmlns:a14="http://schemas.microsoft.com/office/drawing/2010/main">
      <mc:Choice Requires="a14">
        <xdr:graphicFrame macro="">
          <xdr:nvGraphicFramePr>
            <xdr:cNvPr id="11" name="Age Grade">
              <a:extLst>
                <a:ext uri="{FF2B5EF4-FFF2-40B4-BE49-F238E27FC236}">
                  <a16:creationId xmlns:a16="http://schemas.microsoft.com/office/drawing/2014/main" id="{275E5443-738F-BC00-B28E-B70E9FE229D5}"/>
                </a:ext>
              </a:extLst>
            </xdr:cNvPr>
            <xdr:cNvGraphicFramePr/>
          </xdr:nvGraphicFramePr>
          <xdr:xfrm>
            <a:off x="0" y="0"/>
            <a:ext cx="0" cy="0"/>
          </xdr:xfrm>
          <a:graphic>
            <a:graphicData uri="http://schemas.microsoft.com/office/drawing/2010/slicer">
              <sle:slicer xmlns:sle="http://schemas.microsoft.com/office/drawing/2010/slicer" name="Age Grade"/>
            </a:graphicData>
          </a:graphic>
        </xdr:graphicFrame>
      </mc:Choice>
      <mc:Fallback xmlns="">
        <xdr:sp macro="" textlink="">
          <xdr:nvSpPr>
            <xdr:cNvPr id="0" name=""/>
            <xdr:cNvSpPr>
              <a:spLocks noTextEdit="1"/>
            </xdr:cNvSpPr>
          </xdr:nvSpPr>
          <xdr:spPr>
            <a:xfrm>
              <a:off x="13022580" y="1242061"/>
              <a:ext cx="1455420" cy="9753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449580</xdr:colOff>
      <xdr:row>10</xdr:row>
      <xdr:rowOff>45721</xdr:rowOff>
    </xdr:from>
    <xdr:to>
      <xdr:col>21</xdr:col>
      <xdr:colOff>68580</xdr:colOff>
      <xdr:row>16</xdr:row>
      <xdr:rowOff>91441</xdr:rowOff>
    </xdr:to>
    <mc:AlternateContent xmlns:mc="http://schemas.openxmlformats.org/markup-compatibility/2006" xmlns:a14="http://schemas.microsoft.com/office/drawing/2010/main">
      <mc:Choice Requires="a14">
        <xdr:graphicFrame macro="">
          <xdr:nvGraphicFramePr>
            <xdr:cNvPr id="12" name="Fare Range">
              <a:extLst>
                <a:ext uri="{FF2B5EF4-FFF2-40B4-BE49-F238E27FC236}">
                  <a16:creationId xmlns:a16="http://schemas.microsoft.com/office/drawing/2014/main" id="{6953CAEA-11C3-4135-0DB2-6C00BD380AB1}"/>
                </a:ext>
              </a:extLst>
            </xdr:cNvPr>
            <xdr:cNvGraphicFramePr/>
          </xdr:nvGraphicFramePr>
          <xdr:xfrm>
            <a:off x="0" y="0"/>
            <a:ext cx="0" cy="0"/>
          </xdr:xfrm>
          <a:graphic>
            <a:graphicData uri="http://schemas.microsoft.com/office/drawing/2010/slicer">
              <sle:slicer xmlns:sle="http://schemas.microsoft.com/office/drawing/2010/slicer" name="Fare Range"/>
            </a:graphicData>
          </a:graphic>
        </xdr:graphicFrame>
      </mc:Choice>
      <mc:Fallback xmlns="">
        <xdr:sp macro="" textlink="">
          <xdr:nvSpPr>
            <xdr:cNvPr id="0" name=""/>
            <xdr:cNvSpPr>
              <a:spLocks noTextEdit="1"/>
            </xdr:cNvSpPr>
          </xdr:nvSpPr>
          <xdr:spPr>
            <a:xfrm>
              <a:off x="12938760" y="1874521"/>
              <a:ext cx="1447800" cy="1143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536222</xdr:colOff>
      <xdr:row>5</xdr:row>
      <xdr:rowOff>93090</xdr:rowOff>
    </xdr:from>
    <xdr:to>
      <xdr:col>21</xdr:col>
      <xdr:colOff>6967</xdr:colOff>
      <xdr:row>33</xdr:row>
      <xdr:rowOff>42718</xdr:rowOff>
    </xdr:to>
    <xdr:sp macro="" textlink="">
      <xdr:nvSpPr>
        <xdr:cNvPr id="2" name="Rectangle 1">
          <a:extLst>
            <a:ext uri="{FF2B5EF4-FFF2-40B4-BE49-F238E27FC236}">
              <a16:creationId xmlns:a16="http://schemas.microsoft.com/office/drawing/2014/main" id="{DD427587-2C75-5779-F23A-BCF9B28E21F7}"/>
            </a:ext>
          </a:extLst>
        </xdr:cNvPr>
        <xdr:cNvSpPr/>
      </xdr:nvSpPr>
      <xdr:spPr>
        <a:xfrm flipH="1">
          <a:off x="1890889" y="986794"/>
          <a:ext cx="12377708" cy="500140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ysClr val="windowText" lastClr="000000"/>
            </a:solidFill>
          </a:endParaRPr>
        </a:p>
      </xdr:txBody>
    </xdr:sp>
    <xdr:clientData/>
  </xdr:twoCellAnchor>
  <xdr:twoCellAnchor>
    <xdr:from>
      <xdr:col>0</xdr:col>
      <xdr:colOff>432667</xdr:colOff>
      <xdr:row>6</xdr:row>
      <xdr:rowOff>52970</xdr:rowOff>
    </xdr:from>
    <xdr:to>
      <xdr:col>2</xdr:col>
      <xdr:colOff>525031</xdr:colOff>
      <xdr:row>33</xdr:row>
      <xdr:rowOff>77278</xdr:rowOff>
    </xdr:to>
    <xdr:sp macro="" textlink="">
      <xdr:nvSpPr>
        <xdr:cNvPr id="3" name="Rectangle 2">
          <a:extLst>
            <a:ext uri="{FF2B5EF4-FFF2-40B4-BE49-F238E27FC236}">
              <a16:creationId xmlns:a16="http://schemas.microsoft.com/office/drawing/2014/main" id="{06F8DB09-57A8-6F7B-222F-E9C618EF2B6B}"/>
            </a:ext>
          </a:extLst>
        </xdr:cNvPr>
        <xdr:cNvSpPr/>
      </xdr:nvSpPr>
      <xdr:spPr>
        <a:xfrm>
          <a:off x="432667" y="1081670"/>
          <a:ext cx="1444914" cy="4720133"/>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800">
            <a:solidFill>
              <a:sysClr val="windowText" lastClr="000000"/>
            </a:solidFill>
            <a:latin typeface="Amasis MT Pro Black" panose="02040A04050005020304" pitchFamily="18" charset="0"/>
          </a:endParaRPr>
        </a:p>
        <a:p>
          <a:pPr algn="ctr"/>
          <a:endParaRPr lang="en-GB" sz="1800">
            <a:solidFill>
              <a:sysClr val="windowText" lastClr="000000"/>
            </a:solidFill>
            <a:latin typeface="Amasis MT Pro Black" panose="02040A04050005020304" pitchFamily="18" charset="0"/>
          </a:endParaRPr>
        </a:p>
        <a:p>
          <a:pPr algn="ctr"/>
          <a:endParaRPr lang="en-NG" sz="1100">
            <a:solidFill>
              <a:sysClr val="windowText" lastClr="000000"/>
            </a:solidFill>
          </a:endParaRPr>
        </a:p>
      </xdr:txBody>
    </xdr:sp>
    <xdr:clientData/>
  </xdr:twoCellAnchor>
  <xdr:twoCellAnchor>
    <xdr:from>
      <xdr:col>0</xdr:col>
      <xdr:colOff>419101</xdr:colOff>
      <xdr:row>0</xdr:row>
      <xdr:rowOff>116489</xdr:rowOff>
    </xdr:from>
    <xdr:to>
      <xdr:col>21</xdr:col>
      <xdr:colOff>28222</xdr:colOff>
      <xdr:row>6</xdr:row>
      <xdr:rowOff>137863</xdr:rowOff>
    </xdr:to>
    <xdr:sp macro="" textlink="">
      <xdr:nvSpPr>
        <xdr:cNvPr id="4" name="Rectangle 3">
          <a:extLst>
            <a:ext uri="{FF2B5EF4-FFF2-40B4-BE49-F238E27FC236}">
              <a16:creationId xmlns:a16="http://schemas.microsoft.com/office/drawing/2014/main" id="{F772ABD1-E0EB-38DA-AFF5-E21B0BEEE46A}"/>
            </a:ext>
          </a:extLst>
        </xdr:cNvPr>
        <xdr:cNvSpPr/>
      </xdr:nvSpPr>
      <xdr:spPr>
        <a:xfrm>
          <a:off x="419101" y="116489"/>
          <a:ext cx="13870751" cy="1093818"/>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2800">
            <a:solidFill>
              <a:sysClr val="windowText" lastClr="000000"/>
            </a:solidFill>
            <a:latin typeface="Amasis MT Pro Black" panose="02040A04050005020304" pitchFamily="18" charset="0"/>
          </a:endParaRPr>
        </a:p>
        <a:p>
          <a:pPr algn="l"/>
          <a:endParaRPr lang="en-NG" sz="1100">
            <a:solidFill>
              <a:sysClr val="windowText" lastClr="000000"/>
            </a:solidFill>
          </a:endParaRPr>
        </a:p>
      </xdr:txBody>
    </xdr:sp>
    <xdr:clientData/>
  </xdr:twoCellAnchor>
  <xdr:twoCellAnchor>
    <xdr:from>
      <xdr:col>15</xdr:col>
      <xdr:colOff>110290</xdr:colOff>
      <xdr:row>2</xdr:row>
      <xdr:rowOff>120316</xdr:rowOff>
    </xdr:from>
    <xdr:to>
      <xdr:col>18</xdr:col>
      <xdr:colOff>601578</xdr:colOff>
      <xdr:row>6</xdr:row>
      <xdr:rowOff>100263</xdr:rowOff>
    </xdr:to>
    <xdr:sp macro="" textlink="">
      <xdr:nvSpPr>
        <xdr:cNvPr id="6" name="Rectangle: Rounded Corners 5">
          <a:extLst>
            <a:ext uri="{FF2B5EF4-FFF2-40B4-BE49-F238E27FC236}">
              <a16:creationId xmlns:a16="http://schemas.microsoft.com/office/drawing/2014/main" id="{DE2F4AB6-2675-7D93-93C2-EACF8BA07C2F}"/>
            </a:ext>
          </a:extLst>
        </xdr:cNvPr>
        <xdr:cNvSpPr/>
      </xdr:nvSpPr>
      <xdr:spPr>
        <a:xfrm>
          <a:off x="9284369" y="481263"/>
          <a:ext cx="2326104" cy="70184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a:solidFill>
                <a:sysClr val="windowText" lastClr="000000"/>
              </a:solidFill>
              <a:latin typeface="Amasis MT Pro Black" panose="02040A04050005020304" pitchFamily="18" charset="0"/>
            </a:rPr>
            <a:t>AVERAGE FARE By</a:t>
          </a:r>
          <a:r>
            <a:rPr lang="en-GB" sz="1000" baseline="0">
              <a:solidFill>
                <a:sysClr val="windowText" lastClr="000000"/>
              </a:solidFill>
              <a:latin typeface="Amasis MT Pro Black" panose="02040A04050005020304" pitchFamily="18" charset="0"/>
            </a:rPr>
            <a:t> PASSENGER </a:t>
          </a:r>
          <a:endParaRPr lang="en-GB" sz="1000">
            <a:solidFill>
              <a:sysClr val="windowText" lastClr="000000"/>
            </a:solidFill>
            <a:latin typeface="Amasis MT Pro Black" panose="02040A04050005020304" pitchFamily="18" charset="0"/>
          </a:endParaRPr>
        </a:p>
        <a:p>
          <a:pPr algn="l"/>
          <a:endParaRPr lang="en-GB" sz="1100">
            <a:solidFill>
              <a:sysClr val="windowText" lastClr="000000"/>
            </a:solidFill>
          </a:endParaRPr>
        </a:p>
        <a:p>
          <a:pPr algn="l"/>
          <a:endParaRPr lang="en-NG" sz="1100">
            <a:solidFill>
              <a:sysClr val="windowText" lastClr="000000"/>
            </a:solidFill>
          </a:endParaRPr>
        </a:p>
      </xdr:txBody>
    </xdr:sp>
    <xdr:clientData/>
  </xdr:twoCellAnchor>
  <xdr:twoCellAnchor>
    <xdr:from>
      <xdr:col>8</xdr:col>
      <xdr:colOff>394369</xdr:colOff>
      <xdr:row>2</xdr:row>
      <xdr:rowOff>83720</xdr:rowOff>
    </xdr:from>
    <xdr:to>
      <xdr:col>11</xdr:col>
      <xdr:colOff>143711</xdr:colOff>
      <xdr:row>6</xdr:row>
      <xdr:rowOff>63666</xdr:rowOff>
    </xdr:to>
    <xdr:sp macro="" textlink="">
      <xdr:nvSpPr>
        <xdr:cNvPr id="9" name="Rectangle: Rounded Corners 8">
          <a:extLst>
            <a:ext uri="{FF2B5EF4-FFF2-40B4-BE49-F238E27FC236}">
              <a16:creationId xmlns:a16="http://schemas.microsoft.com/office/drawing/2014/main" id="{BE8B1DA7-2A14-0E86-B388-6B6DB69F7B88}"/>
            </a:ext>
          </a:extLst>
        </xdr:cNvPr>
        <xdr:cNvSpPr/>
      </xdr:nvSpPr>
      <xdr:spPr>
        <a:xfrm>
          <a:off x="5271169" y="445670"/>
          <a:ext cx="1578142" cy="70384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ysClr val="windowText" lastClr="000000"/>
              </a:solidFill>
              <a:latin typeface="Amasis MT Pro Black" panose="02040A04050005020304" pitchFamily="18" charset="0"/>
            </a:rPr>
            <a:t>FEMALE SURVIVAL</a:t>
          </a:r>
          <a:endParaRPr lang="en-NG" sz="1000">
            <a:solidFill>
              <a:sysClr val="windowText" lastClr="000000"/>
            </a:solidFill>
            <a:latin typeface="Amasis MT Pro Black" panose="02040A04050005020304" pitchFamily="18" charset="0"/>
          </a:endParaRPr>
        </a:p>
      </xdr:txBody>
    </xdr:sp>
    <xdr:clientData/>
  </xdr:twoCellAnchor>
  <xdr:twoCellAnchor>
    <xdr:from>
      <xdr:col>3</xdr:col>
      <xdr:colOff>663766</xdr:colOff>
      <xdr:row>20</xdr:row>
      <xdr:rowOff>72097</xdr:rowOff>
    </xdr:from>
    <xdr:to>
      <xdr:col>9</xdr:col>
      <xdr:colOff>171450</xdr:colOff>
      <xdr:row>32</xdr:row>
      <xdr:rowOff>154132</xdr:rowOff>
    </xdr:to>
    <xdr:sp macro="" textlink="">
      <xdr:nvSpPr>
        <xdr:cNvPr id="13" name="Rectangle: Rounded Corners 12">
          <a:extLst>
            <a:ext uri="{FF2B5EF4-FFF2-40B4-BE49-F238E27FC236}">
              <a16:creationId xmlns:a16="http://schemas.microsoft.com/office/drawing/2014/main" id="{455254CA-E14A-79D1-AC27-44C6D83116DF}"/>
            </a:ext>
          </a:extLst>
        </xdr:cNvPr>
        <xdr:cNvSpPr/>
      </xdr:nvSpPr>
      <xdr:spPr>
        <a:xfrm>
          <a:off x="2692591" y="3529672"/>
          <a:ext cx="3565334" cy="217753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ysClr val="windowText" lastClr="000000"/>
              </a:solidFill>
              <a:latin typeface="Amasis MT Pro Black" panose="02040A04050005020304" pitchFamily="18" charset="0"/>
            </a:rPr>
            <a:t>AVERAGE FARE BY PASSENGER CLASS</a:t>
          </a:r>
        </a:p>
        <a:p>
          <a:pPr algn="l"/>
          <a:endParaRPr lang="en-NG" sz="1100">
            <a:solidFill>
              <a:sysClr val="windowText" lastClr="000000"/>
            </a:solidFill>
          </a:endParaRPr>
        </a:p>
      </xdr:txBody>
    </xdr:sp>
    <xdr:clientData/>
  </xdr:twoCellAnchor>
  <xdr:twoCellAnchor>
    <xdr:from>
      <xdr:col>4</xdr:col>
      <xdr:colOff>10026</xdr:colOff>
      <xdr:row>7</xdr:row>
      <xdr:rowOff>18815</xdr:rowOff>
    </xdr:from>
    <xdr:to>
      <xdr:col>9</xdr:col>
      <xdr:colOff>70185</xdr:colOff>
      <xdr:row>19</xdr:row>
      <xdr:rowOff>170446</xdr:rowOff>
    </xdr:to>
    <xdr:sp macro="" textlink="">
      <xdr:nvSpPr>
        <xdr:cNvPr id="15" name="Rectangle: Rounded Corners 14">
          <a:extLst>
            <a:ext uri="{FF2B5EF4-FFF2-40B4-BE49-F238E27FC236}">
              <a16:creationId xmlns:a16="http://schemas.microsoft.com/office/drawing/2014/main" id="{FADF4392-2120-49C2-B4C6-4B6750EC8C21}"/>
            </a:ext>
          </a:extLst>
        </xdr:cNvPr>
        <xdr:cNvSpPr/>
      </xdr:nvSpPr>
      <xdr:spPr>
        <a:xfrm>
          <a:off x="2719359" y="1270000"/>
          <a:ext cx="3446826" cy="231533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000">
              <a:solidFill>
                <a:sysClr val="windowText" lastClr="000000"/>
              </a:solidFill>
              <a:latin typeface="Amasis MT Pro Black" panose="02040A04050005020304" pitchFamily="18" charset="0"/>
            </a:rPr>
            <a:t>SURVIVAL</a:t>
          </a:r>
          <a:r>
            <a:rPr lang="en-GB" sz="1000" baseline="0">
              <a:solidFill>
                <a:sysClr val="windowText" lastClr="000000"/>
              </a:solidFill>
              <a:latin typeface="Amasis MT Pro Black" panose="02040A04050005020304" pitchFamily="18" charset="0"/>
            </a:rPr>
            <a:t> BY PASSENGER CLASS</a:t>
          </a:r>
          <a:endParaRPr lang="en-NG" sz="1000">
            <a:solidFill>
              <a:sysClr val="windowText" lastClr="000000"/>
            </a:solidFill>
            <a:latin typeface="Amasis MT Pro Black" panose="02040A04050005020304" pitchFamily="18" charset="0"/>
          </a:endParaRPr>
        </a:p>
      </xdr:txBody>
    </xdr:sp>
    <xdr:clientData/>
  </xdr:twoCellAnchor>
  <xdr:twoCellAnchor>
    <xdr:from>
      <xdr:col>9</xdr:col>
      <xdr:colOff>366346</xdr:colOff>
      <xdr:row>20</xdr:row>
      <xdr:rowOff>21461</xdr:rowOff>
    </xdr:from>
    <xdr:to>
      <xdr:col>14</xdr:col>
      <xdr:colOff>596949</xdr:colOff>
      <xdr:row>32</xdr:row>
      <xdr:rowOff>147247</xdr:rowOff>
    </xdr:to>
    <xdr:sp macro="" textlink="">
      <xdr:nvSpPr>
        <xdr:cNvPr id="16" name="Rectangle: Rounded Corners 15">
          <a:extLst>
            <a:ext uri="{FF2B5EF4-FFF2-40B4-BE49-F238E27FC236}">
              <a16:creationId xmlns:a16="http://schemas.microsoft.com/office/drawing/2014/main" id="{AED239C8-D8E6-16EA-6B50-C689951D5C82}"/>
            </a:ext>
          </a:extLst>
        </xdr:cNvPr>
        <xdr:cNvSpPr/>
      </xdr:nvSpPr>
      <xdr:spPr>
        <a:xfrm>
          <a:off x="6462346" y="3615091"/>
          <a:ext cx="3617270" cy="229889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ysClr val="windowText" lastClr="000000"/>
              </a:solidFill>
              <a:latin typeface="Amasis MT Pro Black" panose="02040A04050005020304" pitchFamily="18" charset="0"/>
            </a:rPr>
            <a:t>SURVIVAL</a:t>
          </a:r>
          <a:r>
            <a:rPr lang="en-GB" sz="1000" baseline="0">
              <a:solidFill>
                <a:sysClr val="windowText" lastClr="000000"/>
              </a:solidFill>
              <a:latin typeface="Amasis MT Pro Black" panose="02040A04050005020304" pitchFamily="18" charset="0"/>
            </a:rPr>
            <a:t> BY FARE RANGE</a:t>
          </a:r>
          <a:endParaRPr lang="en-NG" sz="1000">
            <a:solidFill>
              <a:sysClr val="windowText" lastClr="000000"/>
            </a:solidFill>
            <a:latin typeface="Amasis MT Pro Black" panose="02040A04050005020304" pitchFamily="18" charset="0"/>
          </a:endParaRPr>
        </a:p>
      </xdr:txBody>
    </xdr:sp>
    <xdr:clientData/>
  </xdr:twoCellAnchor>
  <xdr:twoCellAnchor>
    <xdr:from>
      <xdr:col>11</xdr:col>
      <xdr:colOff>250325</xdr:colOff>
      <xdr:row>2</xdr:row>
      <xdr:rowOff>92241</xdr:rowOff>
    </xdr:from>
    <xdr:to>
      <xdr:col>14</xdr:col>
      <xdr:colOff>500982</xdr:colOff>
      <xdr:row>6</xdr:row>
      <xdr:rowOff>68479</xdr:rowOff>
    </xdr:to>
    <xdr:sp macro="" textlink="">
      <xdr:nvSpPr>
        <xdr:cNvPr id="19" name="Rectangle: Rounded Corners 18">
          <a:extLst>
            <a:ext uri="{FF2B5EF4-FFF2-40B4-BE49-F238E27FC236}">
              <a16:creationId xmlns:a16="http://schemas.microsoft.com/office/drawing/2014/main" id="{DD65E764-0916-3EDD-F34F-C82ED23FA69A}"/>
            </a:ext>
          </a:extLst>
        </xdr:cNvPr>
        <xdr:cNvSpPr/>
      </xdr:nvSpPr>
      <xdr:spPr>
        <a:xfrm>
          <a:off x="6955925" y="454191"/>
          <a:ext cx="2079457" cy="70013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ysClr val="windowText" lastClr="000000"/>
            </a:solidFill>
          </a:endParaRPr>
        </a:p>
        <a:p>
          <a:pPr algn="l"/>
          <a:endParaRPr lang="en-NG" sz="1100">
            <a:solidFill>
              <a:sysClr val="windowText" lastClr="000000"/>
            </a:solidFill>
          </a:endParaRPr>
        </a:p>
      </xdr:txBody>
    </xdr:sp>
    <xdr:clientData/>
  </xdr:twoCellAnchor>
  <xdr:twoCellAnchor>
    <xdr:from>
      <xdr:col>2</xdr:col>
      <xdr:colOff>491791</xdr:colOff>
      <xdr:row>2</xdr:row>
      <xdr:rowOff>92744</xdr:rowOff>
    </xdr:from>
    <xdr:to>
      <xdr:col>5</xdr:col>
      <xdr:colOff>231108</xdr:colOff>
      <xdr:row>6</xdr:row>
      <xdr:rowOff>62664</xdr:rowOff>
    </xdr:to>
    <xdr:sp macro="" textlink="">
      <xdr:nvSpPr>
        <xdr:cNvPr id="22" name="Rectangle: Rounded Corners 21">
          <a:extLst>
            <a:ext uri="{FF2B5EF4-FFF2-40B4-BE49-F238E27FC236}">
              <a16:creationId xmlns:a16="http://schemas.microsoft.com/office/drawing/2014/main" id="{0368AD2E-7B82-98DA-83AD-B20C83BA6750}"/>
            </a:ext>
          </a:extLst>
        </xdr:cNvPr>
        <xdr:cNvSpPr/>
      </xdr:nvSpPr>
      <xdr:spPr>
        <a:xfrm>
          <a:off x="1710991" y="454694"/>
          <a:ext cx="1568117" cy="6938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solidFill>
                <a:sysClr val="windowText" lastClr="000000"/>
              </a:solidFill>
              <a:latin typeface="Amasis MT Pro Black" panose="02040A04050005020304" pitchFamily="18" charset="0"/>
            </a:rPr>
            <a:t> TOTAL PASSENGER</a:t>
          </a:r>
        </a:p>
        <a:p>
          <a:pPr algn="l"/>
          <a:endParaRPr lang="en-US" sz="1100">
            <a:solidFill>
              <a:sysClr val="windowText" lastClr="000000"/>
            </a:solidFill>
          </a:endParaRPr>
        </a:p>
      </xdr:txBody>
    </xdr:sp>
    <xdr:clientData/>
  </xdr:twoCellAnchor>
  <xdr:twoCellAnchor>
    <xdr:from>
      <xdr:col>15</xdr:col>
      <xdr:colOff>126332</xdr:colOff>
      <xdr:row>6</xdr:row>
      <xdr:rowOff>161925</xdr:rowOff>
    </xdr:from>
    <xdr:to>
      <xdr:col>20</xdr:col>
      <xdr:colOff>156410</xdr:colOff>
      <xdr:row>32</xdr:row>
      <xdr:rowOff>76200</xdr:rowOff>
    </xdr:to>
    <xdr:sp macro="" textlink="">
      <xdr:nvSpPr>
        <xdr:cNvPr id="35" name="Rectangle: Rounded Corners 34">
          <a:extLst>
            <a:ext uri="{FF2B5EF4-FFF2-40B4-BE49-F238E27FC236}">
              <a16:creationId xmlns:a16="http://schemas.microsoft.com/office/drawing/2014/main" id="{14768E6A-6549-A493-9828-0E156C05B334}"/>
            </a:ext>
          </a:extLst>
        </xdr:cNvPr>
        <xdr:cNvSpPr/>
      </xdr:nvSpPr>
      <xdr:spPr>
        <a:xfrm>
          <a:off x="10270457" y="1190625"/>
          <a:ext cx="3449553" cy="443865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ysClr val="windowText" lastClr="000000"/>
            </a:solidFill>
          </a:endParaRPr>
        </a:p>
      </xdr:txBody>
    </xdr:sp>
    <xdr:clientData/>
  </xdr:twoCellAnchor>
  <xdr:twoCellAnchor>
    <xdr:from>
      <xdr:col>5</xdr:col>
      <xdr:colOff>379497</xdr:colOff>
      <xdr:row>2</xdr:row>
      <xdr:rowOff>82216</xdr:rowOff>
    </xdr:from>
    <xdr:to>
      <xdr:col>8</xdr:col>
      <xdr:colOff>259180</xdr:colOff>
      <xdr:row>6</xdr:row>
      <xdr:rowOff>82216</xdr:rowOff>
    </xdr:to>
    <xdr:sp macro="" textlink="">
      <xdr:nvSpPr>
        <xdr:cNvPr id="5" name="Rectangle: Rounded Corners 4">
          <a:extLst>
            <a:ext uri="{FF2B5EF4-FFF2-40B4-BE49-F238E27FC236}">
              <a16:creationId xmlns:a16="http://schemas.microsoft.com/office/drawing/2014/main" id="{F431B926-66B1-21CD-E87A-B16FE354DB9F}"/>
            </a:ext>
          </a:extLst>
        </xdr:cNvPr>
        <xdr:cNvSpPr/>
      </xdr:nvSpPr>
      <xdr:spPr>
        <a:xfrm>
          <a:off x="3427497" y="444166"/>
          <a:ext cx="1708483" cy="7239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ysClr val="windowText" lastClr="000000"/>
              </a:solidFill>
              <a:latin typeface="Amasis MT Pro Black" panose="02040A04050005020304" pitchFamily="18" charset="0"/>
            </a:rPr>
            <a:t>TOTAL SURVIVORS</a:t>
          </a:r>
        </a:p>
        <a:p>
          <a:pPr algn="l"/>
          <a:endParaRPr lang="en-NG" sz="1100">
            <a:solidFill>
              <a:sysClr val="windowText" lastClr="000000"/>
            </a:solidFill>
          </a:endParaRPr>
        </a:p>
      </xdr:txBody>
    </xdr:sp>
    <xdr:clientData/>
  </xdr:twoCellAnchor>
  <xdr:twoCellAnchor editAs="oneCell">
    <xdr:from>
      <xdr:col>11</xdr:col>
      <xdr:colOff>421104</xdr:colOff>
      <xdr:row>2</xdr:row>
      <xdr:rowOff>120317</xdr:rowOff>
    </xdr:from>
    <xdr:to>
      <xdr:col>14</xdr:col>
      <xdr:colOff>494501</xdr:colOff>
      <xdr:row>4</xdr:row>
      <xdr:rowOff>33713</xdr:rowOff>
    </xdr:to>
    <xdr:pic>
      <xdr:nvPicPr>
        <xdr:cNvPr id="8" name="Picture 7">
          <a:extLst>
            <a:ext uri="{FF2B5EF4-FFF2-40B4-BE49-F238E27FC236}">
              <a16:creationId xmlns:a16="http://schemas.microsoft.com/office/drawing/2014/main" id="{AEA1F7CF-9744-977E-1A66-EB7C42A49C12}"/>
            </a:ext>
          </a:extLst>
        </xdr:cNvPr>
        <xdr:cNvPicPr>
          <a:picLocks noChangeAspect="1"/>
        </xdr:cNvPicPr>
      </xdr:nvPicPr>
      <xdr:blipFill>
        <a:blip xmlns:r="http://schemas.openxmlformats.org/officeDocument/2006/relationships" r:embed="rId1"/>
        <a:stretch>
          <a:fillRect/>
        </a:stretch>
      </xdr:blipFill>
      <xdr:spPr>
        <a:xfrm>
          <a:off x="7148762" y="481264"/>
          <a:ext cx="1908213" cy="274344"/>
        </a:xfrm>
        <a:prstGeom prst="rect">
          <a:avLst/>
        </a:prstGeom>
      </xdr:spPr>
    </xdr:pic>
    <xdr:clientData/>
  </xdr:twoCellAnchor>
  <xdr:twoCellAnchor>
    <xdr:from>
      <xdr:col>9</xdr:col>
      <xdr:colOff>283745</xdr:colOff>
      <xdr:row>7</xdr:row>
      <xdr:rowOff>22058</xdr:rowOff>
    </xdr:from>
    <xdr:to>
      <xdr:col>14</xdr:col>
      <xdr:colOff>514350</xdr:colOff>
      <xdr:row>19</xdr:row>
      <xdr:rowOff>131704</xdr:rowOff>
    </xdr:to>
    <xdr:sp macro="" textlink="">
      <xdr:nvSpPr>
        <xdr:cNvPr id="7" name="Rectangle: Rounded Corners 6">
          <a:extLst>
            <a:ext uri="{FF2B5EF4-FFF2-40B4-BE49-F238E27FC236}">
              <a16:creationId xmlns:a16="http://schemas.microsoft.com/office/drawing/2014/main" id="{71DCE129-2B77-B354-78D0-8EDF73C5904B}"/>
            </a:ext>
          </a:extLst>
        </xdr:cNvPr>
        <xdr:cNvSpPr/>
      </xdr:nvSpPr>
      <xdr:spPr>
        <a:xfrm>
          <a:off x="6379745" y="1273243"/>
          <a:ext cx="3617272" cy="2273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ysClr val="windowText" lastClr="000000"/>
              </a:solidFill>
              <a:latin typeface="Amasis MT Pro Black" panose="02040A04050005020304" pitchFamily="18" charset="0"/>
            </a:rPr>
            <a:t>SURVIVAL BY AGE GROUP</a:t>
          </a:r>
        </a:p>
        <a:p>
          <a:pPr algn="ctr"/>
          <a:endParaRPr lang="en-GB" sz="1000">
            <a:solidFill>
              <a:sysClr val="windowText" lastClr="000000"/>
            </a:solidFill>
            <a:latin typeface="Amasis MT Pro Black" panose="02040A04050005020304" pitchFamily="18" charset="0"/>
          </a:endParaRPr>
        </a:p>
        <a:p>
          <a:pPr algn="ctr"/>
          <a:endParaRPr lang="en-GB" sz="1000">
            <a:solidFill>
              <a:sysClr val="windowText" lastClr="000000"/>
            </a:solidFill>
            <a:latin typeface="Amasis MT Pro Black" panose="02040A04050005020304" pitchFamily="18" charset="0"/>
          </a:endParaRPr>
        </a:p>
      </xdr:txBody>
    </xdr:sp>
    <xdr:clientData/>
  </xdr:twoCellAnchor>
  <xdr:twoCellAnchor editAs="oneCell">
    <xdr:from>
      <xdr:col>16</xdr:col>
      <xdr:colOff>280737</xdr:colOff>
      <xdr:row>10</xdr:row>
      <xdr:rowOff>140369</xdr:rowOff>
    </xdr:from>
    <xdr:to>
      <xdr:col>19</xdr:col>
      <xdr:colOff>85887</xdr:colOff>
      <xdr:row>12</xdr:row>
      <xdr:rowOff>53766</xdr:rowOff>
    </xdr:to>
    <xdr:pic>
      <xdr:nvPicPr>
        <xdr:cNvPr id="10" name="Picture 9">
          <a:extLst>
            <a:ext uri="{FF2B5EF4-FFF2-40B4-BE49-F238E27FC236}">
              <a16:creationId xmlns:a16="http://schemas.microsoft.com/office/drawing/2014/main" id="{D5D5A4BC-7701-7A7E-D4C7-9CAF417111FC}"/>
            </a:ext>
          </a:extLst>
        </xdr:cNvPr>
        <xdr:cNvPicPr>
          <a:picLocks noChangeAspect="1"/>
        </xdr:cNvPicPr>
      </xdr:nvPicPr>
      <xdr:blipFill>
        <a:blip xmlns:r="http://schemas.openxmlformats.org/officeDocument/2006/relationships" r:embed="rId2"/>
        <a:stretch>
          <a:fillRect/>
        </a:stretch>
      </xdr:blipFill>
      <xdr:spPr>
        <a:xfrm>
          <a:off x="10066421" y="1945106"/>
          <a:ext cx="1639966" cy="274344"/>
        </a:xfrm>
        <a:prstGeom prst="rect">
          <a:avLst/>
        </a:prstGeom>
      </xdr:spPr>
    </xdr:pic>
    <xdr:clientData/>
  </xdr:twoCellAnchor>
  <xdr:twoCellAnchor>
    <xdr:from>
      <xdr:col>5</xdr:col>
      <xdr:colOff>576059</xdr:colOff>
      <xdr:row>4</xdr:row>
      <xdr:rowOff>70183</xdr:rowOff>
    </xdr:from>
    <xdr:to>
      <xdr:col>8</xdr:col>
      <xdr:colOff>96800</xdr:colOff>
      <xdr:row>6</xdr:row>
      <xdr:rowOff>70184</xdr:rowOff>
    </xdr:to>
    <xdr:sp macro="" textlink="'Pivot Table and Charts'!$C$8">
      <xdr:nvSpPr>
        <xdr:cNvPr id="14" name="Rectangle: Rounded Corners 13">
          <a:extLst>
            <a:ext uri="{FF2B5EF4-FFF2-40B4-BE49-F238E27FC236}">
              <a16:creationId xmlns:a16="http://schemas.microsoft.com/office/drawing/2014/main" id="{993772C5-1E9B-A15D-16F2-63DEAA273B4B}"/>
            </a:ext>
          </a:extLst>
        </xdr:cNvPr>
        <xdr:cNvSpPr/>
      </xdr:nvSpPr>
      <xdr:spPr>
        <a:xfrm>
          <a:off x="3635604" y="809092"/>
          <a:ext cx="1356469" cy="36945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C9028B-404A-4B50-ABBA-A7B3BD48308F}" type="TxLink">
            <a:rPr lang="en-US" sz="1800" b="0" i="0" u="none" strike="noStrike">
              <a:solidFill>
                <a:srgbClr val="000000"/>
              </a:solidFill>
              <a:latin typeface="Amasis MT Pro Black" panose="02040A04050005020304" pitchFamily="18" charset="0"/>
            </a:rPr>
            <a:pPr algn="ctr"/>
            <a:t>500</a:t>
          </a:fld>
          <a:endParaRPr lang="en-NG" sz="1800">
            <a:solidFill>
              <a:sysClr val="windowText" lastClr="000000"/>
            </a:solidFill>
            <a:latin typeface="Amasis MT Pro Black" panose="02040A04050005020304" pitchFamily="18" charset="0"/>
          </a:endParaRPr>
        </a:p>
      </xdr:txBody>
    </xdr:sp>
    <xdr:clientData/>
  </xdr:twoCellAnchor>
  <xdr:twoCellAnchor>
    <xdr:from>
      <xdr:col>3</xdr:col>
      <xdr:colOff>94794</xdr:colOff>
      <xdr:row>4</xdr:row>
      <xdr:rowOff>61676</xdr:rowOff>
    </xdr:from>
    <xdr:to>
      <xdr:col>5</xdr:col>
      <xdr:colOff>154952</xdr:colOff>
      <xdr:row>6</xdr:row>
      <xdr:rowOff>21571</xdr:rowOff>
    </xdr:to>
    <xdr:sp macro="" textlink="'Pivot Table and Charts'!$D$8">
      <xdr:nvSpPr>
        <xdr:cNvPr id="18" name="Rectangle: Rounded Corners 17">
          <a:extLst>
            <a:ext uri="{FF2B5EF4-FFF2-40B4-BE49-F238E27FC236}">
              <a16:creationId xmlns:a16="http://schemas.microsoft.com/office/drawing/2014/main" id="{02A147C6-A951-BB24-67B7-73E46F59B7BE}"/>
            </a:ext>
          </a:extLst>
        </xdr:cNvPr>
        <xdr:cNvSpPr/>
      </xdr:nvSpPr>
      <xdr:spPr>
        <a:xfrm>
          <a:off x="1930521" y="800585"/>
          <a:ext cx="1283976" cy="329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D69640-65A9-470C-8210-E54ED9A11890}" type="TxLink">
            <a:rPr lang="en-US" sz="1800" b="0" i="0" u="none" strike="noStrike">
              <a:solidFill>
                <a:srgbClr val="000000"/>
              </a:solidFill>
              <a:latin typeface="Amasis MT Pro Black" panose="02040A04050005020304" pitchFamily="18" charset="0"/>
            </a:rPr>
            <a:pPr algn="ctr"/>
            <a:t>1309</a:t>
          </a:fld>
          <a:endParaRPr lang="en-NG" sz="1800">
            <a:solidFill>
              <a:sysClr val="windowText" lastClr="000000"/>
            </a:solidFill>
            <a:latin typeface="Amasis MT Pro Black" panose="02040A04050005020304" pitchFamily="18" charset="0"/>
          </a:endParaRPr>
        </a:p>
      </xdr:txBody>
    </xdr:sp>
    <xdr:clientData/>
  </xdr:twoCellAnchor>
  <xdr:twoCellAnchor>
    <xdr:from>
      <xdr:col>9</xdr:col>
      <xdr:colOff>24307</xdr:colOff>
      <xdr:row>4</xdr:row>
      <xdr:rowOff>57119</xdr:rowOff>
    </xdr:from>
    <xdr:to>
      <xdr:col>10</xdr:col>
      <xdr:colOff>407616</xdr:colOff>
      <xdr:row>6</xdr:row>
      <xdr:rowOff>37067</xdr:rowOff>
    </xdr:to>
    <xdr:sp macro="" textlink="'Pivot Table and Charts'!$C$19">
      <xdr:nvSpPr>
        <xdr:cNvPr id="20" name="Rectangle: Rounded Corners 19">
          <a:extLst>
            <a:ext uri="{FF2B5EF4-FFF2-40B4-BE49-F238E27FC236}">
              <a16:creationId xmlns:a16="http://schemas.microsoft.com/office/drawing/2014/main" id="{3E6FF588-B6DC-701C-6F9F-B8E8576B99FB}"/>
            </a:ext>
          </a:extLst>
        </xdr:cNvPr>
        <xdr:cNvSpPr/>
      </xdr:nvSpPr>
      <xdr:spPr>
        <a:xfrm>
          <a:off x="5531489" y="796028"/>
          <a:ext cx="995218" cy="34940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73DD45E-6A69-4D80-89AB-B8649A733131}" type="TxLink">
            <a:rPr lang="en-US" sz="1800" b="0" i="0" u="none" strike="noStrike">
              <a:solidFill>
                <a:srgbClr val="000000"/>
              </a:solidFill>
              <a:latin typeface="Amasis MT Pro Black" panose="02040A04050005020304" pitchFamily="18" charset="0"/>
            </a:rPr>
            <a:pPr algn="ctr"/>
            <a:t>339</a:t>
          </a:fld>
          <a:endParaRPr lang="en-NG" sz="1800">
            <a:solidFill>
              <a:sysClr val="windowText" lastClr="000000"/>
            </a:solidFill>
            <a:latin typeface="Amasis MT Pro Black" panose="02040A04050005020304" pitchFamily="18" charset="0"/>
          </a:endParaRPr>
        </a:p>
      </xdr:txBody>
    </xdr:sp>
    <xdr:clientData/>
  </xdr:twoCellAnchor>
  <xdr:twoCellAnchor>
    <xdr:from>
      <xdr:col>11</xdr:col>
      <xdr:colOff>481263</xdr:colOff>
      <xdr:row>4</xdr:row>
      <xdr:rowOff>30081</xdr:rowOff>
    </xdr:from>
    <xdr:to>
      <xdr:col>14</xdr:col>
      <xdr:colOff>391026</xdr:colOff>
      <xdr:row>6</xdr:row>
      <xdr:rowOff>29134</xdr:rowOff>
    </xdr:to>
    <xdr:sp macro="" textlink="'Pivot Table and Charts'!M8">
      <xdr:nvSpPr>
        <xdr:cNvPr id="21" name="Rectangle: Rounded Corners 20">
          <a:extLst>
            <a:ext uri="{FF2B5EF4-FFF2-40B4-BE49-F238E27FC236}">
              <a16:creationId xmlns:a16="http://schemas.microsoft.com/office/drawing/2014/main" id="{A17DA840-E760-E470-CD48-120BA15F3629}"/>
            </a:ext>
          </a:extLst>
        </xdr:cNvPr>
        <xdr:cNvSpPr/>
      </xdr:nvSpPr>
      <xdr:spPr>
        <a:xfrm>
          <a:off x="7208921" y="751976"/>
          <a:ext cx="1744579" cy="360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8B5129-375F-4813-88B4-2BF5C3A1FD8E}" type="TxLink">
            <a:rPr lang="en-US" sz="1800" b="0" i="0" u="none" strike="noStrike">
              <a:solidFill>
                <a:srgbClr val="000000"/>
              </a:solidFill>
              <a:latin typeface="Amasis MT Pro Black" panose="02040A04050005020304" pitchFamily="18" charset="0"/>
            </a:rPr>
            <a:pPr algn="ctr"/>
            <a:t>38.20%</a:t>
          </a:fld>
          <a:endParaRPr lang="en-US" sz="1800">
            <a:latin typeface="Amasis MT Pro Black" panose="02040A04050005020304" pitchFamily="18" charset="0"/>
          </a:endParaRPr>
        </a:p>
      </xdr:txBody>
    </xdr:sp>
    <xdr:clientData/>
  </xdr:twoCellAnchor>
  <xdr:twoCellAnchor>
    <xdr:from>
      <xdr:col>15</xdr:col>
      <xdr:colOff>305347</xdr:colOff>
      <xdr:row>4</xdr:row>
      <xdr:rowOff>41623</xdr:rowOff>
    </xdr:from>
    <xdr:to>
      <xdr:col>18</xdr:col>
      <xdr:colOff>495847</xdr:colOff>
      <xdr:row>6</xdr:row>
      <xdr:rowOff>31598</xdr:rowOff>
    </xdr:to>
    <xdr:sp macro="" textlink="'Pivot Table and Charts'!$B$61">
      <xdr:nvSpPr>
        <xdr:cNvPr id="11" name="Rectangle: Rounded Corners 10">
          <a:extLst>
            <a:ext uri="{FF2B5EF4-FFF2-40B4-BE49-F238E27FC236}">
              <a16:creationId xmlns:a16="http://schemas.microsoft.com/office/drawing/2014/main" id="{ACB674BC-4109-7FD1-FCEC-F5D7DD7E4E71}"/>
            </a:ext>
          </a:extLst>
        </xdr:cNvPr>
        <xdr:cNvSpPr/>
      </xdr:nvSpPr>
      <xdr:spPr>
        <a:xfrm>
          <a:off x="9483983" y="780532"/>
          <a:ext cx="2026228" cy="35943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6DC3AD0-AE59-4036-A80B-CBAFDA1114CF}" type="TxLink">
            <a:rPr lang="en-US" sz="1800" b="0" i="0" u="none" strike="noStrike">
              <a:solidFill>
                <a:srgbClr val="000000"/>
              </a:solidFill>
              <a:latin typeface="Amasis MT Pro Black" panose="02040A04050005020304" pitchFamily="18" charset="0"/>
            </a:rPr>
            <a:pPr algn="ctr"/>
            <a:t> $33.28 </a:t>
          </a:fld>
          <a:endParaRPr lang="en-NG" sz="1800">
            <a:solidFill>
              <a:sysClr val="windowText" lastClr="000000"/>
            </a:solidFill>
            <a:latin typeface="Amasis MT Pro Black" panose="02040A04050005020304" pitchFamily="18" charset="0"/>
          </a:endParaRPr>
        </a:p>
      </xdr:txBody>
    </xdr:sp>
    <xdr:clientData/>
  </xdr:twoCellAnchor>
  <xdr:twoCellAnchor>
    <xdr:from>
      <xdr:col>9</xdr:col>
      <xdr:colOff>442662</xdr:colOff>
      <xdr:row>8</xdr:row>
      <xdr:rowOff>133351</xdr:rowOff>
    </xdr:from>
    <xdr:to>
      <xdr:col>14</xdr:col>
      <xdr:colOff>422608</xdr:colOff>
      <xdr:row>18</xdr:row>
      <xdr:rowOff>111991</xdr:rowOff>
    </xdr:to>
    <xdr:graphicFrame macro="">
      <xdr:nvGraphicFramePr>
        <xdr:cNvPr id="17" name="Chart 16">
          <a:extLst>
            <a:ext uri="{FF2B5EF4-FFF2-40B4-BE49-F238E27FC236}">
              <a16:creationId xmlns:a16="http://schemas.microsoft.com/office/drawing/2014/main" id="{5F2910CB-C5BA-49C5-BDC9-25A3C3440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148876</xdr:colOff>
      <xdr:row>8</xdr:row>
      <xdr:rowOff>150519</xdr:rowOff>
    </xdr:from>
    <xdr:to>
      <xdr:col>8</xdr:col>
      <xdr:colOff>600363</xdr:colOff>
      <xdr:row>19</xdr:row>
      <xdr:rowOff>56512</xdr:rowOff>
    </xdr:to>
    <xdr:graphicFrame macro="">
      <xdr:nvGraphicFramePr>
        <xdr:cNvPr id="23" name="Chart 22">
          <a:extLst>
            <a:ext uri="{FF2B5EF4-FFF2-40B4-BE49-F238E27FC236}">
              <a16:creationId xmlns:a16="http://schemas.microsoft.com/office/drawing/2014/main" id="{4661D00F-BB84-4FD9-ADCE-03241BE89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290764</xdr:colOff>
      <xdr:row>22</xdr:row>
      <xdr:rowOff>18816</xdr:rowOff>
    </xdr:from>
    <xdr:to>
      <xdr:col>9</xdr:col>
      <xdr:colOff>34636</xdr:colOff>
      <xdr:row>31</xdr:row>
      <xdr:rowOff>160421</xdr:rowOff>
    </xdr:to>
    <xdr:graphicFrame macro="">
      <xdr:nvGraphicFramePr>
        <xdr:cNvPr id="24" name="Chart 23">
          <a:extLst>
            <a:ext uri="{FF2B5EF4-FFF2-40B4-BE49-F238E27FC236}">
              <a16:creationId xmlns:a16="http://schemas.microsoft.com/office/drawing/2014/main" id="{69B02070-AD2F-4051-996C-7311F2D40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593028</xdr:colOff>
      <xdr:row>21</xdr:row>
      <xdr:rowOff>169552</xdr:rowOff>
    </xdr:from>
    <xdr:to>
      <xdr:col>14</xdr:col>
      <xdr:colOff>362021</xdr:colOff>
      <xdr:row>32</xdr:row>
      <xdr:rowOff>28711</xdr:rowOff>
    </xdr:to>
    <xdr:graphicFrame macro="">
      <xdr:nvGraphicFramePr>
        <xdr:cNvPr id="25" name="Chart 24">
          <a:extLst>
            <a:ext uri="{FF2B5EF4-FFF2-40B4-BE49-F238E27FC236}">
              <a16:creationId xmlns:a16="http://schemas.microsoft.com/office/drawing/2014/main" id="{06E0B91A-39E1-4FBC-BE15-4B25656C2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373720</xdr:colOff>
      <xdr:row>12</xdr:row>
      <xdr:rowOff>131704</xdr:rowOff>
    </xdr:from>
    <xdr:to>
      <xdr:col>20</xdr:col>
      <xdr:colOff>27736</xdr:colOff>
      <xdr:row>27</xdr:row>
      <xdr:rowOff>57964</xdr:rowOff>
    </xdr:to>
    <xdr:graphicFrame macro="">
      <xdr:nvGraphicFramePr>
        <xdr:cNvPr id="26" name="Chart 25">
          <a:extLst>
            <a:ext uri="{FF2B5EF4-FFF2-40B4-BE49-F238E27FC236}">
              <a16:creationId xmlns:a16="http://schemas.microsoft.com/office/drawing/2014/main" id="{ACC33B81-DFB6-4882-9A6B-FEAD1D7A4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427180</xdr:colOff>
      <xdr:row>0</xdr:row>
      <xdr:rowOff>92365</xdr:rowOff>
    </xdr:from>
    <xdr:to>
      <xdr:col>15</xdr:col>
      <xdr:colOff>450273</xdr:colOff>
      <xdr:row>2</xdr:row>
      <xdr:rowOff>138546</xdr:rowOff>
    </xdr:to>
    <xdr:sp macro="" textlink="">
      <xdr:nvSpPr>
        <xdr:cNvPr id="12" name="Rectangle: Rounded Corners 11">
          <a:extLst>
            <a:ext uri="{FF2B5EF4-FFF2-40B4-BE49-F238E27FC236}">
              <a16:creationId xmlns:a16="http://schemas.microsoft.com/office/drawing/2014/main" id="{3303BBF3-6EBC-6418-E4B3-64607BF6ACF5}"/>
            </a:ext>
          </a:extLst>
        </xdr:cNvPr>
        <xdr:cNvSpPr/>
      </xdr:nvSpPr>
      <xdr:spPr>
        <a:xfrm>
          <a:off x="4098635" y="92365"/>
          <a:ext cx="5530274" cy="4156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solidFill>
                <a:sysClr val="windowText" lastClr="000000"/>
              </a:solidFill>
              <a:latin typeface="Amasis MT Pro Black" panose="02040A04050005020304" pitchFamily="18" charset="0"/>
            </a:rPr>
            <a:t>TITANIC</a:t>
          </a:r>
          <a:r>
            <a:rPr lang="en-GB" sz="1800" baseline="0">
              <a:solidFill>
                <a:sysClr val="windowText" lastClr="000000"/>
              </a:solidFill>
              <a:latin typeface="Amasis MT Pro Black" panose="02040A04050005020304" pitchFamily="18" charset="0"/>
            </a:rPr>
            <a:t> SURVIVAL ANALYSIS DASHBOARD</a:t>
          </a:r>
          <a:endParaRPr lang="en-NG" sz="1800">
            <a:solidFill>
              <a:sysClr val="windowText" lastClr="000000"/>
            </a:solidFill>
            <a:latin typeface="Amasis MT Pro Black" panose="02040A04050005020304" pitchFamily="18" charset="0"/>
          </a:endParaRPr>
        </a:p>
      </xdr:txBody>
    </xdr:sp>
    <xdr:clientData/>
  </xdr:twoCellAnchor>
  <xdr:twoCellAnchor editAs="oneCell">
    <xdr:from>
      <xdr:col>0</xdr:col>
      <xdr:colOff>560455</xdr:colOff>
      <xdr:row>7</xdr:row>
      <xdr:rowOff>170445</xdr:rowOff>
    </xdr:from>
    <xdr:to>
      <xdr:col>2</xdr:col>
      <xdr:colOff>416637</xdr:colOff>
      <xdr:row>13</xdr:row>
      <xdr:rowOff>142081</xdr:rowOff>
    </xdr:to>
    <mc:AlternateContent xmlns:mc="http://schemas.openxmlformats.org/markup-compatibility/2006" xmlns:a14="http://schemas.microsoft.com/office/drawing/2010/main">
      <mc:Choice Requires="a14">
        <xdr:graphicFrame macro="">
          <xdr:nvGraphicFramePr>
            <xdr:cNvPr id="27" name="Fare Range 1">
              <a:extLst>
                <a:ext uri="{FF2B5EF4-FFF2-40B4-BE49-F238E27FC236}">
                  <a16:creationId xmlns:a16="http://schemas.microsoft.com/office/drawing/2014/main" id="{83ACE49D-3890-4E09-B073-0B525DE73759}"/>
                </a:ext>
              </a:extLst>
            </xdr:cNvPr>
            <xdr:cNvGraphicFramePr/>
          </xdr:nvGraphicFramePr>
          <xdr:xfrm>
            <a:off x="0" y="0"/>
            <a:ext cx="0" cy="0"/>
          </xdr:xfrm>
          <a:graphic>
            <a:graphicData uri="http://schemas.microsoft.com/office/drawing/2010/slicer">
              <sle:slicer xmlns:sle="http://schemas.microsoft.com/office/drawing/2010/slicer" name="Fare Range 1"/>
            </a:graphicData>
          </a:graphic>
        </xdr:graphicFrame>
      </mc:Choice>
      <mc:Fallback xmlns="">
        <xdr:sp macro="" textlink="">
          <xdr:nvSpPr>
            <xdr:cNvPr id="0" name=""/>
            <xdr:cNvSpPr>
              <a:spLocks noTextEdit="1"/>
            </xdr:cNvSpPr>
          </xdr:nvSpPr>
          <xdr:spPr>
            <a:xfrm>
              <a:off x="560455" y="1463536"/>
              <a:ext cx="1080000" cy="108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542635</xdr:colOff>
      <xdr:row>14</xdr:row>
      <xdr:rowOff>92363</xdr:rowOff>
    </xdr:from>
    <xdr:to>
      <xdr:col>2</xdr:col>
      <xdr:colOff>398817</xdr:colOff>
      <xdr:row>20</xdr:row>
      <xdr:rowOff>52454</xdr:rowOff>
    </xdr:to>
    <mc:AlternateContent xmlns:mc="http://schemas.openxmlformats.org/markup-compatibility/2006" xmlns:a14="http://schemas.microsoft.com/office/drawing/2010/main">
      <mc:Choice Requires="a14">
        <xdr:graphicFrame macro="">
          <xdr:nvGraphicFramePr>
            <xdr:cNvPr id="28" name="Age Grade 1">
              <a:extLst>
                <a:ext uri="{FF2B5EF4-FFF2-40B4-BE49-F238E27FC236}">
                  <a16:creationId xmlns:a16="http://schemas.microsoft.com/office/drawing/2014/main" id="{D8D7848B-FBD6-4E1A-8F8C-5EF184E883D3}"/>
                </a:ext>
              </a:extLst>
            </xdr:cNvPr>
            <xdr:cNvGraphicFramePr/>
          </xdr:nvGraphicFramePr>
          <xdr:xfrm>
            <a:off x="0" y="0"/>
            <a:ext cx="0" cy="0"/>
          </xdr:xfrm>
          <a:graphic>
            <a:graphicData uri="http://schemas.microsoft.com/office/drawing/2010/slicer">
              <sle:slicer xmlns:sle="http://schemas.microsoft.com/office/drawing/2010/slicer" name="Age Grade 1"/>
            </a:graphicData>
          </a:graphic>
        </xdr:graphicFrame>
      </mc:Choice>
      <mc:Fallback xmlns="">
        <xdr:sp macro="" textlink="">
          <xdr:nvSpPr>
            <xdr:cNvPr id="0" name=""/>
            <xdr:cNvSpPr>
              <a:spLocks noTextEdit="1"/>
            </xdr:cNvSpPr>
          </xdr:nvSpPr>
          <xdr:spPr>
            <a:xfrm>
              <a:off x="542635" y="2678545"/>
              <a:ext cx="1080000" cy="108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508000</xdr:colOff>
      <xdr:row>20</xdr:row>
      <xdr:rowOff>193536</xdr:rowOff>
    </xdr:from>
    <xdr:to>
      <xdr:col>2</xdr:col>
      <xdr:colOff>364182</xdr:colOff>
      <xdr:row>26</xdr:row>
      <xdr:rowOff>142082</xdr:rowOff>
    </xdr:to>
    <mc:AlternateContent xmlns:mc="http://schemas.openxmlformats.org/markup-compatibility/2006" xmlns:a14="http://schemas.microsoft.com/office/drawing/2010/main">
      <mc:Choice Requires="a14">
        <xdr:graphicFrame macro="">
          <xdr:nvGraphicFramePr>
            <xdr:cNvPr id="29" name="Gender 1">
              <a:extLst>
                <a:ext uri="{FF2B5EF4-FFF2-40B4-BE49-F238E27FC236}">
                  <a16:creationId xmlns:a16="http://schemas.microsoft.com/office/drawing/2014/main" id="{6451CBD3-4B41-478C-BA46-D6F050A754F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8000" y="3899627"/>
              <a:ext cx="1080000" cy="108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508000</xdr:colOff>
      <xdr:row>27</xdr:row>
      <xdr:rowOff>8808</xdr:rowOff>
    </xdr:from>
    <xdr:to>
      <xdr:col>2</xdr:col>
      <xdr:colOff>364182</xdr:colOff>
      <xdr:row>32</xdr:row>
      <xdr:rowOff>165172</xdr:rowOff>
    </xdr:to>
    <mc:AlternateContent xmlns:mc="http://schemas.openxmlformats.org/markup-compatibility/2006" xmlns:a14="http://schemas.microsoft.com/office/drawing/2010/main">
      <mc:Choice Requires="a14">
        <xdr:graphicFrame macro="">
          <xdr:nvGraphicFramePr>
            <xdr:cNvPr id="30" name="Passenger Class 1">
              <a:extLst>
                <a:ext uri="{FF2B5EF4-FFF2-40B4-BE49-F238E27FC236}">
                  <a16:creationId xmlns:a16="http://schemas.microsoft.com/office/drawing/2014/main" id="{DBB1A091-05A2-4B1F-8071-11E427FD8786}"/>
                </a:ext>
              </a:extLst>
            </xdr:cNvPr>
            <xdr:cNvGraphicFramePr/>
          </xdr:nvGraphicFramePr>
          <xdr:xfrm>
            <a:off x="0" y="0"/>
            <a:ext cx="0" cy="0"/>
          </xdr:xfrm>
          <a:graphic>
            <a:graphicData uri="http://schemas.microsoft.com/office/drawing/2010/slicer">
              <sle:slicer xmlns:sle="http://schemas.microsoft.com/office/drawing/2010/slicer" name="Passenger Class 1"/>
            </a:graphicData>
          </a:graphic>
        </xdr:graphicFrame>
      </mc:Choice>
      <mc:Fallback xmlns="">
        <xdr:sp macro="" textlink="">
          <xdr:nvSpPr>
            <xdr:cNvPr id="0" name=""/>
            <xdr:cNvSpPr>
              <a:spLocks noTextEdit="1"/>
            </xdr:cNvSpPr>
          </xdr:nvSpPr>
          <xdr:spPr>
            <a:xfrm>
              <a:off x="508000" y="5031081"/>
              <a:ext cx="1080000" cy="108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AY OBIOMA" refreshedDate="46182.202717476852" createdVersion="8" refreshedVersion="8" minRefreshableVersion="3" recordCount="1309" xr:uid="{778364B9-4C61-4D11-AB93-00E51A1B95FC}">
  <cacheSource type="worksheet">
    <worksheetSource ref="A1:R1310" sheet="Transformed Dataset"/>
  </cacheSource>
  <cacheFields count="18">
    <cacheField name="Passenger Class" numFmtId="0">
      <sharedItems count="3">
        <s v="First Class"/>
        <s v="Second Class"/>
        <s v="Third Class"/>
      </sharedItems>
    </cacheField>
    <cacheField name="Survival Status" numFmtId="0">
      <sharedItems count="2">
        <s v="Survived"/>
        <s v="Died"/>
      </sharedItems>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1" maxValue="80"/>
    </cacheField>
    <cacheField name="Age Grade" numFmtId="0">
      <sharedItems count="5">
        <s v="Young Adult"/>
        <s v="Child"/>
        <s v="Adult"/>
        <s v="Old Adult"/>
        <s v="Teenager"/>
      </sharedItems>
    </cacheField>
    <cacheField name="Parent/Children" numFmtId="0">
      <sharedItems containsSemiMixedTypes="0" containsString="0" containsNumber="1" containsInteger="1" minValue="0" maxValue="9"/>
    </cacheField>
    <cacheField name="Sibling/Spouse" numFmtId="0">
      <sharedItems containsSemiMixedTypes="0" containsString="0" containsNumber="1" containsInteger="1" minValue="0" maxValue="8"/>
    </cacheField>
    <cacheField name="Ticket" numFmtId="0">
      <sharedItems containsMixedTypes="1" containsNumber="1" containsInteger="1" minValue="680" maxValue="3101298"/>
    </cacheField>
    <cacheField name="Fare" numFmtId="164">
      <sharedItems containsSemiMixedTypes="0" containsString="0" containsNumber="1" minValue="0" maxValue="512.32920000000001"/>
    </cacheField>
    <cacheField name="Fare Range" numFmtId="0">
      <sharedItems count="3">
        <s v="High"/>
        <s v="Mid"/>
        <s v="Low"/>
      </sharedItems>
    </cacheField>
    <cacheField name="Cabin" numFmtId="0">
      <sharedItems/>
    </cacheField>
    <cacheField name="Decks" numFmtId="0">
      <sharedItems/>
    </cacheField>
    <cacheField name="Embarked" numFmtId="0">
      <sharedItems/>
    </cacheField>
    <cacheField name="Boat" numFmtId="0">
      <sharedItems containsMixedTypes="1" containsNumber="1" containsInteger="1" minValue="1" maxValue="16"/>
    </cacheField>
    <cacheField name="Body" numFmtId="0">
      <sharedItems containsMixedTypes="1" containsNumber="1" containsInteger="1" minValue="1" maxValue="328"/>
    </cacheField>
    <cacheField name="Body Count" numFmtId="0">
      <sharedItems/>
    </cacheField>
    <cacheField name="home.dest" numFmtId="0">
      <sharedItems containsBlank="1"/>
    </cacheField>
  </cacheFields>
  <extLst>
    <ext xmlns:x14="http://schemas.microsoft.com/office/spreadsheetml/2009/9/main" uri="{725AE2AE-9491-48be-B2B4-4EB974FC3084}">
      <x14:pivotCacheDefinition pivotCacheId="1511045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x v="0"/>
    <x v="0"/>
    <s v="Miss. Allen Elisabeth"/>
    <x v="0"/>
    <n v="29"/>
    <x v="0"/>
    <n v="0"/>
    <n v="1"/>
    <n v="24160"/>
    <n v="211.33750000000001"/>
    <x v="0"/>
    <s v="B5"/>
    <s v="B"/>
    <s v="Southampton"/>
    <n v="2"/>
    <s v="Not Found"/>
    <s v="Not Found"/>
    <s v="St Louis, MO"/>
  </r>
  <r>
    <x v="0"/>
    <x v="0"/>
    <s v="Master. Allison Hudson"/>
    <x v="1"/>
    <n v="1"/>
    <x v="1"/>
    <n v="2"/>
    <n v="1"/>
    <n v="113781"/>
    <n v="151.55000000000001"/>
    <x v="0"/>
    <s v="C22 C26"/>
    <s v="C"/>
    <s v="Southampton"/>
    <n v="11"/>
    <s v="Not Found"/>
    <s v="Not Found"/>
    <s v="Montreal, PQ / Chesterville, ON"/>
  </r>
  <r>
    <x v="0"/>
    <x v="1"/>
    <s v="Miss. Allison Helen"/>
    <x v="0"/>
    <n v="2"/>
    <x v="1"/>
    <n v="2"/>
    <n v="1"/>
    <n v="113781"/>
    <n v="151.55000000000001"/>
    <x v="0"/>
    <s v="C22 C26"/>
    <s v="C"/>
    <s v="Southampton"/>
    <s v="Not Applicable"/>
    <s v="Not Found"/>
    <s v="Not Found"/>
    <s v="Montreal, PQ / Chesterville, ON"/>
  </r>
  <r>
    <x v="0"/>
    <x v="1"/>
    <s v="Mr. Allison Hudson"/>
    <x v="1"/>
    <n v="30"/>
    <x v="2"/>
    <n v="2"/>
    <n v="1"/>
    <n v="113781"/>
    <n v="151.55000000000001"/>
    <x v="0"/>
    <s v="C22 C26"/>
    <s v="C"/>
    <s v="Southampton"/>
    <s v="Not Applicable"/>
    <n v="135"/>
    <s v="Found"/>
    <s v="Montreal, PQ / Chesterville, ON"/>
  </r>
  <r>
    <x v="0"/>
    <x v="1"/>
    <s v="Mrs. Allison Hudson"/>
    <x v="0"/>
    <n v="25"/>
    <x v="0"/>
    <n v="2"/>
    <n v="1"/>
    <n v="113781"/>
    <n v="151.55000000000001"/>
    <x v="0"/>
    <s v="C22 C26"/>
    <s v="C"/>
    <s v="Southampton"/>
    <s v="Not Applicable"/>
    <s v="Not Found"/>
    <s v="Not Found"/>
    <s v="Montreal, PQ / Chesterville, ON"/>
  </r>
  <r>
    <x v="0"/>
    <x v="0"/>
    <s v="Mr. Anderson Harry"/>
    <x v="1"/>
    <n v="48"/>
    <x v="2"/>
    <n v="0"/>
    <n v="0"/>
    <n v="19952"/>
    <n v="26.55"/>
    <x v="1"/>
    <s v="E12"/>
    <s v="E"/>
    <s v="Southampton"/>
    <n v="3"/>
    <s v="Not Found"/>
    <s v="Not Found"/>
    <s v="New York, NY"/>
  </r>
  <r>
    <x v="0"/>
    <x v="0"/>
    <s v="Miss. Andrews Kornelia"/>
    <x v="0"/>
    <n v="63"/>
    <x v="3"/>
    <n v="0"/>
    <n v="1"/>
    <n v="13502"/>
    <n v="77.958299999999994"/>
    <x v="0"/>
    <s v="D7"/>
    <s v="D"/>
    <s v="Southampton"/>
    <n v="10"/>
    <s v="Not Found"/>
    <s v="Not Found"/>
    <s v="Hudson, NY"/>
  </r>
  <r>
    <x v="0"/>
    <x v="1"/>
    <s v="Mr. Andrews Thomas"/>
    <x v="1"/>
    <n v="39"/>
    <x v="2"/>
    <n v="0"/>
    <n v="0"/>
    <n v="112050"/>
    <n v="0"/>
    <x v="2"/>
    <s v="A36"/>
    <s v="A"/>
    <s v="Southampton"/>
    <s v="Not Applicable"/>
    <s v="Not Found"/>
    <s v="Not Found"/>
    <s v="Belfast, NI"/>
  </r>
  <r>
    <x v="0"/>
    <x v="0"/>
    <s v="Mrs. Appleton Edward"/>
    <x v="0"/>
    <n v="53"/>
    <x v="2"/>
    <n v="0"/>
    <n v="2"/>
    <n v="11769"/>
    <n v="51.479199999999999"/>
    <x v="0"/>
    <s v="C101"/>
    <s v="C"/>
    <s v="Southampton"/>
    <s v="D"/>
    <s v="Not Found"/>
    <s v="Not Found"/>
    <s v="Bayside, Queens, NY"/>
  </r>
  <r>
    <x v="0"/>
    <x v="1"/>
    <s v="Mr. Artagaveytia Ramon"/>
    <x v="1"/>
    <n v="71"/>
    <x v="3"/>
    <n v="0"/>
    <n v="0"/>
    <s v="PC 17609"/>
    <n v="49.504199999999997"/>
    <x v="1"/>
    <s v="Unknown"/>
    <s v="Unknown"/>
    <s v="Cherbourg"/>
    <s v="Not Applicable"/>
    <n v="22"/>
    <s v="Found"/>
    <s v="Montevideo, Uruguay"/>
  </r>
  <r>
    <x v="0"/>
    <x v="1"/>
    <s v="Col. Astor John"/>
    <x v="1"/>
    <n v="47"/>
    <x v="2"/>
    <n v="0"/>
    <n v="1"/>
    <s v="PC 17757"/>
    <n v="227.52500000000001"/>
    <x v="0"/>
    <s v="C62 C64"/>
    <s v="C"/>
    <s v="Cherbourg"/>
    <s v="Not Applicable"/>
    <n v="124"/>
    <s v="Found"/>
    <s v="New York, NY"/>
  </r>
  <r>
    <x v="0"/>
    <x v="0"/>
    <s v="Mrs. Astor John"/>
    <x v="0"/>
    <n v="18"/>
    <x v="0"/>
    <n v="0"/>
    <n v="1"/>
    <s v="PC 17757"/>
    <n v="227.52500000000001"/>
    <x v="0"/>
    <s v="C62 C64"/>
    <s v="C"/>
    <s v="Cherbourg"/>
    <n v="4"/>
    <s v="Not Found"/>
    <s v="Not Found"/>
    <s v="New York, NY"/>
  </r>
  <r>
    <x v="0"/>
    <x v="0"/>
    <s v="Mme. Aubart Leontine"/>
    <x v="0"/>
    <n v="24"/>
    <x v="0"/>
    <n v="0"/>
    <n v="0"/>
    <s v="PC 17477"/>
    <n v="69.3"/>
    <x v="0"/>
    <s v="B35"/>
    <s v="B"/>
    <s v="Cherbourg"/>
    <n v="9"/>
    <s v="Not Found"/>
    <s v="Not Found"/>
    <s v="Paris, France"/>
  </r>
  <r>
    <x v="0"/>
    <x v="0"/>
    <s v="Miss. Barber Ellen"/>
    <x v="0"/>
    <n v="26"/>
    <x v="0"/>
    <n v="0"/>
    <n v="0"/>
    <n v="19877"/>
    <n v="78.849999999999994"/>
    <x v="0"/>
    <s v="Unknown"/>
    <s v="Unknown"/>
    <s v="Southampton"/>
    <n v="6"/>
    <s v="Not Found"/>
    <s v="Not Found"/>
    <m/>
  </r>
  <r>
    <x v="0"/>
    <x v="0"/>
    <s v="Mr. Barkworth Algernon"/>
    <x v="1"/>
    <n v="80"/>
    <x v="3"/>
    <n v="0"/>
    <n v="0"/>
    <n v="27042"/>
    <n v="30"/>
    <x v="1"/>
    <s v="A23"/>
    <s v="A"/>
    <s v="Southampton"/>
    <s v="B"/>
    <s v="Not Found"/>
    <s v="Not Found"/>
    <s v="Hessle, Yorks"/>
  </r>
  <r>
    <x v="0"/>
    <x v="1"/>
    <s v="Mr. Baumann John"/>
    <x v="1"/>
    <n v="28"/>
    <x v="0"/>
    <n v="0"/>
    <n v="0"/>
    <s v="PC 17318"/>
    <n v="25.925000000000001"/>
    <x v="1"/>
    <s v="Unknown"/>
    <s v="Unknown"/>
    <s v="Southampton"/>
    <s v="Not Applicable"/>
    <s v="Not Found"/>
    <s v="Not Found"/>
    <s v="New York, NY"/>
  </r>
  <r>
    <x v="0"/>
    <x v="1"/>
    <s v="Mr. Baxter Quigg"/>
    <x v="1"/>
    <n v="24"/>
    <x v="0"/>
    <n v="1"/>
    <n v="0"/>
    <s v="PC 17558"/>
    <n v="247.52080000000001"/>
    <x v="0"/>
    <s v="B58 B60"/>
    <s v="B"/>
    <s v="Cherbourg"/>
    <s v="Not Applicable"/>
    <s v="Not Found"/>
    <s v="Not Found"/>
    <s v="Montreal, PQ"/>
  </r>
  <r>
    <x v="0"/>
    <x v="0"/>
    <s v="Mrs. Baxter James"/>
    <x v="0"/>
    <n v="50"/>
    <x v="2"/>
    <n v="1"/>
    <n v="0"/>
    <s v="PC 17558"/>
    <n v="247.52080000000001"/>
    <x v="0"/>
    <s v="B58 B60"/>
    <s v="B"/>
    <s v="Cherbourg"/>
    <n v="6"/>
    <s v="Not Found"/>
    <s v="Not Found"/>
    <s v="Montreal, PQ"/>
  </r>
  <r>
    <x v="0"/>
    <x v="0"/>
    <s v="Miss. Bazzani Albina"/>
    <x v="0"/>
    <n v="32"/>
    <x v="2"/>
    <n v="0"/>
    <n v="0"/>
    <n v="11813"/>
    <n v="76.291700000000006"/>
    <x v="0"/>
    <s v="D15"/>
    <s v="D"/>
    <s v="Cherbourg"/>
    <n v="8"/>
    <s v="Not Found"/>
    <s v="Not Found"/>
    <m/>
  </r>
  <r>
    <x v="0"/>
    <x v="1"/>
    <s v="Mr. Beattie Thomson"/>
    <x v="1"/>
    <n v="36"/>
    <x v="2"/>
    <n v="0"/>
    <n v="0"/>
    <n v="13050"/>
    <n v="75.241699999999994"/>
    <x v="0"/>
    <s v="C6"/>
    <s v="C"/>
    <s v="Cherbourg"/>
    <s v="A"/>
    <s v="Not Found"/>
    <s v="Not Found"/>
    <s v="Winnipeg, MN"/>
  </r>
  <r>
    <x v="0"/>
    <x v="0"/>
    <s v="Mr. Beckwith Richard"/>
    <x v="1"/>
    <n v="37"/>
    <x v="2"/>
    <n v="1"/>
    <n v="1"/>
    <n v="11751"/>
    <n v="52.554200000000002"/>
    <x v="0"/>
    <s v="D35"/>
    <s v="D"/>
    <s v="Southampton"/>
    <n v="5"/>
    <s v="Not Found"/>
    <s v="Not Found"/>
    <s v="New York, NY"/>
  </r>
  <r>
    <x v="0"/>
    <x v="0"/>
    <s v="Mrs. Beckwith Richard"/>
    <x v="0"/>
    <n v="47"/>
    <x v="2"/>
    <n v="1"/>
    <n v="1"/>
    <n v="11751"/>
    <n v="52.554200000000002"/>
    <x v="0"/>
    <s v="D35"/>
    <s v="D"/>
    <s v="Southampton"/>
    <n v="5"/>
    <s v="Not Found"/>
    <s v="Not Found"/>
    <s v="New York, NY"/>
  </r>
  <r>
    <x v="0"/>
    <x v="0"/>
    <s v="Mr. Behr Karl"/>
    <x v="1"/>
    <n v="26"/>
    <x v="0"/>
    <n v="0"/>
    <n v="0"/>
    <n v="111369"/>
    <n v="30"/>
    <x v="1"/>
    <s v="C148"/>
    <s v="C"/>
    <s v="Cherbourg"/>
    <n v="5"/>
    <s v="Not Found"/>
    <s v="Not Found"/>
    <s v="New York, NY"/>
  </r>
  <r>
    <x v="0"/>
    <x v="0"/>
    <s v="Miss. Bidois Rosalie"/>
    <x v="0"/>
    <n v="42"/>
    <x v="2"/>
    <n v="0"/>
    <n v="0"/>
    <s v="PC 17757"/>
    <n v="227.52500000000001"/>
    <x v="0"/>
    <s v="Unknown"/>
    <s v="Unknown"/>
    <s v="Cherbourg"/>
    <n v="4"/>
    <s v="Not Found"/>
    <s v="Not Found"/>
    <m/>
  </r>
  <r>
    <x v="0"/>
    <x v="0"/>
    <s v="Miss. Bird Ellen"/>
    <x v="0"/>
    <n v="29"/>
    <x v="0"/>
    <n v="0"/>
    <n v="0"/>
    <s v="PC 17483"/>
    <n v="221.7792"/>
    <x v="0"/>
    <s v="C97"/>
    <s v="C"/>
    <s v="Southampton"/>
    <n v="8"/>
    <s v="Not Found"/>
    <s v="Not Found"/>
    <m/>
  </r>
  <r>
    <x v="0"/>
    <x v="1"/>
    <s v="Mr. Birnbaum Jakob"/>
    <x v="1"/>
    <n v="25"/>
    <x v="0"/>
    <n v="0"/>
    <n v="0"/>
    <n v="13905"/>
    <n v="26"/>
    <x v="1"/>
    <s v="Unknown"/>
    <s v="Unknown"/>
    <s v="Cherbourg"/>
    <s v="Not Applicable"/>
    <n v="148"/>
    <s v="Found"/>
    <s v="San Francisco, CA"/>
  </r>
  <r>
    <x v="0"/>
    <x v="0"/>
    <s v="Mr. Bishop Dickinson"/>
    <x v="1"/>
    <n v="25"/>
    <x v="0"/>
    <n v="0"/>
    <n v="1"/>
    <n v="11967"/>
    <n v="91.0792"/>
    <x v="0"/>
    <s v="B49"/>
    <s v="B"/>
    <s v="Cherbourg"/>
    <n v="7"/>
    <s v="Not Found"/>
    <s v="Not Found"/>
    <s v="Dowagiac, MI"/>
  </r>
  <r>
    <x v="0"/>
    <x v="0"/>
    <s v="Mrs. Bishop Dickinson"/>
    <x v="0"/>
    <n v="19"/>
    <x v="0"/>
    <n v="0"/>
    <n v="1"/>
    <n v="11967"/>
    <n v="91.0792"/>
    <x v="0"/>
    <s v="B49"/>
    <s v="B"/>
    <s v="Cherbourg"/>
    <n v="7"/>
    <s v="Not Found"/>
    <s v="Not Found"/>
    <s v="Dowagiac, MI"/>
  </r>
  <r>
    <x v="0"/>
    <x v="0"/>
    <s v="Miss. Bissette Amelia"/>
    <x v="0"/>
    <n v="35"/>
    <x v="2"/>
    <n v="0"/>
    <n v="0"/>
    <s v="PC 17760"/>
    <n v="135.63329999999999"/>
    <x v="0"/>
    <s v="C99"/>
    <s v="C"/>
    <s v="Southampton"/>
    <n v="8"/>
    <s v="Not Found"/>
    <s v="Not Found"/>
    <m/>
  </r>
  <r>
    <x v="0"/>
    <x v="0"/>
    <s v="Mr. Bjornstrom-Steffansson Mauritz"/>
    <x v="1"/>
    <n v="28"/>
    <x v="0"/>
    <n v="0"/>
    <n v="0"/>
    <n v="110564"/>
    <n v="26.55"/>
    <x v="1"/>
    <s v="C52"/>
    <s v="C"/>
    <s v="Southampton"/>
    <s v="D"/>
    <s v="Not Found"/>
    <s v="Not Found"/>
    <s v="Stockholm, Sweden / Washington, DC"/>
  </r>
  <r>
    <x v="0"/>
    <x v="1"/>
    <s v="Mr. Blackwell Stephen"/>
    <x v="1"/>
    <n v="45"/>
    <x v="2"/>
    <n v="0"/>
    <n v="0"/>
    <n v="113784"/>
    <n v="35.5"/>
    <x v="1"/>
    <s v="T"/>
    <s v="T"/>
    <s v="Southampton"/>
    <s v="Not Applicable"/>
    <s v="Not Found"/>
    <s v="Not Found"/>
    <s v="Trenton, NJ"/>
  </r>
  <r>
    <x v="0"/>
    <x v="0"/>
    <s v="Mr. Blank Henry"/>
    <x v="1"/>
    <n v="40"/>
    <x v="2"/>
    <n v="0"/>
    <n v="0"/>
    <n v="112277"/>
    <n v="31"/>
    <x v="1"/>
    <s v="A31"/>
    <s v="A"/>
    <s v="Cherbourg"/>
    <n v="7"/>
    <s v="Not Found"/>
    <s v="Not Found"/>
    <s v="Glen Ridge, NJ"/>
  </r>
  <r>
    <x v="0"/>
    <x v="0"/>
    <s v="Miss. Bonnell Caroline"/>
    <x v="0"/>
    <n v="30"/>
    <x v="2"/>
    <n v="0"/>
    <n v="0"/>
    <n v="36928"/>
    <n v="164.86670000000001"/>
    <x v="0"/>
    <s v="C7"/>
    <s v="C"/>
    <s v="Southampton"/>
    <n v="8"/>
    <s v="Not Found"/>
    <s v="Not Found"/>
    <s v="Youngstown, OH"/>
  </r>
  <r>
    <x v="0"/>
    <x v="0"/>
    <s v="Miss. Bonnell Elizabeth"/>
    <x v="0"/>
    <n v="58"/>
    <x v="2"/>
    <n v="0"/>
    <n v="0"/>
    <n v="113783"/>
    <n v="26.55"/>
    <x v="1"/>
    <s v="C103"/>
    <s v="C"/>
    <s v="Southampton"/>
    <n v="8"/>
    <s v="Not Found"/>
    <s v="Not Found"/>
    <s v="Birkdale, England Cleveland, Ohio"/>
  </r>
  <r>
    <x v="0"/>
    <x v="1"/>
    <s v="Mr. Borebank John"/>
    <x v="1"/>
    <n v="42"/>
    <x v="2"/>
    <n v="0"/>
    <n v="0"/>
    <n v="110489"/>
    <n v="26.55"/>
    <x v="1"/>
    <s v="D22"/>
    <s v="D"/>
    <s v="Southampton"/>
    <s v="Not Applicable"/>
    <s v="Not Found"/>
    <s v="Not Found"/>
    <s v="London / Winnipeg, MB"/>
  </r>
  <r>
    <x v="0"/>
    <x v="0"/>
    <s v="Miss. Bowen Grace"/>
    <x v="0"/>
    <n v="45"/>
    <x v="2"/>
    <n v="0"/>
    <n v="0"/>
    <s v="PC 17608"/>
    <n v="262.375"/>
    <x v="0"/>
    <s v="Unknown"/>
    <s v="Unknown"/>
    <s v="Cherbourg"/>
    <n v="4"/>
    <s v="Not Found"/>
    <s v="Not Found"/>
    <s v="Cooperstown, NY"/>
  </r>
  <r>
    <x v="0"/>
    <x v="0"/>
    <s v="Miss. Bowerman Elsie"/>
    <x v="0"/>
    <n v="22"/>
    <x v="0"/>
    <n v="1"/>
    <n v="0"/>
    <n v="113505"/>
    <n v="55"/>
    <x v="0"/>
    <s v="E33"/>
    <s v="E"/>
    <s v="Southampton"/>
    <n v="6"/>
    <s v="Not Found"/>
    <s v="Not Found"/>
    <s v="St Leonards-on-Sea, England Ohio"/>
  </r>
  <r>
    <x v="0"/>
    <x v="0"/>
    <s v="Mr. Bradley George"/>
    <x v="1"/>
    <n v="28"/>
    <x v="0"/>
    <n v="0"/>
    <n v="0"/>
    <n v="111427"/>
    <n v="26.55"/>
    <x v="1"/>
    <s v="Unknown"/>
    <s v="Unknown"/>
    <s v="Southampton"/>
    <n v="9"/>
    <s v="Not Found"/>
    <s v="Not Found"/>
    <s v="Los Angeles, CA"/>
  </r>
  <r>
    <x v="0"/>
    <x v="1"/>
    <s v="Mr. Brady John"/>
    <x v="1"/>
    <n v="41"/>
    <x v="2"/>
    <n v="0"/>
    <n v="0"/>
    <n v="113054"/>
    <n v="30.5"/>
    <x v="1"/>
    <s v="A21"/>
    <s v="A"/>
    <s v="Southampton"/>
    <s v="Not Applicable"/>
    <s v="Not Found"/>
    <s v="Not Found"/>
    <s v="Pomeroy, WA"/>
  </r>
  <r>
    <x v="0"/>
    <x v="1"/>
    <s v="Mr. Brandeis Emil"/>
    <x v="1"/>
    <n v="48"/>
    <x v="2"/>
    <n v="0"/>
    <n v="0"/>
    <s v="PC 17591"/>
    <n v="50.495800000000003"/>
    <x v="0"/>
    <s v="B10"/>
    <s v="B"/>
    <s v="Cherbourg"/>
    <s v="Not Applicable"/>
    <n v="208"/>
    <s v="Found"/>
    <s v="Omaha, NE"/>
  </r>
  <r>
    <x v="0"/>
    <x v="1"/>
    <s v="Dr. Brewe Arthur"/>
    <x v="1"/>
    <n v="28"/>
    <x v="0"/>
    <n v="0"/>
    <n v="0"/>
    <n v="112379"/>
    <n v="39.6"/>
    <x v="1"/>
    <s v="Unknown"/>
    <s v="Unknown"/>
    <s v="Cherbourg"/>
    <s v="Not Applicable"/>
    <s v="Not Found"/>
    <s v="Not Found"/>
    <s v="Philadelphia, PA"/>
  </r>
  <r>
    <x v="0"/>
    <x v="0"/>
    <s v="Mrs. Brown James"/>
    <x v="0"/>
    <n v="44"/>
    <x v="2"/>
    <n v="0"/>
    <n v="0"/>
    <s v="PC 17610"/>
    <n v="27.720800000000001"/>
    <x v="1"/>
    <s v="B4"/>
    <s v="B"/>
    <s v="Cherbourg"/>
    <n v="6"/>
    <s v="Not Found"/>
    <s v="Not Found"/>
    <s v="Denver, CO"/>
  </r>
  <r>
    <x v="0"/>
    <x v="0"/>
    <s v="Mrs. Brown John"/>
    <x v="0"/>
    <n v="59"/>
    <x v="2"/>
    <n v="0"/>
    <n v="2"/>
    <n v="11769"/>
    <n v="51.479199999999999"/>
    <x v="0"/>
    <s v="C101"/>
    <s v="C"/>
    <s v="Southampton"/>
    <s v="D"/>
    <s v="Not Found"/>
    <s v="Not Found"/>
    <s v="Belmont, MA"/>
  </r>
  <r>
    <x v="0"/>
    <x v="0"/>
    <s v="Mrs. Bucknell William"/>
    <x v="0"/>
    <n v="60"/>
    <x v="3"/>
    <n v="0"/>
    <n v="0"/>
    <n v="11813"/>
    <n v="76.291700000000006"/>
    <x v="0"/>
    <s v="D15"/>
    <s v="D"/>
    <s v="Cherbourg"/>
    <n v="8"/>
    <s v="Not Found"/>
    <s v="Not Found"/>
    <s v="Philadelphia, PA"/>
  </r>
  <r>
    <x v="0"/>
    <x v="0"/>
    <s v="Miss. Burns Elizabeth"/>
    <x v="0"/>
    <n v="41"/>
    <x v="2"/>
    <n v="0"/>
    <n v="0"/>
    <n v="16966"/>
    <n v="134.5"/>
    <x v="0"/>
    <s v="E40"/>
    <s v="E"/>
    <s v="Cherbourg"/>
    <n v="3"/>
    <s v="Not Found"/>
    <s v="Not Found"/>
    <m/>
  </r>
  <r>
    <x v="0"/>
    <x v="1"/>
    <s v="Major. Butt Archibald"/>
    <x v="1"/>
    <n v="45"/>
    <x v="2"/>
    <n v="0"/>
    <n v="0"/>
    <n v="113050"/>
    <n v="26.55"/>
    <x v="1"/>
    <s v="B38"/>
    <s v="B"/>
    <s v="Southampton"/>
    <s v="Not Applicable"/>
    <s v="Not Found"/>
    <s v="Not Found"/>
    <s v="Washington, DC"/>
  </r>
  <r>
    <x v="0"/>
    <x v="1"/>
    <s v="Mr. Cairns Alexander"/>
    <x v="1"/>
    <n v="28"/>
    <x v="0"/>
    <n v="0"/>
    <n v="0"/>
    <n v="113798"/>
    <n v="31"/>
    <x v="1"/>
    <s v="Unknown"/>
    <s v="Unknown"/>
    <s v="Southampton"/>
    <s v="Not Applicable"/>
    <s v="Not Found"/>
    <s v="Not Found"/>
    <m/>
  </r>
  <r>
    <x v="0"/>
    <x v="0"/>
    <s v="Mr. Calderhead Edward"/>
    <x v="1"/>
    <n v="42"/>
    <x v="2"/>
    <n v="0"/>
    <n v="0"/>
    <s v="PC 17476"/>
    <n v="26.287500000000001"/>
    <x v="1"/>
    <s v="E24"/>
    <s v="E"/>
    <s v="Southampton"/>
    <n v="5"/>
    <s v="Not Found"/>
    <s v="Not Found"/>
    <s v="New York, NY"/>
  </r>
  <r>
    <x v="0"/>
    <x v="0"/>
    <s v="Mrs. Candee Edward"/>
    <x v="0"/>
    <n v="53"/>
    <x v="2"/>
    <n v="0"/>
    <n v="0"/>
    <s v="PC 17606"/>
    <n v="27.445799999999998"/>
    <x v="1"/>
    <s v="Unknown"/>
    <s v="Unknown"/>
    <s v="Cherbourg"/>
    <n v="6"/>
    <s v="Not Found"/>
    <s v="Not Found"/>
    <s v="Washington, DC"/>
  </r>
  <r>
    <x v="0"/>
    <x v="0"/>
    <s v="Mr. Cardeza Thomas"/>
    <x v="1"/>
    <n v="36"/>
    <x v="2"/>
    <n v="1"/>
    <n v="0"/>
    <s v="PC 17755"/>
    <n v="512.32920000000001"/>
    <x v="0"/>
    <s v="B51 B53 B55"/>
    <s v="B"/>
    <s v="Cherbourg"/>
    <n v="3"/>
    <s v="Not Found"/>
    <s v="Not Found"/>
    <s v="Austria-Hungary / Germantown, Philadelphia, PA"/>
  </r>
  <r>
    <x v="0"/>
    <x v="0"/>
    <s v="Mrs. Cardeza James"/>
    <x v="0"/>
    <n v="58"/>
    <x v="2"/>
    <n v="1"/>
    <n v="0"/>
    <s v="PC 17755"/>
    <n v="512.32920000000001"/>
    <x v="0"/>
    <s v="B51 B53 B55"/>
    <s v="B"/>
    <s v="Cherbourg"/>
    <n v="3"/>
    <s v="Not Found"/>
    <s v="Not Found"/>
    <s v="Germantown, Philadelphia, PA"/>
  </r>
  <r>
    <x v="0"/>
    <x v="1"/>
    <s v="Mr. Carlsson Frans"/>
    <x v="1"/>
    <n v="33"/>
    <x v="2"/>
    <n v="0"/>
    <n v="0"/>
    <n v="695"/>
    <n v="5"/>
    <x v="2"/>
    <s v="B51 B53 B55"/>
    <s v="B"/>
    <s v="Southampton"/>
    <s v="Not Applicable"/>
    <s v="Not Found"/>
    <s v="Not Found"/>
    <s v="New York, NY"/>
  </r>
  <r>
    <x v="0"/>
    <x v="1"/>
    <s v="Mr. Carrau Francisco"/>
    <x v="1"/>
    <n v="28"/>
    <x v="0"/>
    <n v="0"/>
    <n v="0"/>
    <n v="113059"/>
    <n v="47.1"/>
    <x v="1"/>
    <s v="Unknown"/>
    <s v="Unknown"/>
    <s v="Southampton"/>
    <s v="Not Applicable"/>
    <s v="Not Found"/>
    <s v="Not Found"/>
    <s v="Montevideo, Uruguay"/>
  </r>
  <r>
    <x v="0"/>
    <x v="1"/>
    <s v="Mr. Carrau Jose"/>
    <x v="1"/>
    <n v="17"/>
    <x v="4"/>
    <n v="0"/>
    <n v="0"/>
    <n v="113059"/>
    <n v="47.1"/>
    <x v="1"/>
    <s v="Unknown"/>
    <s v="Unknown"/>
    <s v="Southampton"/>
    <s v="Not Applicable"/>
    <s v="Not Found"/>
    <s v="Not Found"/>
    <s v="Montevideo, Uruguay"/>
  </r>
  <r>
    <x v="0"/>
    <x v="0"/>
    <s v="Master. Carter William"/>
    <x v="1"/>
    <n v="11"/>
    <x v="4"/>
    <n v="2"/>
    <n v="1"/>
    <n v="113760"/>
    <n v="120"/>
    <x v="0"/>
    <s v="B96 B98"/>
    <s v="B"/>
    <s v="Southampton"/>
    <n v="4"/>
    <s v="Not Found"/>
    <s v="Not Found"/>
    <s v="Bryn Mawr, PA"/>
  </r>
  <r>
    <x v="0"/>
    <x v="0"/>
    <s v="Miss. Carter Lucile"/>
    <x v="0"/>
    <n v="14"/>
    <x v="4"/>
    <n v="2"/>
    <n v="1"/>
    <n v="113760"/>
    <n v="120"/>
    <x v="0"/>
    <s v="B96 B98"/>
    <s v="B"/>
    <s v="Southampton"/>
    <n v="4"/>
    <s v="Not Found"/>
    <s v="Not Found"/>
    <s v="Bryn Mawr, PA"/>
  </r>
  <r>
    <x v="0"/>
    <x v="0"/>
    <s v="Mr. Carter William"/>
    <x v="1"/>
    <n v="36"/>
    <x v="2"/>
    <n v="2"/>
    <n v="1"/>
    <n v="113760"/>
    <n v="120"/>
    <x v="0"/>
    <s v="B96 B98"/>
    <s v="B"/>
    <s v="Southampton"/>
    <s v="C"/>
    <s v="Not Found"/>
    <s v="Not Found"/>
    <s v="Bryn Mawr, PA"/>
  </r>
  <r>
    <x v="0"/>
    <x v="0"/>
    <s v="Mrs. Carter William"/>
    <x v="0"/>
    <n v="36"/>
    <x v="2"/>
    <n v="2"/>
    <n v="1"/>
    <n v="113760"/>
    <n v="120"/>
    <x v="0"/>
    <s v="B96 B98"/>
    <s v="B"/>
    <s v="Southampton"/>
    <n v="4"/>
    <s v="Not Found"/>
    <s v="Not Found"/>
    <s v="Bryn Mawr, PA"/>
  </r>
  <r>
    <x v="0"/>
    <x v="1"/>
    <s v="Mr. Case Howard"/>
    <x v="1"/>
    <n v="49"/>
    <x v="2"/>
    <n v="0"/>
    <n v="0"/>
    <n v="19924"/>
    <n v="26"/>
    <x v="1"/>
    <s v="Unknown"/>
    <s v="Unknown"/>
    <s v="Southampton"/>
    <s v="Not Applicable"/>
    <s v="Not Found"/>
    <s v="Not Found"/>
    <s v="Ascot, Berkshire / Rochester, NY"/>
  </r>
  <r>
    <x v="0"/>
    <x v="0"/>
    <s v="Mrs. Cassebeer Henry"/>
    <x v="0"/>
    <n v="28"/>
    <x v="0"/>
    <n v="0"/>
    <n v="0"/>
    <n v="17770"/>
    <n v="27.720800000000001"/>
    <x v="1"/>
    <s v="Unknown"/>
    <s v="Unknown"/>
    <s v="Cherbourg"/>
    <n v="5"/>
    <s v="Not Found"/>
    <s v="Not Found"/>
    <s v="New York, NY"/>
  </r>
  <r>
    <x v="0"/>
    <x v="1"/>
    <s v="Mr. Cavendish Tyrell"/>
    <x v="1"/>
    <n v="36"/>
    <x v="2"/>
    <n v="0"/>
    <n v="1"/>
    <n v="19877"/>
    <n v="78.849999999999994"/>
    <x v="0"/>
    <s v="C46"/>
    <s v="C"/>
    <s v="Southampton"/>
    <s v="Not Applicable"/>
    <n v="172"/>
    <s v="Found"/>
    <s v="Little Onn Hall, Staffs"/>
  </r>
  <r>
    <x v="0"/>
    <x v="0"/>
    <s v="Mrs. Cavendish Tyrell"/>
    <x v="0"/>
    <n v="76"/>
    <x v="3"/>
    <n v="0"/>
    <n v="1"/>
    <n v="19877"/>
    <n v="78.849999999999994"/>
    <x v="0"/>
    <s v="C46"/>
    <s v="C"/>
    <s v="Southampton"/>
    <n v="6"/>
    <s v="Not Found"/>
    <s v="Not Found"/>
    <s v="Little Onn Hall, Staffs"/>
  </r>
  <r>
    <x v="0"/>
    <x v="1"/>
    <s v="Mr. Chaffee Herbert"/>
    <x v="1"/>
    <n v="46"/>
    <x v="2"/>
    <n v="0"/>
    <n v="1"/>
    <s v="W.E.P. 5734"/>
    <n v="61.174999999999997"/>
    <x v="0"/>
    <s v="E31"/>
    <s v="E"/>
    <s v="Southampton"/>
    <s v="Not Applicable"/>
    <s v="Not Found"/>
    <s v="Not Found"/>
    <s v="Amenia, ND"/>
  </r>
  <r>
    <x v="0"/>
    <x v="0"/>
    <s v="Mrs. Chaffee Herbert"/>
    <x v="0"/>
    <n v="47"/>
    <x v="2"/>
    <n v="0"/>
    <n v="1"/>
    <s v="W.E.P. 5734"/>
    <n v="61.174999999999997"/>
    <x v="0"/>
    <s v="E31"/>
    <s v="E"/>
    <s v="Southampton"/>
    <n v="4"/>
    <s v="Not Found"/>
    <s v="Not Found"/>
    <s v="Amenia, ND"/>
  </r>
  <r>
    <x v="0"/>
    <x v="0"/>
    <s v="Mr. Chambers Norman"/>
    <x v="1"/>
    <n v="27"/>
    <x v="0"/>
    <n v="0"/>
    <n v="1"/>
    <n v="113806"/>
    <n v="53.1"/>
    <x v="0"/>
    <s v="E8"/>
    <s v="E"/>
    <s v="Southampton"/>
    <n v="5"/>
    <s v="Not Found"/>
    <s v="Not Found"/>
    <s v="New York, NY / Ithaca, NY"/>
  </r>
  <r>
    <x v="0"/>
    <x v="0"/>
    <s v="Mrs. Chambers Norman"/>
    <x v="0"/>
    <n v="33"/>
    <x v="2"/>
    <n v="0"/>
    <n v="1"/>
    <n v="113806"/>
    <n v="53.1"/>
    <x v="0"/>
    <s v="E8"/>
    <s v="E"/>
    <s v="Southampton"/>
    <n v="5"/>
    <s v="Not Found"/>
    <s v="Not Found"/>
    <s v="New York, NY / Ithaca, NY"/>
  </r>
  <r>
    <x v="0"/>
    <x v="0"/>
    <s v="Miss. Chaudanson Victorine"/>
    <x v="0"/>
    <n v="36"/>
    <x v="2"/>
    <n v="0"/>
    <n v="0"/>
    <s v="PC 17608"/>
    <n v="262.375"/>
    <x v="0"/>
    <s v="B61"/>
    <s v="B"/>
    <s v="Cherbourg"/>
    <n v="4"/>
    <s v="Not Found"/>
    <s v="Not Found"/>
    <m/>
  </r>
  <r>
    <x v="0"/>
    <x v="0"/>
    <s v="Miss. Cherry Gladys"/>
    <x v="0"/>
    <n v="30"/>
    <x v="2"/>
    <n v="0"/>
    <n v="0"/>
    <n v="110152"/>
    <n v="86.5"/>
    <x v="0"/>
    <s v="B77"/>
    <s v="B"/>
    <s v="Southampton"/>
    <n v="8"/>
    <s v="Not Found"/>
    <s v="Not Found"/>
    <s v="London, England"/>
  </r>
  <r>
    <x v="0"/>
    <x v="0"/>
    <s v="Mr. Chevre Paul"/>
    <x v="1"/>
    <n v="45"/>
    <x v="2"/>
    <n v="0"/>
    <n v="0"/>
    <s v="PC 17594"/>
    <n v="29.7"/>
    <x v="1"/>
    <s v="A9"/>
    <s v="A"/>
    <s v="Cherbourg"/>
    <n v="7"/>
    <s v="Not Found"/>
    <s v="Not Found"/>
    <s v="Paris, France"/>
  </r>
  <r>
    <x v="0"/>
    <x v="0"/>
    <s v="Mrs. Chibnall (Edith"/>
    <x v="0"/>
    <n v="28"/>
    <x v="0"/>
    <n v="1"/>
    <n v="0"/>
    <n v="113505"/>
    <n v="55"/>
    <x v="0"/>
    <s v="E33"/>
    <s v="E"/>
    <s v="Southampton"/>
    <n v="6"/>
    <s v="Not Found"/>
    <s v="Not Found"/>
    <s v="St Leonards-on-Sea, England Ohio"/>
  </r>
  <r>
    <x v="0"/>
    <x v="1"/>
    <s v="Mr. Chisholm Roderick"/>
    <x v="1"/>
    <n v="28"/>
    <x v="0"/>
    <n v="0"/>
    <n v="0"/>
    <n v="112051"/>
    <n v="0"/>
    <x v="2"/>
    <s v="Unknown"/>
    <s v="Unknown"/>
    <s v="Southampton"/>
    <s v="Not Applicable"/>
    <s v="Not Found"/>
    <s v="Not Found"/>
    <s v="Liverpool, England / Belfast"/>
  </r>
  <r>
    <x v="0"/>
    <x v="1"/>
    <s v="Mr. Clark Walter"/>
    <x v="1"/>
    <n v="27"/>
    <x v="0"/>
    <n v="0"/>
    <n v="1"/>
    <n v="13508"/>
    <n v="136.7792"/>
    <x v="0"/>
    <s v="C89"/>
    <s v="C"/>
    <s v="Cherbourg"/>
    <s v="Not Applicable"/>
    <s v="Not Found"/>
    <s v="Not Found"/>
    <s v="Los Angeles, CA"/>
  </r>
  <r>
    <x v="0"/>
    <x v="0"/>
    <s v="Mrs. Clark Walter"/>
    <x v="0"/>
    <n v="26"/>
    <x v="0"/>
    <n v="0"/>
    <n v="1"/>
    <n v="13508"/>
    <n v="136.7792"/>
    <x v="0"/>
    <s v="C89"/>
    <s v="C"/>
    <s v="Cherbourg"/>
    <n v="4"/>
    <s v="Not Found"/>
    <s v="Not Found"/>
    <s v="Los Angeles, CA"/>
  </r>
  <r>
    <x v="0"/>
    <x v="0"/>
    <s v="Miss. Cleaver Alice"/>
    <x v="0"/>
    <n v="22"/>
    <x v="0"/>
    <n v="0"/>
    <n v="0"/>
    <n v="113781"/>
    <n v="151.55000000000001"/>
    <x v="0"/>
    <s v="Unknown"/>
    <s v="Unknown"/>
    <s v="Southampton"/>
    <n v="11"/>
    <s v="Not Found"/>
    <s v="Not Found"/>
    <m/>
  </r>
  <r>
    <x v="0"/>
    <x v="1"/>
    <s v="Mr. Clifford George"/>
    <x v="1"/>
    <n v="28"/>
    <x v="0"/>
    <n v="0"/>
    <n v="0"/>
    <n v="110465"/>
    <n v="52"/>
    <x v="0"/>
    <s v="A14"/>
    <s v="A"/>
    <s v="Southampton"/>
    <s v="Not Applicable"/>
    <s v="Not Found"/>
    <s v="Not Found"/>
    <s v="Stoughton, MA"/>
  </r>
  <r>
    <x v="0"/>
    <x v="1"/>
    <s v="Mr. Colley Edward"/>
    <x v="1"/>
    <n v="47"/>
    <x v="2"/>
    <n v="0"/>
    <n v="0"/>
    <n v="5727"/>
    <n v="25.587499999999999"/>
    <x v="1"/>
    <s v="E58"/>
    <s v="E"/>
    <s v="Southampton"/>
    <s v="Not Applicable"/>
    <s v="Not Found"/>
    <s v="Not Found"/>
    <s v="Victoria, BC"/>
  </r>
  <r>
    <x v="0"/>
    <x v="0"/>
    <s v="Miss. Compton Sara"/>
    <x v="0"/>
    <n v="39"/>
    <x v="2"/>
    <n v="1"/>
    <n v="1"/>
    <s v="PC 17756"/>
    <n v="83.158299999999997"/>
    <x v="0"/>
    <s v="E49"/>
    <s v="E"/>
    <s v="Cherbourg"/>
    <n v="14"/>
    <s v="Not Found"/>
    <s v="Not Found"/>
    <s v="Lakewood, NJ"/>
  </r>
  <r>
    <x v="0"/>
    <x v="1"/>
    <s v="Mr. Compton Alexander"/>
    <x v="1"/>
    <n v="37"/>
    <x v="2"/>
    <n v="1"/>
    <n v="1"/>
    <s v="PC 17756"/>
    <n v="83.158299999999997"/>
    <x v="0"/>
    <s v="E52"/>
    <s v="E"/>
    <s v="Cherbourg"/>
    <s v="Not Applicable"/>
    <s v="Not Found"/>
    <s v="Not Found"/>
    <s v="Lakewood, NJ"/>
  </r>
  <r>
    <x v="0"/>
    <x v="0"/>
    <s v="Mrs. Compton Alexander"/>
    <x v="0"/>
    <n v="64"/>
    <x v="3"/>
    <n v="2"/>
    <n v="0"/>
    <s v="PC 17756"/>
    <n v="83.158299999999997"/>
    <x v="0"/>
    <s v="E45"/>
    <s v="E"/>
    <s v="Cherbourg"/>
    <n v="14"/>
    <s v="Not Found"/>
    <s v="Not Found"/>
    <s v="Lakewood, NJ"/>
  </r>
  <r>
    <x v="0"/>
    <x v="0"/>
    <s v="Mrs. Cornell Robert"/>
    <x v="0"/>
    <n v="55"/>
    <x v="2"/>
    <n v="0"/>
    <n v="2"/>
    <n v="11770"/>
    <n v="25.7"/>
    <x v="1"/>
    <s v="C101"/>
    <s v="C"/>
    <s v="Southampton"/>
    <n v="2"/>
    <s v="Not Found"/>
    <s v="Not Found"/>
    <s v="New York, NY"/>
  </r>
  <r>
    <x v="0"/>
    <x v="1"/>
    <s v="Mr. Crafton John"/>
    <x v="1"/>
    <n v="28"/>
    <x v="0"/>
    <n v="0"/>
    <n v="0"/>
    <n v="113791"/>
    <n v="26.55"/>
    <x v="1"/>
    <s v="Unknown"/>
    <s v="Unknown"/>
    <s v="Southampton"/>
    <s v="Not Applicable"/>
    <s v="Not Found"/>
    <s v="Not Found"/>
    <s v="Roachdale, IN"/>
  </r>
  <r>
    <x v="0"/>
    <x v="1"/>
    <s v="Capt. Crosby Edward"/>
    <x v="1"/>
    <n v="70"/>
    <x v="3"/>
    <n v="1"/>
    <n v="1"/>
    <s v="WE/P 5735"/>
    <n v="71"/>
    <x v="0"/>
    <s v="B22"/>
    <s v="B"/>
    <s v="Southampton"/>
    <s v="Not Applicable"/>
    <n v="269"/>
    <s v="Found"/>
    <s v="Milwaukee, WI"/>
  </r>
  <r>
    <x v="0"/>
    <x v="0"/>
    <s v="Miss. Crosby Harriet"/>
    <x v="0"/>
    <n v="36"/>
    <x v="2"/>
    <n v="2"/>
    <n v="0"/>
    <s v="WE/P 5735"/>
    <n v="71"/>
    <x v="0"/>
    <s v="B22"/>
    <s v="B"/>
    <s v="Southampton"/>
    <n v="7"/>
    <s v="Not Found"/>
    <s v="Not Found"/>
    <s v="Milwaukee, WI"/>
  </r>
  <r>
    <x v="0"/>
    <x v="0"/>
    <s v="Mrs. Crosby Edward"/>
    <x v="0"/>
    <n v="64"/>
    <x v="3"/>
    <n v="1"/>
    <n v="1"/>
    <n v="112901"/>
    <n v="26.55"/>
    <x v="1"/>
    <s v="B26"/>
    <s v="B"/>
    <s v="Southampton"/>
    <n v="7"/>
    <s v="Not Found"/>
    <s v="Not Found"/>
    <s v="Milwaukee, WI"/>
  </r>
  <r>
    <x v="0"/>
    <x v="1"/>
    <s v="Mr. Cumings John"/>
    <x v="1"/>
    <n v="39"/>
    <x v="2"/>
    <n v="0"/>
    <n v="1"/>
    <s v="PC 17599"/>
    <n v="71.283299999999997"/>
    <x v="0"/>
    <s v="C85"/>
    <s v="C"/>
    <s v="Cherbourg"/>
    <s v="Not Applicable"/>
    <s v="Not Found"/>
    <s v="Not Found"/>
    <s v="New York, NY"/>
  </r>
  <r>
    <x v="0"/>
    <x v="0"/>
    <s v="Mrs. Cumings John"/>
    <x v="0"/>
    <n v="38"/>
    <x v="2"/>
    <n v="0"/>
    <n v="1"/>
    <s v="PC 17599"/>
    <n v="71.283299999999997"/>
    <x v="0"/>
    <s v="C85"/>
    <s v="C"/>
    <s v="Cherbourg"/>
    <n v="4"/>
    <s v="Not Found"/>
    <s v="Not Found"/>
    <s v="New York, NY"/>
  </r>
  <r>
    <x v="0"/>
    <x v="0"/>
    <s v="Mr. Daly Peter"/>
    <x v="1"/>
    <n v="51"/>
    <x v="2"/>
    <n v="0"/>
    <n v="0"/>
    <n v="113055"/>
    <n v="26.55"/>
    <x v="1"/>
    <s v="E17"/>
    <s v="E"/>
    <s v="Southampton"/>
    <s v="5 9"/>
    <s v="Not Found"/>
    <s v="Not Found"/>
    <s v="Lima, Peru"/>
  </r>
  <r>
    <x v="0"/>
    <x v="0"/>
    <s v="Mr. Daniel Robert"/>
    <x v="1"/>
    <n v="27"/>
    <x v="0"/>
    <n v="0"/>
    <n v="0"/>
    <n v="113804"/>
    <n v="30.5"/>
    <x v="1"/>
    <s v="Unknown"/>
    <s v="Unknown"/>
    <s v="Southampton"/>
    <n v="3"/>
    <s v="Not Found"/>
    <s v="Not Found"/>
    <s v="Philadelphia, PA"/>
  </r>
  <r>
    <x v="0"/>
    <x v="0"/>
    <s v="Miss. Daniels Sarah"/>
    <x v="0"/>
    <n v="33"/>
    <x v="2"/>
    <n v="0"/>
    <n v="0"/>
    <n v="113781"/>
    <n v="151.55000000000001"/>
    <x v="0"/>
    <s v="Unknown"/>
    <s v="Unknown"/>
    <s v="Southampton"/>
    <n v="8"/>
    <s v="Not Found"/>
    <s v="Not Found"/>
    <m/>
  </r>
  <r>
    <x v="0"/>
    <x v="1"/>
    <s v="Mr. Davidson Thornton"/>
    <x v="1"/>
    <n v="31"/>
    <x v="2"/>
    <n v="0"/>
    <n v="1"/>
    <s v="F.C. 12750"/>
    <n v="52"/>
    <x v="0"/>
    <s v="B71"/>
    <s v="B"/>
    <s v="Southampton"/>
    <s v="Not Applicable"/>
    <s v="Not Found"/>
    <s v="Not Found"/>
    <s v="Montreal, PQ"/>
  </r>
  <r>
    <x v="0"/>
    <x v="0"/>
    <s v="Mrs. Davidson Thornton"/>
    <x v="0"/>
    <n v="27"/>
    <x v="0"/>
    <n v="2"/>
    <n v="1"/>
    <s v="F.C. 12750"/>
    <n v="52"/>
    <x v="0"/>
    <s v="B71"/>
    <s v="B"/>
    <s v="Southampton"/>
    <n v="3"/>
    <s v="Not Found"/>
    <s v="Not Found"/>
    <s v="Montreal, PQ"/>
  </r>
  <r>
    <x v="0"/>
    <x v="0"/>
    <s v="Mr. Dick Albert"/>
    <x v="1"/>
    <n v="31"/>
    <x v="2"/>
    <n v="0"/>
    <n v="1"/>
    <n v="17474"/>
    <n v="57"/>
    <x v="0"/>
    <s v="B20"/>
    <s v="B"/>
    <s v="Southampton"/>
    <n v="3"/>
    <s v="Not Found"/>
    <s v="Not Found"/>
    <s v="Calgary, AB"/>
  </r>
  <r>
    <x v="0"/>
    <x v="0"/>
    <s v="Mrs. Dick Albert"/>
    <x v="0"/>
    <n v="17"/>
    <x v="4"/>
    <n v="0"/>
    <n v="1"/>
    <n v="17474"/>
    <n v="57"/>
    <x v="0"/>
    <s v="B20"/>
    <s v="B"/>
    <s v="Southampton"/>
    <n v="3"/>
    <s v="Not Found"/>
    <s v="Not Found"/>
    <s v="Calgary, AB"/>
  </r>
  <r>
    <x v="0"/>
    <x v="0"/>
    <s v="Dr. Dodge Washington"/>
    <x v="1"/>
    <n v="53"/>
    <x v="2"/>
    <n v="1"/>
    <n v="1"/>
    <n v="33638"/>
    <n v="81.8583"/>
    <x v="0"/>
    <s v="A34"/>
    <s v="A"/>
    <s v="Southampton"/>
    <n v="13"/>
    <s v="Not Found"/>
    <s v="Not Found"/>
    <s v="San Francisco, CA"/>
  </r>
  <r>
    <x v="0"/>
    <x v="0"/>
    <s v="Master. Dodge Washington"/>
    <x v="1"/>
    <n v="4"/>
    <x v="1"/>
    <n v="2"/>
    <n v="0"/>
    <n v="33638"/>
    <n v="81.8583"/>
    <x v="0"/>
    <s v="A34"/>
    <s v="A"/>
    <s v="Southampton"/>
    <n v="5"/>
    <s v="Not Found"/>
    <s v="Not Found"/>
    <s v="San Francisco, CA"/>
  </r>
  <r>
    <x v="0"/>
    <x v="0"/>
    <s v="Mrs. Dodge Washington"/>
    <x v="0"/>
    <n v="54"/>
    <x v="2"/>
    <n v="1"/>
    <n v="1"/>
    <n v="33638"/>
    <n v="81.8583"/>
    <x v="0"/>
    <s v="A34"/>
    <s v="A"/>
    <s v="Southampton"/>
    <n v="5"/>
    <s v="Not Found"/>
    <s v="Not Found"/>
    <s v="San Francisco, CA"/>
  </r>
  <r>
    <x v="0"/>
    <x v="1"/>
    <s v="Mr. Douglas Walter"/>
    <x v="1"/>
    <n v="50"/>
    <x v="2"/>
    <n v="0"/>
    <n v="1"/>
    <s v="PC 17761"/>
    <n v="106.425"/>
    <x v="0"/>
    <s v="C86"/>
    <s v="C"/>
    <s v="Cherbourg"/>
    <s v="Not Applicable"/>
    <n v="62"/>
    <s v="Found"/>
    <s v="Deephaven, MN / Cedar Rapids, IA"/>
  </r>
  <r>
    <x v="0"/>
    <x v="0"/>
    <s v="Mrs. Douglas Frederick"/>
    <x v="0"/>
    <n v="27"/>
    <x v="0"/>
    <n v="1"/>
    <n v="1"/>
    <s v="PC 17558"/>
    <n v="247.52080000000001"/>
    <x v="0"/>
    <s v="B58 B60"/>
    <s v="B"/>
    <s v="Cherbourg"/>
    <n v="6"/>
    <s v="Not Found"/>
    <s v="Not Found"/>
    <s v="Montreal, PQ"/>
  </r>
  <r>
    <x v="0"/>
    <x v="0"/>
    <s v="Mrs. Douglas Walter"/>
    <x v="0"/>
    <n v="48"/>
    <x v="2"/>
    <n v="0"/>
    <n v="1"/>
    <s v="PC 17761"/>
    <n v="106.425"/>
    <x v="0"/>
    <s v="C86"/>
    <s v="C"/>
    <s v="Cherbourg"/>
    <n v="2"/>
    <s v="Not Found"/>
    <s v="Not Found"/>
    <s v="Deephaven, MN / Cedar Rapids, IA"/>
  </r>
  <r>
    <x v="0"/>
    <x v="0"/>
    <s v="Gordon Duff Lady."/>
    <x v="0"/>
    <n v="48"/>
    <x v="2"/>
    <n v="0"/>
    <n v="1"/>
    <n v="11755"/>
    <n v="39.6"/>
    <x v="1"/>
    <s v="A16"/>
    <s v="A"/>
    <s v="Cherbourg"/>
    <n v="1"/>
    <s v="Not Found"/>
    <s v="Not Found"/>
    <s v="London / Paris"/>
  </r>
  <r>
    <x v="0"/>
    <x v="0"/>
    <s v="Gordon Duff Sir."/>
    <x v="1"/>
    <n v="49"/>
    <x v="2"/>
    <n v="0"/>
    <n v="1"/>
    <s v="PC 17485"/>
    <n v="56.929200000000002"/>
    <x v="0"/>
    <s v="A20"/>
    <s v="A"/>
    <s v="Cherbourg"/>
    <n v="1"/>
    <s v="Not Found"/>
    <s v="Not Found"/>
    <s v="London / Paris"/>
  </r>
  <r>
    <x v="0"/>
    <x v="1"/>
    <s v="Mr. Dulles William"/>
    <x v="1"/>
    <n v="39"/>
    <x v="2"/>
    <n v="0"/>
    <n v="0"/>
    <s v="PC 17580"/>
    <n v="29.7"/>
    <x v="1"/>
    <s v="A18"/>
    <s v="A"/>
    <s v="Cherbourg"/>
    <s v="Not Applicable"/>
    <n v="133"/>
    <s v="Found"/>
    <s v="Philadelphia, PA"/>
  </r>
  <r>
    <x v="0"/>
    <x v="0"/>
    <s v="Mrs. Earnshaw Boulton"/>
    <x v="0"/>
    <n v="23"/>
    <x v="0"/>
    <n v="1"/>
    <n v="0"/>
    <n v="11767"/>
    <n v="83.158299999999997"/>
    <x v="0"/>
    <s v="C54"/>
    <s v="C"/>
    <s v="Cherbourg"/>
    <n v="7"/>
    <s v="Not Found"/>
    <s v="Not Found"/>
    <s v="Mt Airy, Philadelphia, PA"/>
  </r>
  <r>
    <x v="0"/>
    <x v="0"/>
    <s v="Miss. Endres Caroline"/>
    <x v="0"/>
    <n v="38"/>
    <x v="2"/>
    <n v="0"/>
    <n v="0"/>
    <s v="PC 17757"/>
    <n v="227.52500000000001"/>
    <x v="0"/>
    <s v="C45"/>
    <s v="C"/>
    <s v="Cherbourg"/>
    <n v="4"/>
    <s v="Not Found"/>
    <s v="Not Found"/>
    <s v="New York, NY"/>
  </r>
  <r>
    <x v="0"/>
    <x v="0"/>
    <s v="Miss. Eustis Elizabeth"/>
    <x v="0"/>
    <n v="54"/>
    <x v="2"/>
    <n v="0"/>
    <n v="1"/>
    <n v="36947"/>
    <n v="78.2667"/>
    <x v="0"/>
    <s v="D20"/>
    <s v="D"/>
    <s v="Cherbourg"/>
    <n v="4"/>
    <s v="Not Found"/>
    <s v="Not Found"/>
    <s v="Brookline, MA"/>
  </r>
  <r>
    <x v="0"/>
    <x v="1"/>
    <s v="Miss. Evans Edith"/>
    <x v="0"/>
    <n v="36"/>
    <x v="2"/>
    <n v="0"/>
    <n v="0"/>
    <s v="PC 17531"/>
    <n v="31.679200000000002"/>
    <x v="1"/>
    <s v="A29"/>
    <s v="A"/>
    <s v="Cherbourg"/>
    <s v="Not Applicable"/>
    <s v="Not Found"/>
    <s v="Not Found"/>
    <s v="New York, NY"/>
  </r>
  <r>
    <x v="0"/>
    <x v="1"/>
    <s v="Mr. Farthing John"/>
    <x v="1"/>
    <n v="28"/>
    <x v="0"/>
    <n v="0"/>
    <n v="0"/>
    <s v="PC 17483"/>
    <n v="221.7792"/>
    <x v="0"/>
    <s v="C95"/>
    <s v="C"/>
    <s v="Southampton"/>
    <s v="Not Applicable"/>
    <s v="Not Found"/>
    <s v="Not Found"/>
    <m/>
  </r>
  <r>
    <x v="0"/>
    <x v="0"/>
    <s v="Mrs. Flegenheim Alfred"/>
    <x v="0"/>
    <n v="28"/>
    <x v="0"/>
    <n v="0"/>
    <n v="0"/>
    <s v="PC 17598"/>
    <n v="31.683299999999999"/>
    <x v="1"/>
    <s v="Unknown"/>
    <s v="Unknown"/>
    <s v="Southampton"/>
    <n v="7"/>
    <s v="Not Found"/>
    <s v="Not Found"/>
    <s v="New York, NY"/>
  </r>
  <r>
    <x v="0"/>
    <x v="0"/>
    <s v="Miss. Fleming Margaret"/>
    <x v="0"/>
    <n v="28"/>
    <x v="0"/>
    <n v="0"/>
    <n v="0"/>
    <n v="17421"/>
    <n v="110.88330000000001"/>
    <x v="0"/>
    <s v="Unknown"/>
    <s v="Unknown"/>
    <s v="Cherbourg"/>
    <n v="4"/>
    <s v="Not Found"/>
    <s v="Not Found"/>
    <m/>
  </r>
  <r>
    <x v="0"/>
    <x v="0"/>
    <s v="Mr. Flynn John"/>
    <x v="1"/>
    <n v="36"/>
    <x v="2"/>
    <n v="0"/>
    <n v="0"/>
    <s v="PC 17474"/>
    <n v="26.387499999999999"/>
    <x v="1"/>
    <s v="E25"/>
    <s v="E"/>
    <s v="Southampton"/>
    <n v="5"/>
    <s v="Not Found"/>
    <s v="Not Found"/>
    <s v="Brooklyn, NY"/>
  </r>
  <r>
    <x v="0"/>
    <x v="1"/>
    <s v="Mr. Foreman Benjamin"/>
    <x v="1"/>
    <n v="30"/>
    <x v="2"/>
    <n v="0"/>
    <n v="0"/>
    <n v="113051"/>
    <n v="27.75"/>
    <x v="1"/>
    <s v="C111"/>
    <s v="C"/>
    <s v="Cherbourg"/>
    <s v="Not Applicable"/>
    <s v="Not Found"/>
    <s v="Not Found"/>
    <s v="New York, NY"/>
  </r>
  <r>
    <x v="0"/>
    <x v="0"/>
    <s v="Miss. Fortune Alice"/>
    <x v="0"/>
    <n v="24"/>
    <x v="0"/>
    <n v="2"/>
    <n v="3"/>
    <n v="19950"/>
    <n v="263"/>
    <x v="0"/>
    <s v="C23 C25 C27"/>
    <s v="C"/>
    <s v="Southampton"/>
    <n v="10"/>
    <s v="Not Found"/>
    <s v="Not Found"/>
    <s v="Winnipeg, MB"/>
  </r>
  <r>
    <x v="0"/>
    <x v="0"/>
    <s v="Miss. Fortune Ethel"/>
    <x v="0"/>
    <n v="28"/>
    <x v="0"/>
    <n v="2"/>
    <n v="3"/>
    <n v="19950"/>
    <n v="263"/>
    <x v="0"/>
    <s v="C23 C25 C27"/>
    <s v="C"/>
    <s v="Southampton"/>
    <n v="10"/>
    <s v="Not Found"/>
    <s v="Not Found"/>
    <s v="Winnipeg, MB"/>
  </r>
  <r>
    <x v="0"/>
    <x v="0"/>
    <s v="Miss. Fortune Mabel"/>
    <x v="0"/>
    <n v="23"/>
    <x v="0"/>
    <n v="2"/>
    <n v="3"/>
    <n v="19950"/>
    <n v="263"/>
    <x v="0"/>
    <s v="C23 C25 C27"/>
    <s v="C"/>
    <s v="Southampton"/>
    <n v="10"/>
    <s v="Not Found"/>
    <s v="Not Found"/>
    <s v="Winnipeg, MB"/>
  </r>
  <r>
    <x v="0"/>
    <x v="1"/>
    <s v="Mr. Fortune Charles"/>
    <x v="1"/>
    <n v="19"/>
    <x v="0"/>
    <n v="2"/>
    <n v="3"/>
    <n v="19950"/>
    <n v="263"/>
    <x v="0"/>
    <s v="C23 C25 C27"/>
    <s v="C"/>
    <s v="Southampton"/>
    <s v="Not Applicable"/>
    <s v="Not Found"/>
    <s v="Not Found"/>
    <s v="Winnipeg, MB"/>
  </r>
  <r>
    <x v="0"/>
    <x v="1"/>
    <s v="Mr. Fortune Mark"/>
    <x v="1"/>
    <n v="64"/>
    <x v="3"/>
    <n v="4"/>
    <n v="1"/>
    <n v="19950"/>
    <n v="263"/>
    <x v="0"/>
    <s v="C23 C25 C27"/>
    <s v="C"/>
    <s v="Southampton"/>
    <s v="Not Applicable"/>
    <s v="Not Found"/>
    <s v="Not Found"/>
    <s v="Winnipeg, MB"/>
  </r>
  <r>
    <x v="0"/>
    <x v="0"/>
    <s v="Mrs. Fortune Mark"/>
    <x v="0"/>
    <n v="60"/>
    <x v="3"/>
    <n v="4"/>
    <n v="1"/>
    <n v="19950"/>
    <n v="263"/>
    <x v="0"/>
    <s v="C23 C25 C27"/>
    <s v="C"/>
    <s v="Southampton"/>
    <n v="10"/>
    <s v="Not Found"/>
    <s v="Not Found"/>
    <s v="Winnipeg, MB"/>
  </r>
  <r>
    <x v="0"/>
    <x v="0"/>
    <s v="Miss. Francatelli Laura"/>
    <x v="0"/>
    <n v="30"/>
    <x v="2"/>
    <n v="0"/>
    <n v="0"/>
    <s v="PC 17485"/>
    <n v="56.929200000000002"/>
    <x v="0"/>
    <s v="E36"/>
    <s v="E"/>
    <s v="Cherbourg"/>
    <n v="1"/>
    <s v="Not Found"/>
    <s v="Not Found"/>
    <m/>
  </r>
  <r>
    <x v="0"/>
    <x v="1"/>
    <s v="Mr. Franklin Thomas"/>
    <x v="1"/>
    <n v="28"/>
    <x v="0"/>
    <n v="0"/>
    <n v="0"/>
    <n v="113778"/>
    <n v="26.55"/>
    <x v="1"/>
    <s v="D34"/>
    <s v="D"/>
    <s v="Southampton"/>
    <s v="Not Applicable"/>
    <s v="Not Found"/>
    <s v="Not Found"/>
    <s v="Westcliff-on-Sea, Essex"/>
  </r>
  <r>
    <x v="0"/>
    <x v="0"/>
    <s v="Dr. Frauenthal Henry"/>
    <x v="1"/>
    <n v="50"/>
    <x v="2"/>
    <n v="0"/>
    <n v="2"/>
    <s v="PC 17611"/>
    <n v="133.65"/>
    <x v="0"/>
    <s v="Unknown"/>
    <s v="Unknown"/>
    <s v="Southampton"/>
    <n v="5"/>
    <s v="Not Found"/>
    <s v="Not Found"/>
    <s v="New York, NY"/>
  </r>
  <r>
    <x v="0"/>
    <x v="0"/>
    <s v="Mr. Frauenthal Isaac"/>
    <x v="1"/>
    <n v="43"/>
    <x v="2"/>
    <n v="0"/>
    <n v="1"/>
    <n v="17765"/>
    <n v="27.720800000000001"/>
    <x v="1"/>
    <s v="D40"/>
    <s v="D"/>
    <s v="Cherbourg"/>
    <n v="5"/>
    <s v="Not Found"/>
    <s v="Not Found"/>
    <s v="New York, NY"/>
  </r>
  <r>
    <x v="0"/>
    <x v="0"/>
    <s v="Mrs. Frauenthal Henry"/>
    <x v="0"/>
    <n v="28"/>
    <x v="0"/>
    <n v="0"/>
    <n v="1"/>
    <s v="PC 17611"/>
    <n v="133.65"/>
    <x v="0"/>
    <s v="Unknown"/>
    <s v="Unknown"/>
    <s v="Southampton"/>
    <n v="5"/>
    <s v="Not Found"/>
    <s v="Not Found"/>
    <s v="New York, NY"/>
  </r>
  <r>
    <x v="0"/>
    <x v="0"/>
    <s v="Miss. Frolicher Hedwig"/>
    <x v="0"/>
    <n v="22"/>
    <x v="0"/>
    <n v="2"/>
    <n v="0"/>
    <n v="13568"/>
    <n v="49.5"/>
    <x v="1"/>
    <s v="B39"/>
    <s v="B"/>
    <s v="Cherbourg"/>
    <n v="5"/>
    <s v="Not Found"/>
    <s v="Not Found"/>
    <s v="Zurich, Switzerland"/>
  </r>
  <r>
    <x v="0"/>
    <x v="0"/>
    <s v="Mr. Frolicher-Stehli Maxmillian"/>
    <x v="1"/>
    <n v="60"/>
    <x v="3"/>
    <n v="1"/>
    <n v="1"/>
    <n v="13567"/>
    <n v="79.2"/>
    <x v="0"/>
    <s v="B41"/>
    <s v="B"/>
    <s v="Cherbourg"/>
    <n v="5"/>
    <s v="Not Found"/>
    <s v="Not Found"/>
    <s v="Zurich, Switzerland"/>
  </r>
  <r>
    <x v="0"/>
    <x v="0"/>
    <s v="Mrs. Frolicher-Stehli Maxmillian"/>
    <x v="0"/>
    <n v="48"/>
    <x v="2"/>
    <n v="1"/>
    <n v="1"/>
    <n v="13567"/>
    <n v="79.2"/>
    <x v="0"/>
    <s v="B41"/>
    <s v="B"/>
    <s v="Cherbourg"/>
    <n v="5"/>
    <s v="Not Found"/>
    <s v="Not Found"/>
    <s v="Zurich, Switzerland"/>
  </r>
  <r>
    <x v="0"/>
    <x v="1"/>
    <s v="Mr. Fry Richard"/>
    <x v="1"/>
    <n v="28"/>
    <x v="0"/>
    <n v="0"/>
    <n v="0"/>
    <n v="112058"/>
    <n v="0"/>
    <x v="2"/>
    <s v="B102"/>
    <s v="B"/>
    <s v="Southampton"/>
    <s v="Not Applicable"/>
    <s v="Not Found"/>
    <s v="Not Found"/>
    <m/>
  </r>
  <r>
    <x v="0"/>
    <x v="1"/>
    <s v="Mr. Futrelle Jacques"/>
    <x v="1"/>
    <n v="37"/>
    <x v="2"/>
    <n v="0"/>
    <n v="1"/>
    <n v="113803"/>
    <n v="53.1"/>
    <x v="0"/>
    <s v="C123"/>
    <s v="C"/>
    <s v="Southampton"/>
    <s v="Not Applicable"/>
    <s v="Not Found"/>
    <s v="Not Found"/>
    <s v="Scituate, MA"/>
  </r>
  <r>
    <x v="0"/>
    <x v="0"/>
    <s v="Mrs. Futrelle Jacques"/>
    <x v="0"/>
    <n v="35"/>
    <x v="2"/>
    <n v="0"/>
    <n v="1"/>
    <n v="113803"/>
    <n v="53.1"/>
    <x v="0"/>
    <s v="C123"/>
    <s v="C"/>
    <s v="Southampton"/>
    <s v="D"/>
    <s v="Not Found"/>
    <s v="Not Found"/>
    <s v="Scituate, MA"/>
  </r>
  <r>
    <x v="0"/>
    <x v="1"/>
    <s v="Mr. Gee Arthur"/>
    <x v="1"/>
    <n v="47"/>
    <x v="2"/>
    <n v="0"/>
    <n v="0"/>
    <n v="111320"/>
    <n v="38.5"/>
    <x v="1"/>
    <s v="E63"/>
    <s v="E"/>
    <s v="Southampton"/>
    <s v="Not Applicable"/>
    <n v="275"/>
    <s v="Found"/>
    <s v="St Anne's-on-Sea, Lancashire"/>
  </r>
  <r>
    <x v="0"/>
    <x v="0"/>
    <s v="Miss. Geiger Amalie"/>
    <x v="0"/>
    <n v="35"/>
    <x v="2"/>
    <n v="0"/>
    <n v="0"/>
    <n v="113503"/>
    <n v="211.5"/>
    <x v="0"/>
    <s v="C130"/>
    <s v="C"/>
    <s v="Cherbourg"/>
    <n v="4"/>
    <s v="Not Found"/>
    <s v="Not Found"/>
    <m/>
  </r>
  <r>
    <x v="0"/>
    <x v="0"/>
    <s v="Miss. Gibson Dorothy"/>
    <x v="0"/>
    <n v="22"/>
    <x v="0"/>
    <n v="1"/>
    <n v="0"/>
    <n v="112378"/>
    <n v="59.4"/>
    <x v="0"/>
    <s v="Unknown"/>
    <s v="Unknown"/>
    <s v="Cherbourg"/>
    <n v="7"/>
    <s v="Not Found"/>
    <s v="Not Found"/>
    <s v="New York, NY"/>
  </r>
  <r>
    <x v="0"/>
    <x v="0"/>
    <s v="Mrs. Gibson Leonard"/>
    <x v="0"/>
    <n v="45"/>
    <x v="2"/>
    <n v="1"/>
    <n v="0"/>
    <n v="112378"/>
    <n v="59.4"/>
    <x v="0"/>
    <s v="Unknown"/>
    <s v="Unknown"/>
    <s v="Cherbourg"/>
    <n v="7"/>
    <s v="Not Found"/>
    <s v="Not Found"/>
    <s v="New York, NY"/>
  </r>
  <r>
    <x v="0"/>
    <x v="1"/>
    <s v="Mr. Giglio Victor"/>
    <x v="1"/>
    <n v="24"/>
    <x v="0"/>
    <n v="0"/>
    <n v="0"/>
    <s v="PC 17593"/>
    <n v="79.2"/>
    <x v="0"/>
    <s v="B86"/>
    <s v="B"/>
    <s v="Cherbourg"/>
    <s v="Not Applicable"/>
    <s v="Not Found"/>
    <s v="Not Found"/>
    <m/>
  </r>
  <r>
    <x v="0"/>
    <x v="0"/>
    <s v="Mr. Goldenberg Samuel"/>
    <x v="1"/>
    <n v="49"/>
    <x v="2"/>
    <n v="0"/>
    <n v="1"/>
    <n v="17453"/>
    <n v="89.104200000000006"/>
    <x v="0"/>
    <s v="C92"/>
    <s v="C"/>
    <s v="Cherbourg"/>
    <n v="5"/>
    <s v="Not Found"/>
    <s v="Not Found"/>
    <s v="Paris, France / New York, NY"/>
  </r>
  <r>
    <x v="0"/>
    <x v="0"/>
    <s v="Mrs. Goldenberg Samuel"/>
    <x v="0"/>
    <n v="28"/>
    <x v="0"/>
    <n v="0"/>
    <n v="1"/>
    <n v="17453"/>
    <n v="89.104200000000006"/>
    <x v="0"/>
    <s v="C92"/>
    <s v="C"/>
    <s v="Cherbourg"/>
    <n v="5"/>
    <s v="Not Found"/>
    <s v="Not Found"/>
    <s v="Paris, France / New York, NY"/>
  </r>
  <r>
    <x v="0"/>
    <x v="1"/>
    <s v="Mr. Goldschmidt George"/>
    <x v="1"/>
    <n v="71"/>
    <x v="3"/>
    <n v="0"/>
    <n v="0"/>
    <s v="PC 17754"/>
    <n v="34.654200000000003"/>
    <x v="1"/>
    <s v="A5"/>
    <s v="A"/>
    <s v="Cherbourg"/>
    <s v="Not Applicable"/>
    <s v="Not Found"/>
    <s v="Not Found"/>
    <s v="New York, NY"/>
  </r>
  <r>
    <x v="0"/>
    <x v="0"/>
    <s v="Col. Gracie Archibald"/>
    <x v="1"/>
    <n v="53"/>
    <x v="2"/>
    <n v="0"/>
    <n v="0"/>
    <n v="113780"/>
    <n v="28.5"/>
    <x v="1"/>
    <s v="C51"/>
    <s v="C"/>
    <s v="Cherbourg"/>
    <s v="B"/>
    <s v="Not Found"/>
    <s v="Not Found"/>
    <s v="Washington, DC"/>
  </r>
  <r>
    <x v="0"/>
    <x v="0"/>
    <s v="Miss. Graham Margaret"/>
    <x v="0"/>
    <n v="19"/>
    <x v="0"/>
    <n v="0"/>
    <n v="0"/>
    <n v="112053"/>
    <n v="30"/>
    <x v="1"/>
    <s v="B42"/>
    <s v="B"/>
    <s v="Southampton"/>
    <n v="3"/>
    <s v="Not Found"/>
    <s v="Not Found"/>
    <s v="Greenwich, CT"/>
  </r>
  <r>
    <x v="0"/>
    <x v="1"/>
    <s v="Mr. Graham George"/>
    <x v="1"/>
    <n v="38"/>
    <x v="2"/>
    <n v="1"/>
    <n v="0"/>
    <s v="PC 17582"/>
    <n v="153.46250000000001"/>
    <x v="0"/>
    <s v="C91"/>
    <s v="C"/>
    <s v="Southampton"/>
    <s v="Not Applicable"/>
    <n v="147"/>
    <s v="Found"/>
    <s v="Winnipeg, MB"/>
  </r>
  <r>
    <x v="0"/>
    <x v="0"/>
    <s v="Mrs. Graham William"/>
    <x v="0"/>
    <n v="58"/>
    <x v="2"/>
    <n v="1"/>
    <n v="0"/>
    <s v="PC 17582"/>
    <n v="153.46250000000001"/>
    <x v="0"/>
    <s v="C125"/>
    <s v="C"/>
    <s v="Southampton"/>
    <n v="3"/>
    <s v="Not Found"/>
    <s v="Not Found"/>
    <s v="Greenwich, CT"/>
  </r>
  <r>
    <x v="0"/>
    <x v="0"/>
    <s v="Mr. Greenfield William"/>
    <x v="1"/>
    <n v="23"/>
    <x v="0"/>
    <n v="1"/>
    <n v="0"/>
    <s v="PC 17759"/>
    <n v="63.3583"/>
    <x v="0"/>
    <s v="D10 D12"/>
    <s v="D"/>
    <s v="Cherbourg"/>
    <n v="7"/>
    <s v="Not Found"/>
    <s v="Not Found"/>
    <s v="New York, NY"/>
  </r>
  <r>
    <x v="0"/>
    <x v="0"/>
    <s v="Mrs. Greenfield Leo"/>
    <x v="0"/>
    <n v="45"/>
    <x v="2"/>
    <n v="1"/>
    <n v="0"/>
    <s v="PC 17759"/>
    <n v="63.3583"/>
    <x v="0"/>
    <s v="D10 D12"/>
    <s v="D"/>
    <s v="Cherbourg"/>
    <n v="7"/>
    <s v="Not Found"/>
    <s v="Not Found"/>
    <s v="New York, NY"/>
  </r>
  <r>
    <x v="0"/>
    <x v="1"/>
    <s v="Mr. Guggenheim Benjamin"/>
    <x v="1"/>
    <n v="46"/>
    <x v="2"/>
    <n v="0"/>
    <n v="0"/>
    <s v="PC 17593"/>
    <n v="79.2"/>
    <x v="0"/>
    <s v="B82 B84"/>
    <s v="B"/>
    <s v="Cherbourg"/>
    <s v="Not Applicable"/>
    <s v="Not Found"/>
    <s v="Not Found"/>
    <s v="New York, NY"/>
  </r>
  <r>
    <x v="0"/>
    <x v="0"/>
    <s v="Mr. Harder George"/>
    <x v="1"/>
    <n v="25"/>
    <x v="0"/>
    <n v="0"/>
    <n v="1"/>
    <n v="11765"/>
    <n v="55.441699999999997"/>
    <x v="0"/>
    <s v="E50"/>
    <s v="E"/>
    <s v="Cherbourg"/>
    <n v="5"/>
    <s v="Not Found"/>
    <s v="Not Found"/>
    <s v="Brooklyn, NY"/>
  </r>
  <r>
    <x v="0"/>
    <x v="0"/>
    <s v="Mrs. Harder George"/>
    <x v="0"/>
    <n v="25"/>
    <x v="0"/>
    <n v="0"/>
    <n v="1"/>
    <n v="11765"/>
    <n v="55.441699999999997"/>
    <x v="0"/>
    <s v="E50"/>
    <s v="E"/>
    <s v="Cherbourg"/>
    <n v="5"/>
    <s v="Not Found"/>
    <s v="Not Found"/>
    <s v="Brooklyn, NY"/>
  </r>
  <r>
    <x v="0"/>
    <x v="0"/>
    <s v="Mr. Harper Henry"/>
    <x v="1"/>
    <n v="48"/>
    <x v="2"/>
    <n v="0"/>
    <n v="1"/>
    <s v="PC 17572"/>
    <n v="76.729200000000006"/>
    <x v="0"/>
    <s v="D33"/>
    <s v="D"/>
    <s v="Cherbourg"/>
    <n v="3"/>
    <s v="Not Found"/>
    <s v="Not Found"/>
    <s v="New York, NY"/>
  </r>
  <r>
    <x v="0"/>
    <x v="0"/>
    <s v="Mrs. Harper Henry"/>
    <x v="0"/>
    <n v="49"/>
    <x v="2"/>
    <n v="0"/>
    <n v="1"/>
    <s v="PC 17572"/>
    <n v="76.729200000000006"/>
    <x v="0"/>
    <s v="D33"/>
    <s v="D"/>
    <s v="Cherbourg"/>
    <n v="3"/>
    <s v="Not Found"/>
    <s v="Not Found"/>
    <s v="New York, NY"/>
  </r>
  <r>
    <x v="0"/>
    <x v="1"/>
    <s v="Mr. Harrington Charles"/>
    <x v="1"/>
    <n v="28"/>
    <x v="0"/>
    <n v="0"/>
    <n v="0"/>
    <n v="113796"/>
    <n v="42.4"/>
    <x v="1"/>
    <s v="Unknown"/>
    <s v="Unknown"/>
    <s v="Southampton"/>
    <s v="Not Applicable"/>
    <s v="Not Found"/>
    <s v="Not Found"/>
    <m/>
  </r>
  <r>
    <x v="0"/>
    <x v="1"/>
    <s v="Mr. Harris Henry"/>
    <x v="1"/>
    <n v="45"/>
    <x v="2"/>
    <n v="0"/>
    <n v="1"/>
    <n v="36973"/>
    <n v="83.474999999999994"/>
    <x v="0"/>
    <s v="C83"/>
    <s v="C"/>
    <s v="Southampton"/>
    <s v="Not Applicable"/>
    <s v="Not Found"/>
    <s v="Not Found"/>
    <s v="New York, NY"/>
  </r>
  <r>
    <x v="0"/>
    <x v="0"/>
    <s v="Mrs. Harris Henry"/>
    <x v="0"/>
    <n v="35"/>
    <x v="2"/>
    <n v="0"/>
    <n v="1"/>
    <n v="36973"/>
    <n v="83.474999999999994"/>
    <x v="0"/>
    <s v="C83"/>
    <s v="C"/>
    <s v="Southampton"/>
    <s v="D"/>
    <s v="Not Found"/>
    <s v="Not Found"/>
    <s v="New York, NY"/>
  </r>
  <r>
    <x v="0"/>
    <x v="1"/>
    <s v="Mr. Harrison William"/>
    <x v="1"/>
    <n v="40"/>
    <x v="2"/>
    <n v="0"/>
    <n v="0"/>
    <n v="112059"/>
    <n v="0"/>
    <x v="2"/>
    <s v="B94"/>
    <s v="B"/>
    <s v="Southampton"/>
    <s v="Not Applicable"/>
    <n v="110"/>
    <s v="Found"/>
    <m/>
  </r>
  <r>
    <x v="0"/>
    <x v="0"/>
    <s v="Mr. Hassab Hammad"/>
    <x v="1"/>
    <n v="27"/>
    <x v="0"/>
    <n v="0"/>
    <n v="0"/>
    <s v="PC 17572"/>
    <n v="76.729200000000006"/>
    <x v="0"/>
    <s v="D49"/>
    <s v="D"/>
    <s v="Cherbourg"/>
    <n v="3"/>
    <s v="Not Found"/>
    <s v="Not Found"/>
    <m/>
  </r>
  <r>
    <x v="0"/>
    <x v="0"/>
    <s v="Mr. Hawksford Walter"/>
    <x v="1"/>
    <n v="28"/>
    <x v="0"/>
    <n v="0"/>
    <n v="0"/>
    <n v="16988"/>
    <n v="30"/>
    <x v="1"/>
    <s v="D45"/>
    <s v="D"/>
    <s v="Southampton"/>
    <n v="3"/>
    <s v="Not Found"/>
    <s v="Not Found"/>
    <s v="Kingston, Surrey"/>
  </r>
  <r>
    <x v="0"/>
    <x v="0"/>
    <s v="Miss. Hays Margaret"/>
    <x v="0"/>
    <n v="24"/>
    <x v="0"/>
    <n v="0"/>
    <n v="0"/>
    <n v="11767"/>
    <n v="83.158299999999997"/>
    <x v="0"/>
    <s v="C54"/>
    <s v="C"/>
    <s v="Cherbourg"/>
    <n v="7"/>
    <s v="Not Found"/>
    <s v="Not Found"/>
    <s v="New York, NY"/>
  </r>
  <r>
    <x v="0"/>
    <x v="1"/>
    <s v="Mr. Hays Charles"/>
    <x v="1"/>
    <n v="55"/>
    <x v="2"/>
    <n v="1"/>
    <n v="1"/>
    <n v="12749"/>
    <n v="93.5"/>
    <x v="0"/>
    <s v="B69"/>
    <s v="B"/>
    <s v="Southampton"/>
    <s v="Not Applicable"/>
    <n v="307"/>
    <s v="Found"/>
    <s v="Montreal, PQ"/>
  </r>
  <r>
    <x v="0"/>
    <x v="0"/>
    <s v="Mrs. Hays Charles"/>
    <x v="0"/>
    <n v="52"/>
    <x v="2"/>
    <n v="1"/>
    <n v="1"/>
    <n v="12749"/>
    <n v="93.5"/>
    <x v="0"/>
    <s v="B69"/>
    <s v="B"/>
    <s v="Southampton"/>
    <n v="3"/>
    <s v="Not Found"/>
    <s v="Not Found"/>
    <s v="Montreal, PQ"/>
  </r>
  <r>
    <x v="0"/>
    <x v="1"/>
    <s v="Mr. Head Christopher"/>
    <x v="1"/>
    <n v="42"/>
    <x v="2"/>
    <n v="0"/>
    <n v="0"/>
    <n v="113038"/>
    <n v="42.5"/>
    <x v="1"/>
    <s v="B11"/>
    <s v="B"/>
    <s v="Southampton"/>
    <s v="Not Applicable"/>
    <s v="Not Found"/>
    <s v="Not Found"/>
    <s v="London / Middlesex"/>
  </r>
  <r>
    <x v="0"/>
    <x v="1"/>
    <s v="Mr. Hilliard Herbert"/>
    <x v="1"/>
    <n v="28"/>
    <x v="0"/>
    <n v="0"/>
    <n v="0"/>
    <n v="17463"/>
    <n v="51.862499999999997"/>
    <x v="0"/>
    <s v="E46"/>
    <s v="E"/>
    <s v="Southampton"/>
    <s v="Not Applicable"/>
    <s v="Not Found"/>
    <s v="Not Found"/>
    <s v="Brighton, MA"/>
  </r>
  <r>
    <x v="0"/>
    <x v="1"/>
    <s v="Mr. Hipkins William"/>
    <x v="1"/>
    <n v="55"/>
    <x v="2"/>
    <n v="0"/>
    <n v="0"/>
    <n v="680"/>
    <n v="50"/>
    <x v="1"/>
    <s v="C39"/>
    <s v="C"/>
    <s v="Southampton"/>
    <s v="Not Applicable"/>
    <s v="Not Found"/>
    <s v="Not Found"/>
    <s v="London / Birmingham"/>
  </r>
  <r>
    <x v="0"/>
    <x v="0"/>
    <s v="Miss. Hippach Jean"/>
    <x v="0"/>
    <n v="16"/>
    <x v="4"/>
    <n v="1"/>
    <n v="0"/>
    <n v="111361"/>
    <n v="57.979199999999999"/>
    <x v="0"/>
    <s v="B18"/>
    <s v="B"/>
    <s v="Cherbourg"/>
    <n v="4"/>
    <s v="Not Found"/>
    <s v="Not Found"/>
    <s v="Chicago, IL"/>
  </r>
  <r>
    <x v="0"/>
    <x v="0"/>
    <s v="Mrs. Hippach Louis"/>
    <x v="0"/>
    <n v="44"/>
    <x v="2"/>
    <n v="1"/>
    <n v="0"/>
    <n v="111361"/>
    <n v="57.979199999999999"/>
    <x v="0"/>
    <s v="B18"/>
    <s v="B"/>
    <s v="Cherbourg"/>
    <n v="4"/>
    <s v="Not Found"/>
    <s v="Not Found"/>
    <s v="Chicago, IL"/>
  </r>
  <r>
    <x v="0"/>
    <x v="0"/>
    <s v="Mrs. Hogeboom John"/>
    <x v="0"/>
    <n v="51"/>
    <x v="2"/>
    <n v="0"/>
    <n v="1"/>
    <n v="13502"/>
    <n v="77.958299999999994"/>
    <x v="0"/>
    <s v="D11"/>
    <s v="D"/>
    <s v="Southampton"/>
    <n v="10"/>
    <s v="Not Found"/>
    <s v="Not Found"/>
    <s v="Hudson, NY"/>
  </r>
  <r>
    <x v="0"/>
    <x v="1"/>
    <s v="Mr. Holverson Alexander"/>
    <x v="1"/>
    <n v="42"/>
    <x v="2"/>
    <n v="0"/>
    <n v="1"/>
    <n v="113789"/>
    <n v="52"/>
    <x v="0"/>
    <s v="Unknown"/>
    <s v="Unknown"/>
    <s v="Southampton"/>
    <s v="Not Applicable"/>
    <n v="38"/>
    <s v="Found"/>
    <s v="New York, NY"/>
  </r>
  <r>
    <x v="0"/>
    <x v="0"/>
    <s v="Mrs. Holverson Alexander"/>
    <x v="0"/>
    <n v="35"/>
    <x v="2"/>
    <n v="0"/>
    <n v="1"/>
    <n v="113789"/>
    <n v="52"/>
    <x v="0"/>
    <s v="Unknown"/>
    <s v="Unknown"/>
    <s v="Southampton"/>
    <n v="8"/>
    <s v="Not Found"/>
    <s v="Not Found"/>
    <s v="New York, NY"/>
  </r>
  <r>
    <x v="0"/>
    <x v="0"/>
    <s v="Mr. Homer Harry"/>
    <x v="1"/>
    <n v="35"/>
    <x v="2"/>
    <n v="0"/>
    <n v="0"/>
    <n v="111426"/>
    <n v="26.55"/>
    <x v="1"/>
    <s v="Unknown"/>
    <s v="Unknown"/>
    <s v="Cherbourg"/>
    <n v="15"/>
    <s v="Not Found"/>
    <s v="Not Found"/>
    <s v="Indianapolis, IN"/>
  </r>
  <r>
    <x v="0"/>
    <x v="0"/>
    <s v="Mr. Hoyt Frederick"/>
    <x v="1"/>
    <n v="38"/>
    <x v="2"/>
    <n v="0"/>
    <n v="1"/>
    <n v="19943"/>
    <n v="90"/>
    <x v="0"/>
    <s v="C93"/>
    <s v="C"/>
    <s v="Southampton"/>
    <s v="D"/>
    <s v="Not Found"/>
    <s v="Not Found"/>
    <s v="New York, NY /  Stamford CT"/>
  </r>
  <r>
    <x v="0"/>
    <x v="1"/>
    <s v="Mr. Hoyt William"/>
    <x v="1"/>
    <n v="28"/>
    <x v="0"/>
    <n v="0"/>
    <n v="0"/>
    <s v="PC 17600"/>
    <n v="30.695799999999998"/>
    <x v="1"/>
    <s v="Unknown"/>
    <s v="Unknown"/>
    <s v="Cherbourg"/>
    <n v="14"/>
    <s v="Not Found"/>
    <s v="Not Found"/>
    <s v="New York, NY"/>
  </r>
  <r>
    <x v="0"/>
    <x v="0"/>
    <s v="Mrs. Hoyt Frederick"/>
    <x v="0"/>
    <n v="35"/>
    <x v="2"/>
    <n v="0"/>
    <n v="1"/>
    <n v="19943"/>
    <n v="90"/>
    <x v="0"/>
    <s v="C93"/>
    <s v="C"/>
    <s v="Southampton"/>
    <s v="D"/>
    <s v="Not Found"/>
    <s v="Not Found"/>
    <s v="New York, NY /  Stamford CT"/>
  </r>
  <r>
    <x v="0"/>
    <x v="0"/>
    <s v="Miss. Icard Amelie"/>
    <x v="0"/>
    <n v="38"/>
    <x v="2"/>
    <n v="0"/>
    <n v="0"/>
    <n v="113572"/>
    <n v="80"/>
    <x v="0"/>
    <s v="B28"/>
    <s v="B"/>
    <s v="Unknown"/>
    <n v="6"/>
    <s v="Not Found"/>
    <s v="Not Found"/>
    <m/>
  </r>
  <r>
    <x v="0"/>
    <x v="1"/>
    <s v="Miss. Isham Ann"/>
    <x v="0"/>
    <n v="50"/>
    <x v="2"/>
    <n v="0"/>
    <n v="0"/>
    <s v="PC 17595"/>
    <n v="28.712499999999999"/>
    <x v="1"/>
    <s v="C49"/>
    <s v="C"/>
    <s v="Cherbourg"/>
    <s v="Not Applicable"/>
    <s v="Not Found"/>
    <s v="Not Found"/>
    <s v="Paris, France New York, NY"/>
  </r>
  <r>
    <x v="0"/>
    <x v="0"/>
    <s v="Mr. Ismay Joseph"/>
    <x v="1"/>
    <n v="49"/>
    <x v="2"/>
    <n v="0"/>
    <n v="0"/>
    <n v="112058"/>
    <n v="0"/>
    <x v="2"/>
    <s v="B52 B54 B56"/>
    <s v="B"/>
    <s v="Southampton"/>
    <s v="C"/>
    <s v="Not Found"/>
    <s v="Not Found"/>
    <s v="Liverpool"/>
  </r>
  <r>
    <x v="0"/>
    <x v="1"/>
    <s v="Mr. Jones Charles"/>
    <x v="1"/>
    <n v="46"/>
    <x v="2"/>
    <n v="0"/>
    <n v="0"/>
    <n v="694"/>
    <n v="26"/>
    <x v="1"/>
    <s v="Unknown"/>
    <s v="Unknown"/>
    <s v="Southampton"/>
    <s v="Not Applicable"/>
    <n v="80"/>
    <s v="Found"/>
    <s v="Bennington, VT"/>
  </r>
  <r>
    <x v="0"/>
    <x v="1"/>
    <s v="Mr. Julian Henry"/>
    <x v="1"/>
    <n v="50"/>
    <x v="2"/>
    <n v="0"/>
    <n v="0"/>
    <n v="113044"/>
    <n v="26"/>
    <x v="1"/>
    <s v="E60"/>
    <s v="E"/>
    <s v="Southampton"/>
    <s v="Not Applicable"/>
    <s v="Not Found"/>
    <s v="Not Found"/>
    <s v="London"/>
  </r>
  <r>
    <x v="0"/>
    <x v="1"/>
    <s v="Mr. Keeping Edwin"/>
    <x v="1"/>
    <n v="33"/>
    <x v="2"/>
    <n v="0"/>
    <n v="0"/>
    <n v="113503"/>
    <n v="211.5"/>
    <x v="0"/>
    <s v="C132"/>
    <s v="C"/>
    <s v="Cherbourg"/>
    <s v="Not Applicable"/>
    <n v="45"/>
    <s v="Found"/>
    <m/>
  </r>
  <r>
    <x v="0"/>
    <x v="1"/>
    <s v="Mr. Kent Edward"/>
    <x v="1"/>
    <n v="58"/>
    <x v="2"/>
    <n v="0"/>
    <n v="0"/>
    <n v="11771"/>
    <n v="29.7"/>
    <x v="1"/>
    <s v="B37"/>
    <s v="B"/>
    <s v="Cherbourg"/>
    <s v="Not Applicable"/>
    <n v="258"/>
    <s v="Found"/>
    <s v="Buffalo, NY"/>
  </r>
  <r>
    <x v="0"/>
    <x v="1"/>
    <s v="Mr. Kenyon Frederick"/>
    <x v="1"/>
    <n v="41"/>
    <x v="2"/>
    <n v="0"/>
    <n v="1"/>
    <n v="17464"/>
    <n v="51.862499999999997"/>
    <x v="0"/>
    <s v="D21"/>
    <s v="D"/>
    <s v="Southampton"/>
    <s v="Not Applicable"/>
    <s v="Not Found"/>
    <s v="Not Found"/>
    <s v="Southington / Noank, CT"/>
  </r>
  <r>
    <x v="0"/>
    <x v="0"/>
    <s v="Mrs. Kenyon Frederick"/>
    <x v="0"/>
    <n v="28"/>
    <x v="0"/>
    <n v="0"/>
    <n v="1"/>
    <n v="17464"/>
    <n v="51.862499999999997"/>
    <x v="0"/>
    <s v="D21"/>
    <s v="D"/>
    <s v="Southampton"/>
    <n v="8"/>
    <s v="Not Found"/>
    <s v="Not Found"/>
    <s v="Southington / Noank, CT"/>
  </r>
  <r>
    <x v="0"/>
    <x v="0"/>
    <s v="Mr. Kimball Edwin"/>
    <x v="1"/>
    <n v="42"/>
    <x v="2"/>
    <n v="0"/>
    <n v="1"/>
    <n v="11753"/>
    <n v="52.554200000000002"/>
    <x v="0"/>
    <s v="D19"/>
    <s v="D"/>
    <s v="Southampton"/>
    <n v="5"/>
    <s v="Not Found"/>
    <s v="Not Found"/>
    <s v="Boston, MA"/>
  </r>
  <r>
    <x v="0"/>
    <x v="0"/>
    <s v="Mrs. Kimball Edwin"/>
    <x v="0"/>
    <n v="45"/>
    <x v="2"/>
    <n v="0"/>
    <n v="1"/>
    <n v="11753"/>
    <n v="52.554200000000002"/>
    <x v="0"/>
    <s v="D19"/>
    <s v="D"/>
    <s v="Southampton"/>
    <n v="5"/>
    <s v="Not Found"/>
    <s v="Not Found"/>
    <s v="Boston, MA"/>
  </r>
  <r>
    <x v="0"/>
    <x v="1"/>
    <s v="Mr. Klaber Herman"/>
    <x v="1"/>
    <n v="28"/>
    <x v="0"/>
    <n v="0"/>
    <n v="0"/>
    <n v="113028"/>
    <n v="26.55"/>
    <x v="1"/>
    <s v="C124"/>
    <s v="C"/>
    <s v="Southampton"/>
    <s v="Not Applicable"/>
    <s v="Not Found"/>
    <s v="Not Found"/>
    <s v="Portland, OR"/>
  </r>
  <r>
    <x v="0"/>
    <x v="0"/>
    <s v="Miss. Kreuchen Emilie"/>
    <x v="0"/>
    <n v="39"/>
    <x v="2"/>
    <n v="0"/>
    <n v="0"/>
    <n v="24160"/>
    <n v="211.33750000000001"/>
    <x v="0"/>
    <s v="Unknown"/>
    <s v="Unknown"/>
    <s v="Southampton"/>
    <n v="2"/>
    <s v="Not Found"/>
    <s v="Not Found"/>
    <m/>
  </r>
  <r>
    <x v="0"/>
    <x v="0"/>
    <s v="Dr. Leader Alice"/>
    <x v="0"/>
    <n v="49"/>
    <x v="2"/>
    <n v="0"/>
    <n v="0"/>
    <n v="17465"/>
    <n v="25.929200000000002"/>
    <x v="1"/>
    <s v="D17"/>
    <s v="D"/>
    <s v="Southampton"/>
    <n v="8"/>
    <s v="Not Found"/>
    <s v="Not Found"/>
    <s v="New York, NY"/>
  </r>
  <r>
    <x v="0"/>
    <x v="0"/>
    <s v="Miss. LeRoy Bertha"/>
    <x v="0"/>
    <n v="30"/>
    <x v="2"/>
    <n v="0"/>
    <n v="0"/>
    <s v="PC 17761"/>
    <n v="106.425"/>
    <x v="0"/>
    <s v="Unknown"/>
    <s v="Unknown"/>
    <s v="Cherbourg"/>
    <n v="2"/>
    <s v="Not Found"/>
    <s v="Not Found"/>
    <m/>
  </r>
  <r>
    <x v="0"/>
    <x v="0"/>
    <s v="Mr. Lesurer Gustave"/>
    <x v="1"/>
    <n v="35"/>
    <x v="2"/>
    <n v="0"/>
    <n v="0"/>
    <s v="PC 17755"/>
    <n v="512.32920000000001"/>
    <x v="0"/>
    <s v="B101"/>
    <s v="B"/>
    <s v="Cherbourg"/>
    <n v="3"/>
    <s v="Not Found"/>
    <s v="Not Found"/>
    <m/>
  </r>
  <r>
    <x v="0"/>
    <x v="1"/>
    <s v="Mr. Lewy Ervin"/>
    <x v="1"/>
    <n v="28"/>
    <x v="0"/>
    <n v="0"/>
    <n v="0"/>
    <s v="PC 17612"/>
    <n v="27.720800000000001"/>
    <x v="1"/>
    <s v="Unknown"/>
    <s v="Unknown"/>
    <s v="Cherbourg"/>
    <s v="Not Applicable"/>
    <s v="Not Found"/>
    <s v="Not Found"/>
    <s v="Chicago, IL"/>
  </r>
  <r>
    <x v="0"/>
    <x v="1"/>
    <s v="Mr. Lindeberg-Lind Erik"/>
    <x v="1"/>
    <n v="42"/>
    <x v="2"/>
    <n v="0"/>
    <n v="0"/>
    <n v="17475"/>
    <n v="26.55"/>
    <x v="1"/>
    <s v="Unknown"/>
    <s v="Unknown"/>
    <s v="Southampton"/>
    <s v="Not Applicable"/>
    <s v="Not Found"/>
    <s v="Not Found"/>
    <s v="Stockholm, Sweden"/>
  </r>
  <r>
    <x v="0"/>
    <x v="0"/>
    <s v="Mrs. Lindstrom Carl"/>
    <x v="0"/>
    <n v="55"/>
    <x v="2"/>
    <n v="0"/>
    <n v="0"/>
    <n v="112377"/>
    <n v="27.720800000000001"/>
    <x v="1"/>
    <s v="Unknown"/>
    <s v="Unknown"/>
    <s v="Cherbourg"/>
    <n v="6"/>
    <s v="Not Found"/>
    <s v="Not Found"/>
    <s v="Stockholm, Sweden"/>
  </r>
  <r>
    <x v="0"/>
    <x v="0"/>
    <s v="Miss. Lines Mary"/>
    <x v="0"/>
    <n v="16"/>
    <x v="4"/>
    <n v="1"/>
    <n v="0"/>
    <s v="PC 17592"/>
    <n v="39.4"/>
    <x v="1"/>
    <s v="D28"/>
    <s v="D"/>
    <s v="Southampton"/>
    <n v="9"/>
    <s v="Not Found"/>
    <s v="Not Found"/>
    <s v="Paris, France"/>
  </r>
  <r>
    <x v="0"/>
    <x v="0"/>
    <s v="Mrs. Lines Ernest"/>
    <x v="0"/>
    <n v="51"/>
    <x v="2"/>
    <n v="1"/>
    <n v="0"/>
    <s v="PC 17592"/>
    <n v="39.4"/>
    <x v="1"/>
    <s v="D28"/>
    <s v="D"/>
    <s v="Southampton"/>
    <n v="9"/>
    <s v="Not Found"/>
    <s v="Not Found"/>
    <s v="Paris, France"/>
  </r>
  <r>
    <x v="0"/>
    <x v="1"/>
    <s v="Mr. Long Milton"/>
    <x v="1"/>
    <n v="29"/>
    <x v="0"/>
    <n v="0"/>
    <n v="0"/>
    <n v="113501"/>
    <n v="30"/>
    <x v="1"/>
    <s v="D6"/>
    <s v="D"/>
    <s v="Southampton"/>
    <s v="Not Applicable"/>
    <n v="126"/>
    <s v="Found"/>
    <s v="Springfield, MA"/>
  </r>
  <r>
    <x v="0"/>
    <x v="0"/>
    <s v="Miss. Longley Gretchen"/>
    <x v="0"/>
    <n v="21"/>
    <x v="0"/>
    <n v="0"/>
    <n v="0"/>
    <n v="13502"/>
    <n v="77.958299999999994"/>
    <x v="0"/>
    <s v="D9"/>
    <s v="D"/>
    <s v="Southampton"/>
    <n v="10"/>
    <s v="Not Found"/>
    <s v="Not Found"/>
    <s v="Hudson, NY"/>
  </r>
  <r>
    <x v="0"/>
    <x v="1"/>
    <s v="Mr. Loring Joseph"/>
    <x v="1"/>
    <n v="30"/>
    <x v="2"/>
    <n v="0"/>
    <n v="0"/>
    <n v="113801"/>
    <n v="45.5"/>
    <x v="1"/>
    <s v="Unknown"/>
    <s v="Unknown"/>
    <s v="Southampton"/>
    <s v="Not Applicable"/>
    <s v="Not Found"/>
    <s v="Not Found"/>
    <s v="London / New York, NY"/>
  </r>
  <r>
    <x v="0"/>
    <x v="0"/>
    <s v="Miss. Lurette Elise"/>
    <x v="0"/>
    <n v="58"/>
    <x v="2"/>
    <n v="0"/>
    <n v="0"/>
    <s v="PC 17569"/>
    <n v="146.52080000000001"/>
    <x v="0"/>
    <s v="B80"/>
    <s v="B"/>
    <s v="Cherbourg"/>
    <s v="Not Applicable"/>
    <s v="Not Found"/>
    <s v="Not Found"/>
    <m/>
  </r>
  <r>
    <x v="0"/>
    <x v="0"/>
    <s v="Miss. Madill Georgette"/>
    <x v="0"/>
    <n v="15"/>
    <x v="4"/>
    <n v="1"/>
    <n v="0"/>
    <n v="24160"/>
    <n v="211.33750000000001"/>
    <x v="0"/>
    <s v="B5"/>
    <s v="B"/>
    <s v="Southampton"/>
    <n v="2"/>
    <s v="Not Found"/>
    <s v="Not Found"/>
    <s v="St Louis, MO"/>
  </r>
  <r>
    <x v="0"/>
    <x v="1"/>
    <s v="Mr. Maguire John"/>
    <x v="1"/>
    <n v="30"/>
    <x v="2"/>
    <n v="0"/>
    <n v="0"/>
    <n v="110469"/>
    <n v="26"/>
    <x v="1"/>
    <s v="C106"/>
    <s v="C"/>
    <s v="Southampton"/>
    <s v="Not Applicable"/>
    <s v="Not Found"/>
    <s v="Not Found"/>
    <s v="Brockton, MA"/>
  </r>
  <r>
    <x v="0"/>
    <x v="0"/>
    <s v="Miss. Maioni Roberta"/>
    <x v="0"/>
    <n v="16"/>
    <x v="4"/>
    <n v="0"/>
    <n v="0"/>
    <n v="110152"/>
    <n v="86.5"/>
    <x v="0"/>
    <s v="B79"/>
    <s v="B"/>
    <s v="Southampton"/>
    <n v="8"/>
    <s v="Not Found"/>
    <s v="Not Found"/>
    <m/>
  </r>
  <r>
    <x v="0"/>
    <x v="0"/>
    <s v="Mr. Marechal Pierre"/>
    <x v="1"/>
    <n v="28"/>
    <x v="0"/>
    <n v="0"/>
    <n v="0"/>
    <n v="11774"/>
    <n v="29.7"/>
    <x v="1"/>
    <s v="C47"/>
    <s v="C"/>
    <s v="Cherbourg"/>
    <n v="7"/>
    <s v="Not Found"/>
    <s v="Not Found"/>
    <s v="Paris, France"/>
  </r>
  <r>
    <x v="0"/>
    <x v="1"/>
    <s v="Mr. Marvin Daniel"/>
    <x v="1"/>
    <n v="19"/>
    <x v="0"/>
    <n v="0"/>
    <n v="1"/>
    <n v="113773"/>
    <n v="53.1"/>
    <x v="0"/>
    <s v="D30"/>
    <s v="D"/>
    <s v="Southampton"/>
    <s v="Not Applicable"/>
    <s v="Not Found"/>
    <s v="Not Found"/>
    <s v="New York, NY"/>
  </r>
  <r>
    <x v="0"/>
    <x v="0"/>
    <s v="Mrs. Marvin Daniel"/>
    <x v="0"/>
    <n v="18"/>
    <x v="0"/>
    <n v="0"/>
    <n v="1"/>
    <n v="113773"/>
    <n v="53.1"/>
    <x v="0"/>
    <s v="D30"/>
    <s v="D"/>
    <s v="Southampton"/>
    <n v="10"/>
    <s v="Not Found"/>
    <s v="Not Found"/>
    <s v="New York, NY"/>
  </r>
  <r>
    <x v="0"/>
    <x v="0"/>
    <s v="Mlle. Mayne Berthe"/>
    <x v="0"/>
    <n v="24"/>
    <x v="0"/>
    <n v="0"/>
    <n v="0"/>
    <s v="PC 17482"/>
    <n v="49.504199999999997"/>
    <x v="1"/>
    <s v="C90"/>
    <s v="C"/>
    <s v="Cherbourg"/>
    <n v="6"/>
    <s v="Not Found"/>
    <s v="Not Found"/>
    <s v="Belgium  Montreal, PQ"/>
  </r>
  <r>
    <x v="0"/>
    <x v="1"/>
    <s v="Mr. McCaffry Thomas"/>
    <x v="1"/>
    <n v="46"/>
    <x v="2"/>
    <n v="0"/>
    <n v="0"/>
    <n v="13050"/>
    <n v="75.241699999999994"/>
    <x v="0"/>
    <s v="C6"/>
    <s v="C"/>
    <s v="Cherbourg"/>
    <s v="Not Applicable"/>
    <n v="292"/>
    <s v="Found"/>
    <s v="Vancouver, BC"/>
  </r>
  <r>
    <x v="0"/>
    <x v="1"/>
    <s v="Mr. McCarthy Timothy"/>
    <x v="1"/>
    <n v="54"/>
    <x v="2"/>
    <n v="0"/>
    <n v="0"/>
    <n v="17463"/>
    <n v="51.862499999999997"/>
    <x v="0"/>
    <s v="E46"/>
    <s v="E"/>
    <s v="Southampton"/>
    <s v="Not Applicable"/>
    <n v="175"/>
    <s v="Found"/>
    <s v="Dorchester, MA"/>
  </r>
  <r>
    <x v="0"/>
    <x v="0"/>
    <s v="Mr. McGough James"/>
    <x v="1"/>
    <n v="36"/>
    <x v="2"/>
    <n v="0"/>
    <n v="0"/>
    <s v="PC 17473"/>
    <n v="26.287500000000001"/>
    <x v="1"/>
    <s v="E25"/>
    <s v="E"/>
    <s v="Southampton"/>
    <n v="7"/>
    <s v="Not Found"/>
    <s v="Not Found"/>
    <s v="Philadelphia, PA"/>
  </r>
  <r>
    <x v="0"/>
    <x v="1"/>
    <s v="Mr. Meyer Edgar"/>
    <x v="1"/>
    <n v="28"/>
    <x v="0"/>
    <n v="0"/>
    <n v="1"/>
    <s v="PC 17604"/>
    <n v="82.1708"/>
    <x v="0"/>
    <s v="Unknown"/>
    <s v="Unknown"/>
    <s v="Cherbourg"/>
    <s v="Not Applicable"/>
    <s v="Not Found"/>
    <s v="Not Found"/>
    <s v="New York, NY"/>
  </r>
  <r>
    <x v="0"/>
    <x v="0"/>
    <s v="Mrs. Meyer Edgar"/>
    <x v="0"/>
    <n v="28"/>
    <x v="0"/>
    <n v="0"/>
    <n v="1"/>
    <s v="PC 17604"/>
    <n v="82.1708"/>
    <x v="0"/>
    <s v="Unknown"/>
    <s v="Unknown"/>
    <s v="Cherbourg"/>
    <n v="6"/>
    <s v="Not Found"/>
    <s v="Not Found"/>
    <s v="New York, NY"/>
  </r>
  <r>
    <x v="0"/>
    <x v="1"/>
    <s v="Mr. Millet Francis"/>
    <x v="1"/>
    <n v="65"/>
    <x v="3"/>
    <n v="0"/>
    <n v="0"/>
    <n v="13509"/>
    <n v="26.55"/>
    <x v="1"/>
    <s v="E38"/>
    <s v="E"/>
    <s v="Southampton"/>
    <s v="Not Applicable"/>
    <n v="249"/>
    <s v="Found"/>
    <s v="East Bridgewater, MA"/>
  </r>
  <r>
    <x v="0"/>
    <x v="1"/>
    <s v="Dr. Minahan William"/>
    <x v="1"/>
    <n v="44"/>
    <x v="2"/>
    <n v="0"/>
    <n v="2"/>
    <n v="19928"/>
    <n v="90"/>
    <x v="0"/>
    <s v="C78"/>
    <s v="C"/>
    <s v="Queenstown"/>
    <s v="Not Applicable"/>
    <n v="230"/>
    <s v="Found"/>
    <s v="Fond du Lac, WI"/>
  </r>
  <r>
    <x v="0"/>
    <x v="0"/>
    <s v="Miss. Minahan Daisy"/>
    <x v="0"/>
    <n v="33"/>
    <x v="2"/>
    <n v="0"/>
    <n v="1"/>
    <n v="19928"/>
    <n v="90"/>
    <x v="0"/>
    <s v="C78"/>
    <s v="C"/>
    <s v="Queenstown"/>
    <n v="14"/>
    <s v="Not Found"/>
    <s v="Not Found"/>
    <s v="Green Bay, WI"/>
  </r>
  <r>
    <x v="0"/>
    <x v="0"/>
    <s v="Mrs. Minahan William"/>
    <x v="0"/>
    <n v="37"/>
    <x v="2"/>
    <n v="0"/>
    <n v="1"/>
    <n v="19928"/>
    <n v="90"/>
    <x v="0"/>
    <s v="C78"/>
    <s v="C"/>
    <s v="Queenstown"/>
    <n v="14"/>
    <s v="Not Found"/>
    <s v="Not Found"/>
    <s v="Fond du Lac, WI"/>
  </r>
  <r>
    <x v="0"/>
    <x v="0"/>
    <s v="Mr. Mock Philipp"/>
    <x v="1"/>
    <n v="30"/>
    <x v="2"/>
    <n v="0"/>
    <n v="1"/>
    <n v="13236"/>
    <n v="57.75"/>
    <x v="0"/>
    <s v="C78"/>
    <s v="C"/>
    <s v="Cherbourg"/>
    <n v="11"/>
    <s v="Not Found"/>
    <s v="Not Found"/>
    <s v="New York, NY"/>
  </r>
  <r>
    <x v="0"/>
    <x v="1"/>
    <s v="Mr. Molson Harry"/>
    <x v="1"/>
    <n v="55"/>
    <x v="2"/>
    <n v="0"/>
    <n v="0"/>
    <n v="113787"/>
    <n v="30.5"/>
    <x v="1"/>
    <s v="C30"/>
    <s v="C"/>
    <s v="Southampton"/>
    <s v="Not Applicable"/>
    <s v="Not Found"/>
    <s v="Not Found"/>
    <s v="Montreal, PQ"/>
  </r>
  <r>
    <x v="0"/>
    <x v="1"/>
    <s v="Mr. Moore Clarence"/>
    <x v="1"/>
    <n v="47"/>
    <x v="2"/>
    <n v="0"/>
    <n v="0"/>
    <n v="113796"/>
    <n v="42.4"/>
    <x v="1"/>
    <s v="Unknown"/>
    <s v="Unknown"/>
    <s v="Southampton"/>
    <s v="Not Applicable"/>
    <s v="Not Found"/>
    <s v="Not Found"/>
    <s v="Washington, DC"/>
  </r>
  <r>
    <x v="0"/>
    <x v="1"/>
    <s v="Mr. Natsch Charles"/>
    <x v="1"/>
    <n v="37"/>
    <x v="2"/>
    <n v="1"/>
    <n v="0"/>
    <s v="PC 17596"/>
    <n v="29.7"/>
    <x v="1"/>
    <s v="C118"/>
    <s v="C"/>
    <s v="Cherbourg"/>
    <s v="Not Applicable"/>
    <s v="Not Found"/>
    <s v="Not Found"/>
    <s v="Brooklyn, NY"/>
  </r>
  <r>
    <x v="0"/>
    <x v="0"/>
    <s v="Miss. Newell Madeleine"/>
    <x v="0"/>
    <n v="31"/>
    <x v="2"/>
    <n v="0"/>
    <n v="1"/>
    <n v="35273"/>
    <n v="113.27500000000001"/>
    <x v="0"/>
    <s v="D36"/>
    <s v="D"/>
    <s v="Cherbourg"/>
    <n v="6"/>
    <s v="Not Found"/>
    <s v="Not Found"/>
    <s v="Lexington, MA"/>
  </r>
  <r>
    <x v="0"/>
    <x v="0"/>
    <s v="Miss. Newell Marjorie"/>
    <x v="0"/>
    <n v="23"/>
    <x v="0"/>
    <n v="0"/>
    <n v="1"/>
    <n v="35273"/>
    <n v="113.27500000000001"/>
    <x v="0"/>
    <s v="D36"/>
    <s v="D"/>
    <s v="Cherbourg"/>
    <n v="6"/>
    <s v="Not Found"/>
    <s v="Not Found"/>
    <s v="Lexington, MA"/>
  </r>
  <r>
    <x v="0"/>
    <x v="1"/>
    <s v="Mr. Newell Arthur"/>
    <x v="1"/>
    <n v="58"/>
    <x v="2"/>
    <n v="2"/>
    <n v="0"/>
    <n v="35273"/>
    <n v="113.27500000000001"/>
    <x v="0"/>
    <s v="D48"/>
    <s v="D"/>
    <s v="Cherbourg"/>
    <s v="Not Applicable"/>
    <n v="122"/>
    <s v="Found"/>
    <s v="Lexington, MA"/>
  </r>
  <r>
    <x v="0"/>
    <x v="0"/>
    <s v="Miss. Newsom Helen"/>
    <x v="0"/>
    <n v="19"/>
    <x v="0"/>
    <n v="2"/>
    <n v="0"/>
    <n v="11752"/>
    <n v="26.283300000000001"/>
    <x v="1"/>
    <s v="D47"/>
    <s v="D"/>
    <s v="Southampton"/>
    <n v="5"/>
    <s v="Not Found"/>
    <s v="Not Found"/>
    <s v="New York, NY"/>
  </r>
  <r>
    <x v="0"/>
    <x v="1"/>
    <s v="Mr. Nicholson Arthur"/>
    <x v="1"/>
    <n v="64"/>
    <x v="3"/>
    <n v="0"/>
    <n v="0"/>
    <n v="693"/>
    <n v="26"/>
    <x v="1"/>
    <s v="Unknown"/>
    <s v="Unknown"/>
    <s v="Southampton"/>
    <s v="Not Applicable"/>
    <n v="263"/>
    <s v="Found"/>
    <s v="Isle of Wight, England"/>
  </r>
  <r>
    <x v="0"/>
    <x v="0"/>
    <s v="y Oliva Ocana"/>
    <x v="0"/>
    <n v="39"/>
    <x v="2"/>
    <n v="0"/>
    <n v="0"/>
    <s v="PC 17758"/>
    <n v="108.9"/>
    <x v="0"/>
    <s v="C105"/>
    <s v="C"/>
    <s v="Cherbourg"/>
    <n v="8"/>
    <s v="Not Found"/>
    <s v="Not Found"/>
    <m/>
  </r>
  <r>
    <x v="0"/>
    <x v="0"/>
    <s v="Mr. Omont Alfred"/>
    <x v="1"/>
    <n v="28"/>
    <x v="0"/>
    <n v="0"/>
    <n v="0"/>
    <s v="F.C. 12998"/>
    <n v="25.741700000000002"/>
    <x v="1"/>
    <s v="Unknown"/>
    <s v="Unknown"/>
    <s v="Cherbourg"/>
    <n v="7"/>
    <s v="Not Found"/>
    <s v="Not Found"/>
    <s v="Paris, France"/>
  </r>
  <r>
    <x v="0"/>
    <x v="0"/>
    <s v="Miss. Ostby Helene"/>
    <x v="0"/>
    <n v="22"/>
    <x v="0"/>
    <n v="1"/>
    <n v="0"/>
    <n v="113509"/>
    <n v="61.979199999999999"/>
    <x v="0"/>
    <s v="B36"/>
    <s v="B"/>
    <s v="Cherbourg"/>
    <n v="5"/>
    <s v="Not Found"/>
    <s v="Not Found"/>
    <s v="Providence, RI"/>
  </r>
  <r>
    <x v="0"/>
    <x v="1"/>
    <s v="Mr. Ostby Engelhart"/>
    <x v="1"/>
    <n v="65"/>
    <x v="3"/>
    <n v="1"/>
    <n v="0"/>
    <n v="113509"/>
    <n v="61.979199999999999"/>
    <x v="0"/>
    <s v="B30"/>
    <s v="B"/>
    <s v="Cherbourg"/>
    <s v="Not Applicable"/>
    <n v="234"/>
    <s v="Found"/>
    <s v="Providence, RI"/>
  </r>
  <r>
    <x v="0"/>
    <x v="1"/>
    <s v="y Ovies Rodriguez"/>
    <x v="1"/>
    <n v="29"/>
    <x v="0"/>
    <n v="0"/>
    <n v="0"/>
    <s v="PC 17562"/>
    <n v="27.720800000000001"/>
    <x v="1"/>
    <s v="D43"/>
    <s v="D"/>
    <s v="Cherbourg"/>
    <s v="Not Applicable"/>
    <n v="189"/>
    <s v="Found"/>
    <s v="?Havana, Cuba"/>
  </r>
  <r>
    <x v="0"/>
    <x v="1"/>
    <s v="Mr. Parr William"/>
    <x v="1"/>
    <n v="28"/>
    <x v="0"/>
    <n v="0"/>
    <n v="0"/>
    <n v="112052"/>
    <n v="0"/>
    <x v="2"/>
    <s v="Unknown"/>
    <s v="Unknown"/>
    <s v="Southampton"/>
    <s v="Not Applicable"/>
    <s v="Not Found"/>
    <s v="Not Found"/>
    <s v="Belfast"/>
  </r>
  <r>
    <x v="0"/>
    <x v="1"/>
    <s v="Mr. Partner Austen"/>
    <x v="1"/>
    <n v="46"/>
    <x v="2"/>
    <n v="0"/>
    <n v="0"/>
    <n v="113043"/>
    <n v="28.5"/>
    <x v="1"/>
    <s v="C124"/>
    <s v="C"/>
    <s v="Southampton"/>
    <s v="Not Applicable"/>
    <n v="166"/>
    <s v="Found"/>
    <s v="Surbiton Hill, Surrey"/>
  </r>
  <r>
    <x v="0"/>
    <x v="1"/>
    <s v="Mr. Payne Vivian"/>
    <x v="1"/>
    <n v="23"/>
    <x v="0"/>
    <n v="0"/>
    <n v="0"/>
    <n v="12749"/>
    <n v="93.5"/>
    <x v="0"/>
    <s v="B24"/>
    <s v="B"/>
    <s v="Southampton"/>
    <s v="Not Applicable"/>
    <s v="Not Found"/>
    <s v="Not Found"/>
    <s v="Montreal, PQ"/>
  </r>
  <r>
    <x v="0"/>
    <x v="1"/>
    <s v="Mr. Pears Thomas"/>
    <x v="1"/>
    <n v="29"/>
    <x v="0"/>
    <n v="0"/>
    <n v="1"/>
    <n v="113776"/>
    <n v="66.599999999999994"/>
    <x v="0"/>
    <s v="C2"/>
    <s v="C"/>
    <s v="Southampton"/>
    <s v="Not Applicable"/>
    <s v="Not Found"/>
    <s v="Not Found"/>
    <s v="Isleworth, England"/>
  </r>
  <r>
    <x v="0"/>
    <x v="0"/>
    <s v="Mrs. Pears Thomas"/>
    <x v="0"/>
    <n v="22"/>
    <x v="0"/>
    <n v="0"/>
    <n v="1"/>
    <n v="113776"/>
    <n v="66.599999999999994"/>
    <x v="0"/>
    <s v="C2"/>
    <s v="C"/>
    <s v="Southampton"/>
    <n v="8"/>
    <s v="Not Found"/>
    <s v="Not Found"/>
    <s v="Isleworth, England"/>
  </r>
  <r>
    <x v="0"/>
    <x v="1"/>
    <s v="y Penasco Castellana"/>
    <x v="1"/>
    <n v="18"/>
    <x v="0"/>
    <n v="0"/>
    <n v="1"/>
    <s v="PC 17758"/>
    <n v="108.9"/>
    <x v="0"/>
    <s v="C65"/>
    <s v="C"/>
    <s v="Cherbourg"/>
    <s v="Not Applicable"/>
    <s v="Not Found"/>
    <s v="Not Found"/>
    <s v="Madrid, Spain"/>
  </r>
  <r>
    <x v="0"/>
    <x v="0"/>
    <s v="y Penasco Castellana"/>
    <x v="0"/>
    <n v="17"/>
    <x v="4"/>
    <n v="0"/>
    <n v="1"/>
    <s v="PC 17758"/>
    <n v="108.9"/>
    <x v="0"/>
    <s v="C65"/>
    <s v="C"/>
    <s v="Cherbourg"/>
    <n v="8"/>
    <s v="Not Found"/>
    <s v="Not Found"/>
    <s v="Madrid, Spain"/>
  </r>
  <r>
    <x v="0"/>
    <x v="0"/>
    <s v="Miss. Perreault Anne"/>
    <x v="0"/>
    <n v="30"/>
    <x v="2"/>
    <n v="0"/>
    <n v="0"/>
    <n v="12749"/>
    <n v="93.5"/>
    <x v="0"/>
    <s v="B73"/>
    <s v="B"/>
    <s v="Southampton"/>
    <n v="3"/>
    <s v="Not Found"/>
    <s v="Not Found"/>
    <m/>
  </r>
  <r>
    <x v="0"/>
    <x v="0"/>
    <s v="Major. Peuchen Arthur"/>
    <x v="1"/>
    <n v="52"/>
    <x v="2"/>
    <n v="0"/>
    <n v="0"/>
    <n v="113786"/>
    <n v="30.5"/>
    <x v="1"/>
    <s v="C104"/>
    <s v="C"/>
    <s v="Southampton"/>
    <n v="6"/>
    <s v="Not Found"/>
    <s v="Not Found"/>
    <s v="Toronto, ON"/>
  </r>
  <r>
    <x v="0"/>
    <x v="1"/>
    <s v="Mr. Porter Walter"/>
    <x v="1"/>
    <n v="47"/>
    <x v="2"/>
    <n v="0"/>
    <n v="0"/>
    <n v="110465"/>
    <n v="52"/>
    <x v="0"/>
    <s v="C110"/>
    <s v="C"/>
    <s v="Southampton"/>
    <s v="Not Applicable"/>
    <n v="207"/>
    <s v="Found"/>
    <s v="Worcester, MA"/>
  </r>
  <r>
    <x v="0"/>
    <x v="0"/>
    <s v="Mrs. Potter Thomas"/>
    <x v="0"/>
    <n v="56"/>
    <x v="2"/>
    <n v="1"/>
    <n v="0"/>
    <n v="11767"/>
    <n v="83.158299999999997"/>
    <x v="0"/>
    <s v="C50"/>
    <s v="C"/>
    <s v="Cherbourg"/>
    <n v="7"/>
    <s v="Not Found"/>
    <s v="Not Found"/>
    <s v="Mt Airy, Philadelphia, PA"/>
  </r>
  <r>
    <x v="0"/>
    <x v="1"/>
    <s v="Jonkheer. Reuchlin John"/>
    <x v="1"/>
    <n v="38"/>
    <x v="2"/>
    <n v="0"/>
    <n v="0"/>
    <n v="19972"/>
    <n v="0"/>
    <x v="2"/>
    <s v="Unknown"/>
    <s v="Unknown"/>
    <s v="Southampton"/>
    <s v="Not Applicable"/>
    <s v="Not Found"/>
    <s v="Not Found"/>
    <s v="Rotterdam, Netherlands"/>
  </r>
  <r>
    <x v="0"/>
    <x v="0"/>
    <s v="Mr. Rheims George"/>
    <x v="1"/>
    <n v="28"/>
    <x v="0"/>
    <n v="0"/>
    <n v="0"/>
    <s v="PC 17607"/>
    <n v="39.6"/>
    <x v="1"/>
    <s v="Unknown"/>
    <s v="Unknown"/>
    <s v="Southampton"/>
    <s v="A"/>
    <s v="Not Found"/>
    <s v="Not Found"/>
    <s v="Paris /  New York, NY"/>
  </r>
  <r>
    <x v="0"/>
    <x v="1"/>
    <s v="Mr. Ringhini Sante"/>
    <x v="1"/>
    <n v="22"/>
    <x v="0"/>
    <n v="0"/>
    <n v="0"/>
    <s v="PC 17760"/>
    <n v="135.63329999999999"/>
    <x v="0"/>
    <s v="Unknown"/>
    <s v="Unknown"/>
    <s v="Cherbourg"/>
    <s v="Not Applicable"/>
    <n v="232"/>
    <s v="Found"/>
    <m/>
  </r>
  <r>
    <x v="0"/>
    <x v="1"/>
    <s v="Mr. Robbins Victor"/>
    <x v="1"/>
    <n v="28"/>
    <x v="0"/>
    <n v="0"/>
    <n v="0"/>
    <s v="PC 17757"/>
    <n v="227.52500000000001"/>
    <x v="0"/>
    <s v="Unknown"/>
    <s v="Unknown"/>
    <s v="Cherbourg"/>
    <s v="Not Applicable"/>
    <s v="Not Found"/>
    <s v="Not Found"/>
    <m/>
  </r>
  <r>
    <x v="0"/>
    <x v="0"/>
    <s v="Mrs. Robert Edward"/>
    <x v="0"/>
    <n v="43"/>
    <x v="2"/>
    <n v="1"/>
    <n v="0"/>
    <n v="24160"/>
    <n v="211.33750000000001"/>
    <x v="0"/>
    <s v="B3"/>
    <s v="B"/>
    <s v="Southampton"/>
    <n v="2"/>
    <s v="Not Found"/>
    <s v="Not Found"/>
    <s v="St Louis, MO"/>
  </r>
  <r>
    <x v="0"/>
    <x v="1"/>
    <s v="Mr. Roebling Washington"/>
    <x v="1"/>
    <n v="31"/>
    <x v="2"/>
    <n v="0"/>
    <n v="0"/>
    <s v="PC 17590"/>
    <n v="50.495800000000003"/>
    <x v="0"/>
    <s v="A24"/>
    <s v="A"/>
    <s v="Southampton"/>
    <s v="Not Applicable"/>
    <s v="Not Found"/>
    <s v="Not Found"/>
    <s v="Trenton, NJ"/>
  </r>
  <r>
    <x v="0"/>
    <x v="0"/>
    <s v="Mr. Romaine Charles"/>
    <x v="1"/>
    <n v="45"/>
    <x v="2"/>
    <n v="0"/>
    <n v="0"/>
    <n v="111428"/>
    <n v="26.55"/>
    <x v="1"/>
    <s v="Unknown"/>
    <s v="Unknown"/>
    <s v="Southampton"/>
    <n v="9"/>
    <s v="Not Found"/>
    <s v="Not Found"/>
    <s v="New York, NY"/>
  </r>
  <r>
    <x v="0"/>
    <x v="1"/>
    <s v="Mr. Rood Hugh"/>
    <x v="1"/>
    <n v="28"/>
    <x v="0"/>
    <n v="0"/>
    <n v="0"/>
    <n v="113767"/>
    <n v="50"/>
    <x v="1"/>
    <s v="A32"/>
    <s v="A"/>
    <s v="Southampton"/>
    <s v="Not Applicable"/>
    <s v="Not Found"/>
    <s v="Not Found"/>
    <s v="Seattle, WA"/>
  </r>
  <r>
    <x v="0"/>
    <x v="0"/>
    <s v="Miss. Rosenbaum Edith"/>
    <x v="0"/>
    <n v="33"/>
    <x v="2"/>
    <n v="0"/>
    <n v="0"/>
    <s v="PC 17613"/>
    <n v="27.720800000000001"/>
    <x v="1"/>
    <s v="A11"/>
    <s v="A"/>
    <s v="Cherbourg"/>
    <n v="11"/>
    <s v="Not Found"/>
    <s v="Not Found"/>
    <s v="Paris, France"/>
  </r>
  <r>
    <x v="0"/>
    <x v="1"/>
    <s v="Mr. Rosenshine George"/>
    <x v="1"/>
    <n v="46"/>
    <x v="2"/>
    <n v="0"/>
    <n v="0"/>
    <s v="PC 17585"/>
    <n v="79.2"/>
    <x v="0"/>
    <s v="Unknown"/>
    <s v="Unknown"/>
    <s v="Cherbourg"/>
    <s v="Not Applicable"/>
    <n v="16"/>
    <s v="Found"/>
    <s v="New York, NY"/>
  </r>
  <r>
    <x v="0"/>
    <x v="1"/>
    <s v="Mr. Ross John"/>
    <x v="1"/>
    <n v="36"/>
    <x v="2"/>
    <n v="0"/>
    <n v="0"/>
    <n v="13049"/>
    <n v="40.125"/>
    <x v="1"/>
    <s v="A10"/>
    <s v="A"/>
    <s v="Cherbourg"/>
    <s v="Not Applicable"/>
    <s v="Not Found"/>
    <s v="Not Found"/>
    <s v="Winnipeg, MB"/>
  </r>
  <r>
    <x v="0"/>
    <x v="0"/>
    <s v="the Rothes Countess."/>
    <x v="0"/>
    <n v="33"/>
    <x v="2"/>
    <n v="0"/>
    <n v="0"/>
    <n v="110152"/>
    <n v="86.5"/>
    <x v="0"/>
    <s v="B77"/>
    <s v="B"/>
    <s v="Southampton"/>
    <n v="8"/>
    <s v="Not Found"/>
    <s v="Not Found"/>
    <s v="London  Vancouver, BC"/>
  </r>
  <r>
    <x v="0"/>
    <x v="1"/>
    <s v="Mr. Rothschild Martin"/>
    <x v="1"/>
    <n v="55"/>
    <x v="2"/>
    <n v="0"/>
    <n v="1"/>
    <s v="PC 17603"/>
    <n v="59.4"/>
    <x v="0"/>
    <s v="Unknown"/>
    <s v="Unknown"/>
    <s v="Cherbourg"/>
    <s v="Not Applicable"/>
    <s v="Not Found"/>
    <s v="Not Found"/>
    <s v="New York, NY"/>
  </r>
  <r>
    <x v="0"/>
    <x v="0"/>
    <s v="Mrs. Rothschild Martin"/>
    <x v="0"/>
    <n v="54"/>
    <x v="2"/>
    <n v="0"/>
    <n v="1"/>
    <s v="PC 17603"/>
    <n v="59.4"/>
    <x v="0"/>
    <s v="Unknown"/>
    <s v="Unknown"/>
    <s v="Cherbourg"/>
    <n v="6"/>
    <s v="Not Found"/>
    <s v="Not Found"/>
    <s v="New York, NY"/>
  </r>
  <r>
    <x v="0"/>
    <x v="1"/>
    <s v="Mr. Rowe Alfred"/>
    <x v="1"/>
    <n v="33"/>
    <x v="2"/>
    <n v="0"/>
    <n v="0"/>
    <n v="113790"/>
    <n v="26.55"/>
    <x v="1"/>
    <s v="Unknown"/>
    <s v="Unknown"/>
    <s v="Southampton"/>
    <s v="Not Applicable"/>
    <n v="109"/>
    <s v="Found"/>
    <s v="London"/>
  </r>
  <r>
    <x v="0"/>
    <x v="0"/>
    <s v="Master. Ryerson John"/>
    <x v="1"/>
    <n v="13"/>
    <x v="4"/>
    <n v="2"/>
    <n v="2"/>
    <s v="PC 17608"/>
    <n v="262.375"/>
    <x v="0"/>
    <s v="B57 B59 B63 B66"/>
    <s v="B"/>
    <s v="Cherbourg"/>
    <n v="4"/>
    <s v="Not Found"/>
    <s v="Not Found"/>
    <s v="Haverford, PA / Cooperstown, NY"/>
  </r>
  <r>
    <x v="0"/>
    <x v="0"/>
    <s v="Miss. Ryerson Emily"/>
    <x v="0"/>
    <n v="18"/>
    <x v="0"/>
    <n v="2"/>
    <n v="2"/>
    <s v="PC 17608"/>
    <n v="262.375"/>
    <x v="0"/>
    <s v="B57 B59 B63 B66"/>
    <s v="B"/>
    <s v="Cherbourg"/>
    <n v="4"/>
    <s v="Not Found"/>
    <s v="Not Found"/>
    <s v="Haverford, PA / Cooperstown, NY"/>
  </r>
  <r>
    <x v="0"/>
    <x v="0"/>
    <s v="Miss. Ryerson Susan"/>
    <x v="0"/>
    <n v="21"/>
    <x v="0"/>
    <n v="2"/>
    <n v="2"/>
    <s v="PC 17608"/>
    <n v="262.375"/>
    <x v="0"/>
    <s v="B57 B59 B63 B66"/>
    <s v="B"/>
    <s v="Cherbourg"/>
    <n v="4"/>
    <s v="Not Found"/>
    <s v="Not Found"/>
    <s v="Haverford, PA / Cooperstown, NY"/>
  </r>
  <r>
    <x v="0"/>
    <x v="1"/>
    <s v="Mr. Ryerson Arthur"/>
    <x v="1"/>
    <n v="61"/>
    <x v="3"/>
    <n v="3"/>
    <n v="1"/>
    <s v="PC 17608"/>
    <n v="262.375"/>
    <x v="0"/>
    <s v="B57 B59 B63 B66"/>
    <s v="B"/>
    <s v="Cherbourg"/>
    <s v="Not Applicable"/>
    <s v="Not Found"/>
    <s v="Not Found"/>
    <s v="Haverford, PA / Cooperstown, NY"/>
  </r>
  <r>
    <x v="0"/>
    <x v="0"/>
    <s v="Mrs. Ryerson Arthur"/>
    <x v="0"/>
    <n v="48"/>
    <x v="2"/>
    <n v="3"/>
    <n v="1"/>
    <s v="PC 17608"/>
    <n v="262.375"/>
    <x v="0"/>
    <s v="B57 B59 B63 B66"/>
    <s v="B"/>
    <s v="Cherbourg"/>
    <n v="4"/>
    <s v="Not Found"/>
    <s v="Not Found"/>
    <s v="Haverford, PA / Cooperstown, NY"/>
  </r>
  <r>
    <x v="0"/>
    <x v="0"/>
    <s v="Mr. Saalfeld Adolphe"/>
    <x v="1"/>
    <n v="28"/>
    <x v="0"/>
    <n v="0"/>
    <n v="0"/>
    <n v="19988"/>
    <n v="30.5"/>
    <x v="1"/>
    <s v="C106"/>
    <s v="C"/>
    <s v="Southampton"/>
    <n v="3"/>
    <s v="Not Found"/>
    <s v="Not Found"/>
    <s v="Manchester, England"/>
  </r>
  <r>
    <x v="0"/>
    <x v="0"/>
    <s v="Mlle. Sagesser Emma"/>
    <x v="0"/>
    <n v="24"/>
    <x v="0"/>
    <n v="0"/>
    <n v="0"/>
    <s v="PC 17477"/>
    <n v="69.3"/>
    <x v="0"/>
    <s v="B35"/>
    <s v="B"/>
    <s v="Cherbourg"/>
    <n v="9"/>
    <s v="Not Found"/>
    <s v="Not Found"/>
    <m/>
  </r>
  <r>
    <x v="0"/>
    <x v="0"/>
    <s v="Mr. Salomon Abraham"/>
    <x v="1"/>
    <n v="28"/>
    <x v="0"/>
    <n v="0"/>
    <n v="0"/>
    <n v="111163"/>
    <n v="26"/>
    <x v="1"/>
    <s v="Unknown"/>
    <s v="Unknown"/>
    <s v="Southampton"/>
    <n v="1"/>
    <s v="Not Found"/>
    <s v="Not Found"/>
    <s v="New York, NY"/>
  </r>
  <r>
    <x v="0"/>
    <x v="0"/>
    <s v="Mrs. Schabert Paul"/>
    <x v="0"/>
    <n v="35"/>
    <x v="2"/>
    <n v="0"/>
    <n v="1"/>
    <n v="13236"/>
    <n v="57.75"/>
    <x v="0"/>
    <s v="C28"/>
    <s v="C"/>
    <s v="Cherbourg"/>
    <n v="11"/>
    <s v="Not Found"/>
    <s v="Not Found"/>
    <s v="New York, NY"/>
  </r>
  <r>
    <x v="0"/>
    <x v="0"/>
    <s v="Miss. Serepeca Augusta"/>
    <x v="0"/>
    <n v="30"/>
    <x v="2"/>
    <n v="0"/>
    <n v="0"/>
    <n v="113798"/>
    <n v="31"/>
    <x v="1"/>
    <s v="Unknown"/>
    <s v="Unknown"/>
    <s v="Cherbourg"/>
    <n v="4"/>
    <s v="Not Found"/>
    <s v="Not Found"/>
    <m/>
  </r>
  <r>
    <x v="0"/>
    <x v="0"/>
    <s v="Mr. Seward Frederic"/>
    <x v="1"/>
    <n v="34"/>
    <x v="2"/>
    <n v="0"/>
    <n v="0"/>
    <n v="113794"/>
    <n v="26.55"/>
    <x v="1"/>
    <s v="Unknown"/>
    <s v="Unknown"/>
    <s v="Southampton"/>
    <n v="7"/>
    <s v="Not Found"/>
    <s v="Not Found"/>
    <s v="New York, NY"/>
  </r>
  <r>
    <x v="0"/>
    <x v="0"/>
    <s v="Miss. Shutes Elizabeth"/>
    <x v="0"/>
    <n v="40"/>
    <x v="2"/>
    <n v="0"/>
    <n v="0"/>
    <s v="PC 17582"/>
    <n v="153.46250000000001"/>
    <x v="0"/>
    <s v="C125"/>
    <s v="C"/>
    <s v="Southampton"/>
    <n v="3"/>
    <s v="Not Found"/>
    <s v="Not Found"/>
    <s v="New York, NY / Greenwich CT"/>
  </r>
  <r>
    <x v="0"/>
    <x v="0"/>
    <s v="Mr. Silverthorne Spencer"/>
    <x v="1"/>
    <n v="35"/>
    <x v="2"/>
    <n v="0"/>
    <n v="0"/>
    <s v="PC 17475"/>
    <n v="26.287500000000001"/>
    <x v="1"/>
    <s v="E24"/>
    <s v="E"/>
    <s v="Southampton"/>
    <n v="5"/>
    <s v="Not Found"/>
    <s v="Not Found"/>
    <s v="St Louis, MO"/>
  </r>
  <r>
    <x v="0"/>
    <x v="1"/>
    <s v="Mr. Silvey William"/>
    <x v="1"/>
    <n v="50"/>
    <x v="2"/>
    <n v="0"/>
    <n v="1"/>
    <n v="13507"/>
    <n v="55.9"/>
    <x v="0"/>
    <s v="E44"/>
    <s v="E"/>
    <s v="Southampton"/>
    <s v="Not Applicable"/>
    <s v="Not Found"/>
    <s v="Not Found"/>
    <s v="Duluth, MN"/>
  </r>
  <r>
    <x v="0"/>
    <x v="0"/>
    <s v="Mrs. Silvey William"/>
    <x v="0"/>
    <n v="39"/>
    <x v="2"/>
    <n v="0"/>
    <n v="1"/>
    <n v="13507"/>
    <n v="55.9"/>
    <x v="0"/>
    <s v="E44"/>
    <s v="E"/>
    <s v="Southampton"/>
    <n v="11"/>
    <s v="Not Found"/>
    <s v="Not Found"/>
    <s v="Duluth, MN"/>
  </r>
  <r>
    <x v="0"/>
    <x v="0"/>
    <s v="Col. Simonius-Blumer Oberst"/>
    <x v="1"/>
    <n v="56"/>
    <x v="2"/>
    <n v="0"/>
    <n v="0"/>
    <n v="13213"/>
    <n v="35.5"/>
    <x v="1"/>
    <s v="A26"/>
    <s v="A"/>
    <s v="Cherbourg"/>
    <n v="3"/>
    <s v="Not Found"/>
    <s v="Not Found"/>
    <s v="Basel, Switzerland"/>
  </r>
  <r>
    <x v="0"/>
    <x v="0"/>
    <s v="Mr. Sloper William"/>
    <x v="1"/>
    <n v="28"/>
    <x v="0"/>
    <n v="0"/>
    <n v="0"/>
    <n v="113788"/>
    <n v="35.5"/>
    <x v="1"/>
    <s v="A6"/>
    <s v="A"/>
    <s v="Southampton"/>
    <n v="7"/>
    <s v="Not Found"/>
    <s v="Not Found"/>
    <s v="New Britain, CT"/>
  </r>
  <r>
    <x v="0"/>
    <x v="1"/>
    <s v="Mr. Smart John"/>
    <x v="1"/>
    <n v="56"/>
    <x v="2"/>
    <n v="0"/>
    <n v="0"/>
    <n v="113792"/>
    <n v="26.55"/>
    <x v="1"/>
    <s v="Unknown"/>
    <s v="Unknown"/>
    <s v="Southampton"/>
    <s v="Not Applicable"/>
    <s v="Not Found"/>
    <s v="Not Found"/>
    <s v="New York, NY"/>
  </r>
  <r>
    <x v="0"/>
    <x v="1"/>
    <s v="Mr. Smith James"/>
    <x v="1"/>
    <n v="56"/>
    <x v="2"/>
    <n v="0"/>
    <n v="0"/>
    <n v="17764"/>
    <n v="30.695799999999998"/>
    <x v="1"/>
    <s v="A7"/>
    <s v="A"/>
    <s v="Cherbourg"/>
    <s v="Not Applicable"/>
    <s v="Not Found"/>
    <s v="Not Found"/>
    <s v="St James, Long Island, NY"/>
  </r>
  <r>
    <x v="0"/>
    <x v="1"/>
    <s v="Mr. Smith Lucien"/>
    <x v="1"/>
    <n v="24"/>
    <x v="0"/>
    <n v="0"/>
    <n v="1"/>
    <n v="13695"/>
    <n v="60"/>
    <x v="0"/>
    <s v="C31"/>
    <s v="C"/>
    <s v="Southampton"/>
    <s v="Not Applicable"/>
    <s v="Not Found"/>
    <s v="Not Found"/>
    <s v="Huntington, WV"/>
  </r>
  <r>
    <x v="0"/>
    <x v="1"/>
    <s v="Mr. Smith Richard"/>
    <x v="1"/>
    <n v="28"/>
    <x v="0"/>
    <n v="0"/>
    <n v="0"/>
    <n v="113056"/>
    <n v="26"/>
    <x v="1"/>
    <s v="A19"/>
    <s v="A"/>
    <s v="Southampton"/>
    <s v="Not Applicable"/>
    <s v="Not Found"/>
    <s v="Not Found"/>
    <s v="Streatham, Surrey"/>
  </r>
  <r>
    <x v="0"/>
    <x v="0"/>
    <s v="Mrs. Smith Lucien"/>
    <x v="0"/>
    <n v="18"/>
    <x v="0"/>
    <n v="0"/>
    <n v="1"/>
    <n v="13695"/>
    <n v="60"/>
    <x v="0"/>
    <s v="C31"/>
    <s v="C"/>
    <s v="Southampton"/>
    <n v="6"/>
    <s v="Not Found"/>
    <s v="Not Found"/>
    <s v="Huntington, WV"/>
  </r>
  <r>
    <x v="0"/>
    <x v="0"/>
    <s v="Mr. Snyder John"/>
    <x v="1"/>
    <n v="24"/>
    <x v="0"/>
    <n v="0"/>
    <n v="1"/>
    <n v="21228"/>
    <n v="82.2667"/>
    <x v="0"/>
    <s v="B45"/>
    <s v="B"/>
    <s v="Southampton"/>
    <n v="7"/>
    <s v="Not Found"/>
    <s v="Not Found"/>
    <s v="Minneapolis, MN"/>
  </r>
  <r>
    <x v="0"/>
    <x v="0"/>
    <s v="Mrs. Snyder John"/>
    <x v="0"/>
    <n v="23"/>
    <x v="0"/>
    <n v="0"/>
    <n v="1"/>
    <n v="21228"/>
    <n v="82.2667"/>
    <x v="0"/>
    <s v="B45"/>
    <s v="B"/>
    <s v="Southampton"/>
    <n v="7"/>
    <s v="Not Found"/>
    <s v="Not Found"/>
    <s v="Minneapolis, MN"/>
  </r>
  <r>
    <x v="0"/>
    <x v="0"/>
    <s v="Master. Spedden Robert"/>
    <x v="1"/>
    <n v="6"/>
    <x v="1"/>
    <n v="2"/>
    <n v="0"/>
    <n v="16966"/>
    <n v="134.5"/>
    <x v="0"/>
    <s v="E34"/>
    <s v="E"/>
    <s v="Cherbourg"/>
    <n v="3"/>
    <s v="Not Found"/>
    <s v="Not Found"/>
    <s v="Tuxedo Park, NY"/>
  </r>
  <r>
    <x v="0"/>
    <x v="0"/>
    <s v="Mr. Spedden Frederic"/>
    <x v="1"/>
    <n v="45"/>
    <x v="2"/>
    <n v="1"/>
    <n v="1"/>
    <n v="16966"/>
    <n v="134.5"/>
    <x v="0"/>
    <s v="E34"/>
    <s v="E"/>
    <s v="Cherbourg"/>
    <n v="3"/>
    <s v="Not Found"/>
    <s v="Not Found"/>
    <s v="Tuxedo Park, NY"/>
  </r>
  <r>
    <x v="0"/>
    <x v="0"/>
    <s v="Mrs. Spedden Frederic"/>
    <x v="0"/>
    <n v="40"/>
    <x v="2"/>
    <n v="1"/>
    <n v="1"/>
    <n v="16966"/>
    <n v="134.5"/>
    <x v="0"/>
    <s v="E34"/>
    <s v="E"/>
    <s v="Cherbourg"/>
    <n v="3"/>
    <s v="Not Found"/>
    <s v="Not Found"/>
    <s v="Tuxedo Park, NY"/>
  </r>
  <r>
    <x v="0"/>
    <x v="1"/>
    <s v="Mr. Spencer William"/>
    <x v="1"/>
    <n v="57"/>
    <x v="2"/>
    <n v="0"/>
    <n v="1"/>
    <s v="PC 17569"/>
    <n v="146.52080000000001"/>
    <x v="0"/>
    <s v="B78"/>
    <s v="B"/>
    <s v="Cherbourg"/>
    <s v="Not Applicable"/>
    <s v="Not Found"/>
    <s v="Not Found"/>
    <s v="Paris, France"/>
  </r>
  <r>
    <x v="0"/>
    <x v="0"/>
    <s v="Mrs. Spencer William"/>
    <x v="0"/>
    <n v="28"/>
    <x v="0"/>
    <n v="0"/>
    <n v="1"/>
    <s v="PC 17569"/>
    <n v="146.52080000000001"/>
    <x v="0"/>
    <s v="B78"/>
    <s v="B"/>
    <s v="Cherbourg"/>
    <n v="6"/>
    <s v="Not Found"/>
    <s v="Not Found"/>
    <s v="Paris, France"/>
  </r>
  <r>
    <x v="0"/>
    <x v="0"/>
    <s v="Dr. Stahelin-Maeglin Max"/>
    <x v="1"/>
    <n v="32"/>
    <x v="2"/>
    <n v="0"/>
    <n v="0"/>
    <n v="13214"/>
    <n v="30.5"/>
    <x v="1"/>
    <s v="B50"/>
    <s v="B"/>
    <s v="Cherbourg"/>
    <n v="3"/>
    <s v="Not Found"/>
    <s v="Not Found"/>
    <s v="Basel, Switzerland"/>
  </r>
  <r>
    <x v="0"/>
    <x v="1"/>
    <s v="Mr. Stead William"/>
    <x v="1"/>
    <n v="62"/>
    <x v="3"/>
    <n v="0"/>
    <n v="0"/>
    <n v="113514"/>
    <n v="26.55"/>
    <x v="1"/>
    <s v="C87"/>
    <s v="C"/>
    <s v="Southampton"/>
    <s v="Not Applicable"/>
    <s v="Not Found"/>
    <s v="Not Found"/>
    <s v="Wimbledon Park, London / Hayling Island, Hants"/>
  </r>
  <r>
    <x v="0"/>
    <x v="0"/>
    <s v="Mr. Stengel Charles"/>
    <x v="1"/>
    <n v="54"/>
    <x v="2"/>
    <n v="0"/>
    <n v="1"/>
    <n v="11778"/>
    <n v="55.441699999999997"/>
    <x v="0"/>
    <s v="C116"/>
    <s v="C"/>
    <s v="Cherbourg"/>
    <n v="1"/>
    <s v="Not Found"/>
    <s v="Not Found"/>
    <s v="Newark, NJ"/>
  </r>
  <r>
    <x v="0"/>
    <x v="0"/>
    <s v="Mrs. Stengel Charles"/>
    <x v="0"/>
    <n v="43"/>
    <x v="2"/>
    <n v="0"/>
    <n v="1"/>
    <n v="11778"/>
    <n v="55.441699999999997"/>
    <x v="0"/>
    <s v="C116"/>
    <s v="C"/>
    <s v="Cherbourg"/>
    <n v="5"/>
    <s v="Not Found"/>
    <s v="Not Found"/>
    <s v="Newark, NJ"/>
  </r>
  <r>
    <x v="0"/>
    <x v="0"/>
    <s v="Mrs. Stephenson Walter"/>
    <x v="0"/>
    <n v="52"/>
    <x v="2"/>
    <n v="0"/>
    <n v="1"/>
    <n v="36947"/>
    <n v="78.2667"/>
    <x v="0"/>
    <s v="D20"/>
    <s v="D"/>
    <s v="Cherbourg"/>
    <n v="4"/>
    <s v="Not Found"/>
    <s v="Not Found"/>
    <s v="Haverford, PA"/>
  </r>
  <r>
    <x v="0"/>
    <x v="1"/>
    <s v="Mr. Stewart Albert"/>
    <x v="1"/>
    <n v="28"/>
    <x v="0"/>
    <n v="0"/>
    <n v="0"/>
    <s v="PC 17605"/>
    <n v="27.720800000000001"/>
    <x v="1"/>
    <s v="Unknown"/>
    <s v="Unknown"/>
    <s v="Cherbourg"/>
    <s v="Not Applicable"/>
    <s v="Not Found"/>
    <s v="Not Found"/>
    <s v="Gallipolis, Ohio / ? Paris / New York"/>
  </r>
  <r>
    <x v="0"/>
    <x v="0"/>
    <s v="Mrs. Stone George"/>
    <x v="0"/>
    <n v="62"/>
    <x v="3"/>
    <n v="0"/>
    <n v="0"/>
    <n v="113572"/>
    <n v="80"/>
    <x v="0"/>
    <s v="B28"/>
    <s v="B"/>
    <s v="Unknown"/>
    <n v="6"/>
    <s v="Not Found"/>
    <s v="Not Found"/>
    <s v="Cincinatti, OH"/>
  </r>
  <r>
    <x v="0"/>
    <x v="1"/>
    <s v="Mr. Straus Isidor"/>
    <x v="1"/>
    <n v="67"/>
    <x v="3"/>
    <n v="0"/>
    <n v="1"/>
    <s v="PC 17483"/>
    <n v="221.7792"/>
    <x v="0"/>
    <s v="C55 C57"/>
    <s v="C"/>
    <s v="Southampton"/>
    <s v="Not Applicable"/>
    <n v="96"/>
    <s v="Found"/>
    <s v="New York, NY"/>
  </r>
  <r>
    <x v="0"/>
    <x v="1"/>
    <s v="Mrs. Straus Isidor"/>
    <x v="0"/>
    <n v="63"/>
    <x v="3"/>
    <n v="0"/>
    <n v="1"/>
    <s v="PC 17483"/>
    <n v="221.7792"/>
    <x v="0"/>
    <s v="C55 C57"/>
    <s v="C"/>
    <s v="Southampton"/>
    <s v="Not Applicable"/>
    <s v="Not Found"/>
    <s v="Not Found"/>
    <s v="New York, NY"/>
  </r>
  <r>
    <x v="0"/>
    <x v="1"/>
    <s v="Mr. Sutton Frederick"/>
    <x v="1"/>
    <n v="61"/>
    <x v="3"/>
    <n v="0"/>
    <n v="0"/>
    <n v="36963"/>
    <n v="32.320799999999998"/>
    <x v="1"/>
    <s v="D50"/>
    <s v="D"/>
    <s v="Southampton"/>
    <s v="Not Applicable"/>
    <n v="46"/>
    <s v="Found"/>
    <s v="Haddenfield, NJ"/>
  </r>
  <r>
    <x v="0"/>
    <x v="0"/>
    <s v="Mrs. Swift Frederick"/>
    <x v="0"/>
    <n v="48"/>
    <x v="2"/>
    <n v="0"/>
    <n v="0"/>
    <n v="17466"/>
    <n v="25.929200000000002"/>
    <x v="1"/>
    <s v="D17"/>
    <s v="D"/>
    <s v="Southampton"/>
    <n v="8"/>
    <s v="Not Found"/>
    <s v="Not Found"/>
    <s v="Brooklyn, NY"/>
  </r>
  <r>
    <x v="0"/>
    <x v="0"/>
    <s v="Miss. Taussig Ruth"/>
    <x v="0"/>
    <n v="18"/>
    <x v="0"/>
    <n v="2"/>
    <n v="0"/>
    <n v="110413"/>
    <n v="79.650000000000006"/>
    <x v="0"/>
    <s v="E68"/>
    <s v="E"/>
    <s v="Southampton"/>
    <n v="8"/>
    <s v="Not Found"/>
    <s v="Not Found"/>
    <s v="New York, NY"/>
  </r>
  <r>
    <x v="0"/>
    <x v="1"/>
    <s v="Mr. Taussig Emil"/>
    <x v="1"/>
    <n v="52"/>
    <x v="2"/>
    <n v="1"/>
    <n v="1"/>
    <n v="110413"/>
    <n v="79.650000000000006"/>
    <x v="0"/>
    <s v="E67"/>
    <s v="E"/>
    <s v="Southampton"/>
    <s v="Not Applicable"/>
    <s v="Not Found"/>
    <s v="Not Found"/>
    <s v="New York, NY"/>
  </r>
  <r>
    <x v="0"/>
    <x v="0"/>
    <s v="Mrs. Taussig Emil"/>
    <x v="0"/>
    <n v="39"/>
    <x v="2"/>
    <n v="1"/>
    <n v="1"/>
    <n v="110413"/>
    <n v="79.650000000000006"/>
    <x v="0"/>
    <s v="E67"/>
    <s v="E"/>
    <s v="Southampton"/>
    <n v="8"/>
    <s v="Not Found"/>
    <s v="Not Found"/>
    <s v="New York, NY"/>
  </r>
  <r>
    <x v="0"/>
    <x v="0"/>
    <s v="Mr. Taylor Elmer"/>
    <x v="1"/>
    <n v="48"/>
    <x v="2"/>
    <n v="0"/>
    <n v="1"/>
    <n v="19996"/>
    <n v="52"/>
    <x v="0"/>
    <s v="C126"/>
    <s v="C"/>
    <s v="Southampton"/>
    <s v="5 7"/>
    <s v="Not Found"/>
    <s v="Not Found"/>
    <s v="London /  East Orange, NJ"/>
  </r>
  <r>
    <x v="0"/>
    <x v="0"/>
    <s v="Mrs. Taylor Elmer"/>
    <x v="0"/>
    <n v="28"/>
    <x v="0"/>
    <n v="0"/>
    <n v="1"/>
    <n v="19996"/>
    <n v="52"/>
    <x v="0"/>
    <s v="C126"/>
    <s v="C"/>
    <s v="Southampton"/>
    <s v="5 7"/>
    <s v="Not Found"/>
    <s v="Not Found"/>
    <s v="London /  East Orange, NJ"/>
  </r>
  <r>
    <x v="0"/>
    <x v="1"/>
    <s v="Mr. Thayer John"/>
    <x v="1"/>
    <n v="49"/>
    <x v="2"/>
    <n v="1"/>
    <n v="1"/>
    <n v="17421"/>
    <n v="110.88330000000001"/>
    <x v="0"/>
    <s v="C68"/>
    <s v="C"/>
    <s v="Cherbourg"/>
    <s v="Not Applicable"/>
    <s v="Not Found"/>
    <s v="Not Found"/>
    <s v="Haverford, PA"/>
  </r>
  <r>
    <x v="0"/>
    <x v="0"/>
    <s v="Mr. Thayer John"/>
    <x v="1"/>
    <n v="17"/>
    <x v="4"/>
    <n v="2"/>
    <n v="0"/>
    <n v="17421"/>
    <n v="110.88330000000001"/>
    <x v="0"/>
    <s v="C70"/>
    <s v="C"/>
    <s v="Cherbourg"/>
    <s v="B"/>
    <s v="Not Found"/>
    <s v="Not Found"/>
    <s v="Haverford, PA"/>
  </r>
  <r>
    <x v="0"/>
    <x v="0"/>
    <s v="Mrs. Thayer John"/>
    <x v="0"/>
    <n v="39"/>
    <x v="2"/>
    <n v="1"/>
    <n v="1"/>
    <n v="17421"/>
    <n v="110.88330000000001"/>
    <x v="0"/>
    <s v="C68"/>
    <s v="C"/>
    <s v="Cherbourg"/>
    <n v="4"/>
    <s v="Not Found"/>
    <s v="Not Found"/>
    <s v="Haverford, PA"/>
  </r>
  <r>
    <x v="0"/>
    <x v="0"/>
    <s v="Mrs. Thorne Gertrude"/>
    <x v="0"/>
    <n v="28"/>
    <x v="0"/>
    <n v="0"/>
    <n v="0"/>
    <s v="PC 17585"/>
    <n v="79.2"/>
    <x v="0"/>
    <s v="Unknown"/>
    <s v="Unknown"/>
    <s v="Cherbourg"/>
    <s v="D"/>
    <s v="Not Found"/>
    <s v="Not Found"/>
    <s v="New York, NY"/>
  </r>
  <r>
    <x v="0"/>
    <x v="0"/>
    <s v="Mr. Tucker Gilbert"/>
    <x v="1"/>
    <n v="31"/>
    <x v="2"/>
    <n v="0"/>
    <n v="0"/>
    <n v="2543"/>
    <n v="28.537500000000001"/>
    <x v="1"/>
    <s v="C53"/>
    <s v="C"/>
    <s v="Cherbourg"/>
    <n v="7"/>
    <s v="Not Found"/>
    <s v="Not Found"/>
    <s v="Albany, NY"/>
  </r>
  <r>
    <x v="0"/>
    <x v="1"/>
    <s v="Don. Uruchurtu Manuel"/>
    <x v="1"/>
    <n v="40"/>
    <x v="2"/>
    <n v="0"/>
    <n v="0"/>
    <s v="PC 17601"/>
    <n v="27.720800000000001"/>
    <x v="1"/>
    <s v="Unknown"/>
    <s v="Unknown"/>
    <s v="Cherbourg"/>
    <s v="Not Applicable"/>
    <s v="Not Found"/>
    <s v="Not Found"/>
    <s v="Mexico City, Mexico"/>
  </r>
  <r>
    <x v="0"/>
    <x v="1"/>
    <s v="der Van hoef"/>
    <x v="1"/>
    <n v="61"/>
    <x v="3"/>
    <n v="0"/>
    <n v="0"/>
    <n v="111240"/>
    <n v="33.5"/>
    <x v="1"/>
    <s v="B19"/>
    <s v="B"/>
    <s v="Southampton"/>
    <s v="Not Applicable"/>
    <n v="245"/>
    <s v="Found"/>
    <s v="Brooklyn, NY"/>
  </r>
  <r>
    <x v="0"/>
    <x v="1"/>
    <s v="Mr. Walker William"/>
    <x v="1"/>
    <n v="47"/>
    <x v="2"/>
    <n v="0"/>
    <n v="0"/>
    <n v="36967"/>
    <n v="34.020800000000001"/>
    <x v="1"/>
    <s v="D46"/>
    <s v="D"/>
    <s v="Southampton"/>
    <s v="Not Applicable"/>
    <s v="Not Found"/>
    <s v="Not Found"/>
    <s v="East Orange, NJ"/>
  </r>
  <r>
    <x v="0"/>
    <x v="0"/>
    <s v="Miss. Ward Anna"/>
    <x v="0"/>
    <n v="35"/>
    <x v="2"/>
    <n v="0"/>
    <n v="0"/>
    <s v="PC 17755"/>
    <n v="512.32920000000001"/>
    <x v="0"/>
    <s v="Unknown"/>
    <s v="Unknown"/>
    <s v="Cherbourg"/>
    <n v="3"/>
    <s v="Not Found"/>
    <s v="Not Found"/>
    <m/>
  </r>
  <r>
    <x v="0"/>
    <x v="1"/>
    <s v="Mr. Warren Frank"/>
    <x v="1"/>
    <n v="64"/>
    <x v="3"/>
    <n v="0"/>
    <n v="1"/>
    <n v="110813"/>
    <n v="75.25"/>
    <x v="0"/>
    <s v="D37"/>
    <s v="D"/>
    <s v="Cherbourg"/>
    <s v="Not Applicable"/>
    <s v="Not Found"/>
    <s v="Not Found"/>
    <s v="Portland, OR"/>
  </r>
  <r>
    <x v="0"/>
    <x v="0"/>
    <s v="Mrs. Warren Frank"/>
    <x v="0"/>
    <n v="60"/>
    <x v="3"/>
    <n v="0"/>
    <n v="1"/>
    <n v="110813"/>
    <n v="75.25"/>
    <x v="0"/>
    <s v="D37"/>
    <s v="D"/>
    <s v="Cherbourg"/>
    <n v="5"/>
    <s v="Not Found"/>
    <s v="Not Found"/>
    <s v="Portland, OR"/>
  </r>
  <r>
    <x v="0"/>
    <x v="1"/>
    <s v="Col. Weir John"/>
    <x v="1"/>
    <n v="60"/>
    <x v="3"/>
    <n v="0"/>
    <n v="0"/>
    <n v="113800"/>
    <n v="26.55"/>
    <x v="1"/>
    <s v="Unknown"/>
    <s v="Unknown"/>
    <s v="Southampton"/>
    <s v="Not Applicable"/>
    <s v="Not Found"/>
    <s v="Not Found"/>
    <s v="England Salt Lake City, Utah"/>
  </r>
  <r>
    <x v="0"/>
    <x v="1"/>
    <s v="Mr. White Percival"/>
    <x v="1"/>
    <n v="54"/>
    <x v="2"/>
    <n v="1"/>
    <n v="0"/>
    <n v="35281"/>
    <n v="77.287499999999994"/>
    <x v="0"/>
    <s v="D26"/>
    <s v="D"/>
    <s v="Southampton"/>
    <s v="Not Applicable"/>
    <s v="Not Found"/>
    <s v="Not Found"/>
    <s v="Brunswick, ME"/>
  </r>
  <r>
    <x v="0"/>
    <x v="1"/>
    <s v="Mr. White Richard"/>
    <x v="1"/>
    <n v="21"/>
    <x v="0"/>
    <n v="1"/>
    <n v="0"/>
    <n v="35281"/>
    <n v="77.287499999999994"/>
    <x v="0"/>
    <s v="D26"/>
    <s v="D"/>
    <s v="Southampton"/>
    <s v="Not Applicable"/>
    <n v="169"/>
    <s v="Found"/>
    <s v="Brunswick, ME"/>
  </r>
  <r>
    <x v="0"/>
    <x v="0"/>
    <s v="Mrs. White John"/>
    <x v="0"/>
    <n v="55"/>
    <x v="2"/>
    <n v="0"/>
    <n v="0"/>
    <s v="PC 17760"/>
    <n v="135.63329999999999"/>
    <x v="0"/>
    <s v="C32"/>
    <s v="C"/>
    <s v="Cherbourg"/>
    <n v="8"/>
    <s v="Not Found"/>
    <s v="Not Found"/>
    <s v="New York, NY / Briarcliff Manor NY"/>
  </r>
  <r>
    <x v="0"/>
    <x v="0"/>
    <s v="Miss. Wick Mary"/>
    <x v="0"/>
    <n v="31"/>
    <x v="2"/>
    <n v="2"/>
    <n v="0"/>
    <n v="36928"/>
    <n v="164.86670000000001"/>
    <x v="0"/>
    <s v="C7"/>
    <s v="C"/>
    <s v="Southampton"/>
    <n v="8"/>
    <s v="Not Found"/>
    <s v="Not Found"/>
    <s v="Youngstown, OH"/>
  </r>
  <r>
    <x v="0"/>
    <x v="1"/>
    <s v="Mr. Wick George"/>
    <x v="1"/>
    <n v="57"/>
    <x v="2"/>
    <n v="1"/>
    <n v="1"/>
    <n v="36928"/>
    <n v="164.86670000000001"/>
    <x v="0"/>
    <s v="Unknown"/>
    <s v="Unknown"/>
    <s v="Southampton"/>
    <s v="Not Applicable"/>
    <s v="Not Found"/>
    <s v="Not Found"/>
    <s v="Youngstown, OH"/>
  </r>
  <r>
    <x v="0"/>
    <x v="0"/>
    <s v="Mrs. Wick George"/>
    <x v="0"/>
    <n v="45"/>
    <x v="2"/>
    <n v="1"/>
    <n v="1"/>
    <n v="36928"/>
    <n v="164.86670000000001"/>
    <x v="0"/>
    <s v="Unknown"/>
    <s v="Unknown"/>
    <s v="Southampton"/>
    <n v="8"/>
    <s v="Not Found"/>
    <s v="Not Found"/>
    <s v="Youngstown, OH"/>
  </r>
  <r>
    <x v="0"/>
    <x v="1"/>
    <s v="Mr. Widener George"/>
    <x v="1"/>
    <n v="50"/>
    <x v="2"/>
    <n v="1"/>
    <n v="1"/>
    <n v="113503"/>
    <n v="211.5"/>
    <x v="0"/>
    <s v="C80"/>
    <s v="C"/>
    <s v="Cherbourg"/>
    <s v="Not Applicable"/>
    <s v="Not Found"/>
    <s v="Not Found"/>
    <s v="Elkins Park, PA"/>
  </r>
  <r>
    <x v="0"/>
    <x v="1"/>
    <s v="Mr. Widener Harry"/>
    <x v="1"/>
    <n v="27"/>
    <x v="0"/>
    <n v="2"/>
    <n v="0"/>
    <n v="113503"/>
    <n v="211.5"/>
    <x v="0"/>
    <s v="C82"/>
    <s v="C"/>
    <s v="Cherbourg"/>
    <s v="Not Applicable"/>
    <s v="Not Found"/>
    <s v="Not Found"/>
    <s v="Elkins Park, PA"/>
  </r>
  <r>
    <x v="0"/>
    <x v="0"/>
    <s v="Mrs. Widener George"/>
    <x v="0"/>
    <n v="50"/>
    <x v="2"/>
    <n v="1"/>
    <n v="1"/>
    <n v="113503"/>
    <n v="211.5"/>
    <x v="0"/>
    <s v="C80"/>
    <s v="C"/>
    <s v="Cherbourg"/>
    <n v="4"/>
    <s v="Not Found"/>
    <s v="Not Found"/>
    <s v="Elkins Park, PA"/>
  </r>
  <r>
    <x v="0"/>
    <x v="0"/>
    <s v="Miss. Willard Constance"/>
    <x v="0"/>
    <n v="21"/>
    <x v="0"/>
    <n v="0"/>
    <n v="0"/>
    <n v="113795"/>
    <n v="26.55"/>
    <x v="1"/>
    <s v="Unknown"/>
    <s v="Unknown"/>
    <s v="Southampton"/>
    <s v="8 10"/>
    <s v="Not Found"/>
    <s v="Not Found"/>
    <s v="Duluth, MN"/>
  </r>
  <r>
    <x v="0"/>
    <x v="1"/>
    <s v="Mr. Williams Charles"/>
    <x v="1"/>
    <n v="51"/>
    <x v="2"/>
    <n v="1"/>
    <n v="0"/>
    <s v="PC 17597"/>
    <n v="61.379199999999997"/>
    <x v="0"/>
    <s v="Unknown"/>
    <s v="Unknown"/>
    <s v="Cherbourg"/>
    <s v="Not Applicable"/>
    <s v="Not Found"/>
    <s v="Not Found"/>
    <s v="Geneva, Switzerland / Radnor, PA"/>
  </r>
  <r>
    <x v="0"/>
    <x v="0"/>
    <s v="Mr. Williams Richard"/>
    <x v="1"/>
    <n v="21"/>
    <x v="0"/>
    <n v="1"/>
    <n v="0"/>
    <s v="PC 17597"/>
    <n v="61.379199999999997"/>
    <x v="0"/>
    <s v="Unknown"/>
    <s v="Unknown"/>
    <s v="Cherbourg"/>
    <s v="A"/>
    <s v="Not Found"/>
    <s v="Not Found"/>
    <s v="Geneva, Switzerland / Radnor, PA"/>
  </r>
  <r>
    <x v="0"/>
    <x v="1"/>
    <s v="Mr. Williams-Lambert Fletcher"/>
    <x v="1"/>
    <n v="28"/>
    <x v="0"/>
    <n v="0"/>
    <n v="0"/>
    <n v="113510"/>
    <n v="35"/>
    <x v="1"/>
    <s v="C128"/>
    <s v="C"/>
    <s v="Southampton"/>
    <s v="Not Applicable"/>
    <s v="Not Found"/>
    <s v="Not Found"/>
    <s v="London, England"/>
  </r>
  <r>
    <x v="0"/>
    <x v="0"/>
    <s v="Miss. Wilson Helen"/>
    <x v="0"/>
    <n v="31"/>
    <x v="2"/>
    <n v="0"/>
    <n v="0"/>
    <n v="16966"/>
    <n v="134.5"/>
    <x v="0"/>
    <s v="E39 E41"/>
    <s v="E"/>
    <s v="Cherbourg"/>
    <n v="3"/>
    <s v="Not Found"/>
    <s v="Not Found"/>
    <m/>
  </r>
  <r>
    <x v="0"/>
    <x v="0"/>
    <s v="Mr. Woolner Hugh"/>
    <x v="1"/>
    <n v="28"/>
    <x v="0"/>
    <n v="0"/>
    <n v="0"/>
    <n v="19947"/>
    <n v="35.5"/>
    <x v="1"/>
    <s v="C52"/>
    <s v="C"/>
    <s v="Southampton"/>
    <s v="D"/>
    <s v="Not Found"/>
    <s v="Not Found"/>
    <s v="London, England"/>
  </r>
  <r>
    <x v="0"/>
    <x v="1"/>
    <s v="Mr. Wright George"/>
    <x v="1"/>
    <n v="62"/>
    <x v="3"/>
    <n v="0"/>
    <n v="0"/>
    <n v="113807"/>
    <n v="26.55"/>
    <x v="1"/>
    <s v="Unknown"/>
    <s v="Unknown"/>
    <s v="Southampton"/>
    <s v="Not Applicable"/>
    <s v="Not Found"/>
    <s v="Not Found"/>
    <s v="Halifax, NS"/>
  </r>
  <r>
    <x v="0"/>
    <x v="0"/>
    <s v="Miss. Young Marie"/>
    <x v="0"/>
    <n v="36"/>
    <x v="2"/>
    <n v="0"/>
    <n v="0"/>
    <s v="PC 17760"/>
    <n v="135.63329999999999"/>
    <x v="0"/>
    <s v="C32"/>
    <s v="C"/>
    <s v="Cherbourg"/>
    <n v="8"/>
    <s v="Not Found"/>
    <s v="Not Found"/>
    <s v="New York, NY / Washington, DC"/>
  </r>
  <r>
    <x v="1"/>
    <x v="1"/>
    <s v="Mr. Abelson Samuel"/>
    <x v="1"/>
    <n v="30"/>
    <x v="2"/>
    <n v="0"/>
    <n v="1"/>
    <s v="P/PP 3381"/>
    <n v="24"/>
    <x v="1"/>
    <s v="Unknown"/>
    <s v="Unknown"/>
    <s v="Cherbourg"/>
    <s v="Not Applicable"/>
    <s v="Not Found"/>
    <s v="Not Found"/>
    <s v="Russia New York, NY"/>
  </r>
  <r>
    <x v="1"/>
    <x v="0"/>
    <s v="Mrs. Abelson Samuel"/>
    <x v="0"/>
    <n v="28"/>
    <x v="0"/>
    <n v="0"/>
    <n v="1"/>
    <s v="P/PP 3381"/>
    <n v="24"/>
    <x v="1"/>
    <s v="Unknown"/>
    <s v="Unknown"/>
    <s v="Cherbourg"/>
    <n v="10"/>
    <s v="Not Found"/>
    <s v="Not Found"/>
    <s v="Russia New York, NY"/>
  </r>
  <r>
    <x v="1"/>
    <x v="1"/>
    <s v="Mr. Aldworth Charles"/>
    <x v="1"/>
    <n v="30"/>
    <x v="2"/>
    <n v="0"/>
    <n v="0"/>
    <n v="248744"/>
    <n v="13"/>
    <x v="1"/>
    <s v="Unknown"/>
    <s v="Unknown"/>
    <s v="Southampton"/>
    <s v="Not Applicable"/>
    <s v="Not Found"/>
    <s v="Not Found"/>
    <s v="Bryn Mawr, PA, USA"/>
  </r>
  <r>
    <x v="1"/>
    <x v="1"/>
    <s v="Mr. Andrew Edgardo"/>
    <x v="1"/>
    <n v="18"/>
    <x v="0"/>
    <n v="0"/>
    <n v="0"/>
    <n v="231945"/>
    <n v="11.5"/>
    <x v="1"/>
    <s v="Unknown"/>
    <s v="Unknown"/>
    <s v="Southampton"/>
    <s v="Not Applicable"/>
    <s v="Not Found"/>
    <s v="Not Found"/>
    <s v="Buenos Aires, Argentina / New Jersey, NJ"/>
  </r>
  <r>
    <x v="1"/>
    <x v="1"/>
    <s v="Mr. Andrew Frank"/>
    <x v="1"/>
    <n v="25"/>
    <x v="0"/>
    <n v="0"/>
    <n v="0"/>
    <s v="C.A. 34050"/>
    <n v="10.5"/>
    <x v="1"/>
    <s v="Unknown"/>
    <s v="Unknown"/>
    <s v="Southampton"/>
    <s v="Not Applicable"/>
    <s v="Not Found"/>
    <s v="Not Found"/>
    <s v="Cornwall, England Houghton, MI"/>
  </r>
  <r>
    <x v="1"/>
    <x v="1"/>
    <s v="Mr. Angle William"/>
    <x v="1"/>
    <n v="34"/>
    <x v="2"/>
    <n v="0"/>
    <n v="1"/>
    <n v="226875"/>
    <n v="26"/>
    <x v="1"/>
    <s v="Unknown"/>
    <s v="Unknown"/>
    <s v="Southampton"/>
    <s v="Not Applicable"/>
    <s v="Not Found"/>
    <s v="Not Found"/>
    <s v="Warwick, England"/>
  </r>
  <r>
    <x v="1"/>
    <x v="0"/>
    <s v="Mrs. Angle William"/>
    <x v="0"/>
    <n v="36"/>
    <x v="2"/>
    <n v="0"/>
    <n v="1"/>
    <n v="226875"/>
    <n v="26"/>
    <x v="1"/>
    <s v="Unknown"/>
    <s v="Unknown"/>
    <s v="Southampton"/>
    <n v="11"/>
    <s v="Not Found"/>
    <s v="Not Found"/>
    <s v="Warwick, England"/>
  </r>
  <r>
    <x v="1"/>
    <x v="1"/>
    <s v="Mr. Ashby John"/>
    <x v="1"/>
    <n v="57"/>
    <x v="2"/>
    <n v="0"/>
    <n v="0"/>
    <n v="244346"/>
    <n v="13"/>
    <x v="1"/>
    <s v="Unknown"/>
    <s v="Unknown"/>
    <s v="Southampton"/>
    <s v="Not Applicable"/>
    <s v="Not Found"/>
    <s v="Not Found"/>
    <s v="West Hoboken, NJ"/>
  </r>
  <r>
    <x v="1"/>
    <x v="1"/>
    <s v="Mr. Bailey Percy"/>
    <x v="1"/>
    <n v="18"/>
    <x v="0"/>
    <n v="0"/>
    <n v="0"/>
    <n v="29108"/>
    <n v="11.5"/>
    <x v="1"/>
    <s v="Unknown"/>
    <s v="Unknown"/>
    <s v="Southampton"/>
    <s v="Not Applicable"/>
    <s v="Not Found"/>
    <s v="Not Found"/>
    <s v="Penzance, Cornwall / Akron, OH"/>
  </r>
  <r>
    <x v="1"/>
    <x v="1"/>
    <s v="Mr. Baimbrigge Charles"/>
    <x v="1"/>
    <n v="23"/>
    <x v="0"/>
    <n v="0"/>
    <n v="0"/>
    <s v="C.A. 31030"/>
    <n v="10.5"/>
    <x v="1"/>
    <s v="Unknown"/>
    <s v="Unknown"/>
    <s v="Southampton"/>
    <s v="Not Applicable"/>
    <s v="Not Found"/>
    <s v="Not Found"/>
    <s v="Guernsey"/>
  </r>
  <r>
    <x v="1"/>
    <x v="0"/>
    <s v="Mrs. Ball (Ada"/>
    <x v="0"/>
    <n v="36"/>
    <x v="2"/>
    <n v="0"/>
    <n v="0"/>
    <n v="28551"/>
    <n v="13"/>
    <x v="1"/>
    <s v="D"/>
    <s v="D"/>
    <s v="Southampton"/>
    <n v="10"/>
    <s v="Not Found"/>
    <s v="Not Found"/>
    <s v="Bristol, Avon / Jacksonville, FL"/>
  </r>
  <r>
    <x v="1"/>
    <x v="1"/>
    <s v="Mr. Banfield Frederick"/>
    <x v="1"/>
    <n v="28"/>
    <x v="0"/>
    <n v="0"/>
    <n v="0"/>
    <s v="C.A./SOTON 34068"/>
    <n v="10.5"/>
    <x v="1"/>
    <s v="Unknown"/>
    <s v="Unknown"/>
    <s v="Southampton"/>
    <s v="Not Applicable"/>
    <s v="Not Found"/>
    <s v="Not Found"/>
    <s v="Plymouth, Dorset / Houghton, MI"/>
  </r>
  <r>
    <x v="1"/>
    <x v="1"/>
    <s v="Rev. Bateman Robert"/>
    <x v="1"/>
    <n v="51"/>
    <x v="2"/>
    <n v="0"/>
    <n v="0"/>
    <s v="S.O.P. 1166"/>
    <n v="12.525"/>
    <x v="1"/>
    <s v="Unknown"/>
    <s v="Unknown"/>
    <s v="Southampton"/>
    <s v="Not Applicable"/>
    <n v="174"/>
    <s v="Found"/>
    <s v="Jacksonville, FL"/>
  </r>
  <r>
    <x v="1"/>
    <x v="0"/>
    <s v="Mr. Beane Edward"/>
    <x v="1"/>
    <n v="32"/>
    <x v="2"/>
    <n v="0"/>
    <n v="1"/>
    <n v="2908"/>
    <n v="26"/>
    <x v="1"/>
    <s v="Unknown"/>
    <s v="Unknown"/>
    <s v="Southampton"/>
    <n v="13"/>
    <s v="Not Found"/>
    <s v="Not Found"/>
    <s v="Norwich / New York, NY"/>
  </r>
  <r>
    <x v="1"/>
    <x v="0"/>
    <s v="Mrs. Beane Edward"/>
    <x v="0"/>
    <n v="19"/>
    <x v="0"/>
    <n v="0"/>
    <n v="1"/>
    <n v="2908"/>
    <n v="26"/>
    <x v="1"/>
    <s v="Unknown"/>
    <s v="Unknown"/>
    <s v="Southampton"/>
    <n v="13"/>
    <s v="Not Found"/>
    <s v="Not Found"/>
    <s v="Norwich / New York, NY"/>
  </r>
  <r>
    <x v="1"/>
    <x v="1"/>
    <s v="Mr. Beauchamp Henry"/>
    <x v="1"/>
    <n v="28"/>
    <x v="0"/>
    <n v="0"/>
    <n v="0"/>
    <n v="244358"/>
    <n v="26"/>
    <x v="1"/>
    <s v="Unknown"/>
    <s v="Unknown"/>
    <s v="Southampton"/>
    <s v="Not Applicable"/>
    <s v="Not Found"/>
    <s v="Not Found"/>
    <s v="England"/>
  </r>
  <r>
    <x v="1"/>
    <x v="0"/>
    <s v="Master. Becker Richard"/>
    <x v="1"/>
    <n v="1"/>
    <x v="1"/>
    <n v="1"/>
    <n v="2"/>
    <n v="230136"/>
    <n v="39"/>
    <x v="1"/>
    <s v="F4"/>
    <s v="F"/>
    <s v="Southampton"/>
    <n v="11"/>
    <s v="Not Found"/>
    <s v="Not Found"/>
    <s v="Guntur, India / Benton Harbour, MI"/>
  </r>
  <r>
    <x v="1"/>
    <x v="0"/>
    <s v="Miss. Becker Marion"/>
    <x v="0"/>
    <n v="4"/>
    <x v="1"/>
    <n v="1"/>
    <n v="2"/>
    <n v="230136"/>
    <n v="39"/>
    <x v="1"/>
    <s v="F4"/>
    <s v="F"/>
    <s v="Southampton"/>
    <n v="11"/>
    <s v="Not Found"/>
    <s v="Not Found"/>
    <s v="Guntur, India / Benton Harbour, MI"/>
  </r>
  <r>
    <x v="1"/>
    <x v="0"/>
    <s v="Miss. Becker Ruth"/>
    <x v="0"/>
    <n v="12"/>
    <x v="4"/>
    <n v="1"/>
    <n v="2"/>
    <n v="230136"/>
    <n v="39"/>
    <x v="1"/>
    <s v="F4"/>
    <s v="F"/>
    <s v="Southampton"/>
    <n v="13"/>
    <s v="Not Found"/>
    <s v="Not Found"/>
    <s v="Guntur, India / Benton Harbour, MI"/>
  </r>
  <r>
    <x v="1"/>
    <x v="0"/>
    <s v="Mrs. Becker Allen"/>
    <x v="0"/>
    <n v="36"/>
    <x v="2"/>
    <n v="3"/>
    <n v="0"/>
    <n v="230136"/>
    <n v="39"/>
    <x v="1"/>
    <s v="F4"/>
    <s v="F"/>
    <s v="Southampton"/>
    <n v="11"/>
    <s v="Not Found"/>
    <s v="Not Found"/>
    <s v="Guntur, India / Benton Harbour, MI"/>
  </r>
  <r>
    <x v="1"/>
    <x v="0"/>
    <s v="Mr. Beesley Lawrence"/>
    <x v="1"/>
    <n v="34"/>
    <x v="2"/>
    <n v="0"/>
    <n v="0"/>
    <n v="248698"/>
    <n v="13"/>
    <x v="1"/>
    <s v="D56"/>
    <s v="D"/>
    <s v="Southampton"/>
    <n v="13"/>
    <s v="Not Found"/>
    <s v="Not Found"/>
    <s v="London"/>
  </r>
  <r>
    <x v="1"/>
    <x v="0"/>
    <s v="Miss. Bentham Lilian"/>
    <x v="0"/>
    <n v="19"/>
    <x v="0"/>
    <n v="0"/>
    <n v="0"/>
    <n v="28404"/>
    <n v="13"/>
    <x v="1"/>
    <s v="Unknown"/>
    <s v="Unknown"/>
    <s v="Southampton"/>
    <n v="12"/>
    <s v="Not Found"/>
    <s v="Not Found"/>
    <s v="Rochester, NY"/>
  </r>
  <r>
    <x v="1"/>
    <x v="1"/>
    <s v="Mr. Berriman William"/>
    <x v="1"/>
    <n v="23"/>
    <x v="0"/>
    <n v="0"/>
    <n v="0"/>
    <n v="28425"/>
    <n v="13"/>
    <x v="1"/>
    <s v="Unknown"/>
    <s v="Unknown"/>
    <s v="Southampton"/>
    <s v="Not Applicable"/>
    <s v="Not Found"/>
    <s v="Not Found"/>
    <s v="St Ives, Cornwall / Calumet, MI"/>
  </r>
  <r>
    <x v="1"/>
    <x v="1"/>
    <s v="Mr. Botsford William"/>
    <x v="1"/>
    <n v="26"/>
    <x v="0"/>
    <n v="0"/>
    <n v="0"/>
    <n v="237670"/>
    <n v="13"/>
    <x v="1"/>
    <s v="Unknown"/>
    <s v="Unknown"/>
    <s v="Southampton"/>
    <s v="Not Applicable"/>
    <s v="Not Found"/>
    <s v="Not Found"/>
    <s v="Elmira, NY / Orange, NJ"/>
  </r>
  <r>
    <x v="1"/>
    <x v="1"/>
    <s v="Mr. Bowenur Solomon"/>
    <x v="1"/>
    <n v="42"/>
    <x v="2"/>
    <n v="0"/>
    <n v="0"/>
    <n v="211535"/>
    <n v="13"/>
    <x v="1"/>
    <s v="Unknown"/>
    <s v="Unknown"/>
    <s v="Southampton"/>
    <s v="Not Applicable"/>
    <s v="Not Found"/>
    <s v="Not Found"/>
    <s v="London"/>
  </r>
  <r>
    <x v="1"/>
    <x v="1"/>
    <s v="Mr. Bracken James"/>
    <x v="1"/>
    <n v="27"/>
    <x v="0"/>
    <n v="0"/>
    <n v="0"/>
    <n v="220367"/>
    <n v="13"/>
    <x v="1"/>
    <s v="Unknown"/>
    <s v="Unknown"/>
    <s v="Southampton"/>
    <s v="Not Applicable"/>
    <s v="Not Found"/>
    <s v="Not Found"/>
    <s v="Lake Arthur, Chavez County, NM"/>
  </r>
  <r>
    <x v="1"/>
    <x v="0"/>
    <s v="Miss. Brown Amelia"/>
    <x v="0"/>
    <n v="24"/>
    <x v="0"/>
    <n v="0"/>
    <n v="0"/>
    <n v="248733"/>
    <n v="13"/>
    <x v="1"/>
    <s v="F33"/>
    <s v="F"/>
    <s v="Southampton"/>
    <n v="11"/>
    <s v="Not Found"/>
    <s v="Not Found"/>
    <s v="London / Montreal, PQ"/>
  </r>
  <r>
    <x v="1"/>
    <x v="0"/>
    <s v="Miss. Brown Edith"/>
    <x v="0"/>
    <n v="15"/>
    <x v="4"/>
    <n v="2"/>
    <n v="0"/>
    <n v="29750"/>
    <n v="39"/>
    <x v="1"/>
    <s v="Unknown"/>
    <s v="Unknown"/>
    <s v="Southampton"/>
    <n v="14"/>
    <s v="Not Found"/>
    <s v="Not Found"/>
    <s v="Cape Town, South Africa / Seattle, WA"/>
  </r>
  <r>
    <x v="1"/>
    <x v="1"/>
    <s v="Mr. Brown Thomas"/>
    <x v="1"/>
    <n v="60"/>
    <x v="3"/>
    <n v="1"/>
    <n v="1"/>
    <n v="29750"/>
    <n v="39"/>
    <x v="1"/>
    <s v="Unknown"/>
    <s v="Unknown"/>
    <s v="Southampton"/>
    <s v="Not Applicable"/>
    <s v="Not Found"/>
    <s v="Not Found"/>
    <s v="Cape Town, South Africa / Seattle, WA"/>
  </r>
  <r>
    <x v="1"/>
    <x v="0"/>
    <s v="Mrs. Brown Thomas"/>
    <x v="0"/>
    <n v="40"/>
    <x v="2"/>
    <n v="1"/>
    <n v="1"/>
    <n v="29750"/>
    <n v="39"/>
    <x v="1"/>
    <s v="Unknown"/>
    <s v="Unknown"/>
    <s v="Southampton"/>
    <n v="14"/>
    <s v="Not Found"/>
    <s v="Not Found"/>
    <s v="Cape Town, South Africa / Seattle, WA"/>
  </r>
  <r>
    <x v="1"/>
    <x v="0"/>
    <s v="Miss. Bryhl Dagmar"/>
    <x v="0"/>
    <n v="20"/>
    <x v="0"/>
    <n v="0"/>
    <n v="1"/>
    <n v="236853"/>
    <n v="26"/>
    <x v="1"/>
    <s v="Unknown"/>
    <s v="Unknown"/>
    <s v="Southampton"/>
    <n v="12"/>
    <s v="Not Found"/>
    <s v="Not Found"/>
    <s v="Skara, Sweden / Rockford, IL"/>
  </r>
  <r>
    <x v="1"/>
    <x v="1"/>
    <s v="Mr. Bryhl Kurt"/>
    <x v="1"/>
    <n v="25"/>
    <x v="0"/>
    <n v="0"/>
    <n v="1"/>
    <n v="236853"/>
    <n v="26"/>
    <x v="1"/>
    <s v="Unknown"/>
    <s v="Unknown"/>
    <s v="Southampton"/>
    <s v="Not Applicable"/>
    <s v="Not Found"/>
    <s v="Not Found"/>
    <s v="Skara, Sweden / Rockford, IL"/>
  </r>
  <r>
    <x v="1"/>
    <x v="0"/>
    <s v="Miss. Buss Kate"/>
    <x v="0"/>
    <n v="36"/>
    <x v="2"/>
    <n v="0"/>
    <n v="0"/>
    <n v="27849"/>
    <n v="13"/>
    <x v="1"/>
    <s v="Unknown"/>
    <s v="Unknown"/>
    <s v="Southampton"/>
    <n v="9"/>
    <s v="Not Found"/>
    <s v="Not Found"/>
    <s v="Sittingbourne, England / San Diego, CA"/>
  </r>
  <r>
    <x v="1"/>
    <x v="1"/>
    <s v="Mr. Butler Reginald"/>
    <x v="1"/>
    <n v="25"/>
    <x v="0"/>
    <n v="0"/>
    <n v="0"/>
    <n v="234686"/>
    <n v="13"/>
    <x v="1"/>
    <s v="Unknown"/>
    <s v="Unknown"/>
    <s v="Southampton"/>
    <s v="Not Applicable"/>
    <n v="97"/>
    <s v="Found"/>
    <s v="Southsea, Hants"/>
  </r>
  <r>
    <x v="1"/>
    <x v="1"/>
    <s v="Rev. Byles Thomas"/>
    <x v="1"/>
    <n v="42"/>
    <x v="2"/>
    <n v="0"/>
    <n v="0"/>
    <n v="244310"/>
    <n v="13"/>
    <x v="1"/>
    <s v="Unknown"/>
    <s v="Unknown"/>
    <s v="Southampton"/>
    <s v="Not Applicable"/>
    <s v="Not Found"/>
    <s v="Not Found"/>
    <s v="London"/>
  </r>
  <r>
    <x v="1"/>
    <x v="0"/>
    <s v="Mrs. Bystrom (Karolina)"/>
    <x v="0"/>
    <n v="42"/>
    <x v="2"/>
    <n v="0"/>
    <n v="0"/>
    <n v="236852"/>
    <n v="13"/>
    <x v="1"/>
    <s v="Unknown"/>
    <s v="Unknown"/>
    <s v="Southampton"/>
    <s v="Not Applicable"/>
    <s v="Not Found"/>
    <s v="Not Found"/>
    <s v="New York, NY"/>
  </r>
  <r>
    <x v="1"/>
    <x v="0"/>
    <s v="Master. Caldwell Alden"/>
    <x v="1"/>
    <n v="1"/>
    <x v="1"/>
    <n v="2"/>
    <n v="0"/>
    <n v="248738"/>
    <n v="29"/>
    <x v="1"/>
    <s v="Unknown"/>
    <s v="Unknown"/>
    <s v="Southampton"/>
    <n v="13"/>
    <s v="Not Found"/>
    <s v="Not Found"/>
    <s v="Bangkok, Thailand / Roseville, IL"/>
  </r>
  <r>
    <x v="1"/>
    <x v="0"/>
    <s v="Mr. Caldwell Albert"/>
    <x v="1"/>
    <n v="26"/>
    <x v="0"/>
    <n v="1"/>
    <n v="1"/>
    <n v="248738"/>
    <n v="29"/>
    <x v="1"/>
    <s v="Unknown"/>
    <s v="Unknown"/>
    <s v="Southampton"/>
    <n v="13"/>
    <s v="Not Found"/>
    <s v="Not Found"/>
    <s v="Bangkok, Thailand / Roseville, IL"/>
  </r>
  <r>
    <x v="1"/>
    <x v="0"/>
    <s v="Mrs. Caldwell Albert"/>
    <x v="0"/>
    <n v="22"/>
    <x v="0"/>
    <n v="1"/>
    <n v="1"/>
    <n v="248738"/>
    <n v="29"/>
    <x v="1"/>
    <s v="Unknown"/>
    <s v="Unknown"/>
    <s v="Southampton"/>
    <n v="13"/>
    <s v="Not Found"/>
    <s v="Not Found"/>
    <s v="Bangkok, Thailand / Roseville, IL"/>
  </r>
  <r>
    <x v="1"/>
    <x v="0"/>
    <s v="Miss. Cameron Clear"/>
    <x v="0"/>
    <n v="35"/>
    <x v="2"/>
    <n v="0"/>
    <n v="0"/>
    <s v="F.C.C. 13528"/>
    <n v="21"/>
    <x v="1"/>
    <s v="Unknown"/>
    <s v="Unknown"/>
    <s v="Southampton"/>
    <n v="14"/>
    <s v="Not Found"/>
    <s v="Not Found"/>
    <s v="Mamaroneck, NY"/>
  </r>
  <r>
    <x v="1"/>
    <x v="1"/>
    <s v="Mr. Campbell William"/>
    <x v="1"/>
    <n v="28"/>
    <x v="0"/>
    <n v="0"/>
    <n v="0"/>
    <n v="239853"/>
    <n v="0"/>
    <x v="2"/>
    <s v="Unknown"/>
    <s v="Unknown"/>
    <s v="Southampton"/>
    <s v="Not Applicable"/>
    <s v="Not Found"/>
    <s v="Not Found"/>
    <s v="Belfast"/>
  </r>
  <r>
    <x v="1"/>
    <x v="1"/>
    <s v="Mr. Carbines William"/>
    <x v="1"/>
    <n v="19"/>
    <x v="0"/>
    <n v="0"/>
    <n v="0"/>
    <n v="28424"/>
    <n v="13"/>
    <x v="1"/>
    <s v="Unknown"/>
    <s v="Unknown"/>
    <s v="Southampton"/>
    <s v="Not Applicable"/>
    <n v="18"/>
    <s v="Found"/>
    <s v="St Ives, Cornwall / Calumet, MI"/>
  </r>
  <r>
    <x v="1"/>
    <x v="1"/>
    <s v="Mrs. Carter Ernest"/>
    <x v="0"/>
    <n v="44"/>
    <x v="2"/>
    <n v="0"/>
    <n v="1"/>
    <n v="244252"/>
    <n v="26"/>
    <x v="1"/>
    <s v="Unknown"/>
    <s v="Unknown"/>
    <s v="Southampton"/>
    <s v="Not Applicable"/>
    <s v="Not Found"/>
    <s v="Not Found"/>
    <s v="London"/>
  </r>
  <r>
    <x v="1"/>
    <x v="1"/>
    <s v="Rev. Carter Ernest"/>
    <x v="1"/>
    <n v="54"/>
    <x v="2"/>
    <n v="0"/>
    <n v="1"/>
    <n v="244252"/>
    <n v="26"/>
    <x v="1"/>
    <s v="Unknown"/>
    <s v="Unknown"/>
    <s v="Southampton"/>
    <s v="Not Applicable"/>
    <s v="Not Found"/>
    <s v="Not Found"/>
    <s v="London"/>
  </r>
  <r>
    <x v="1"/>
    <x v="1"/>
    <s v="Mr. Chapman Charles"/>
    <x v="1"/>
    <n v="52"/>
    <x v="2"/>
    <n v="0"/>
    <n v="0"/>
    <n v="248731"/>
    <n v="13.5"/>
    <x v="1"/>
    <s v="Unknown"/>
    <s v="Unknown"/>
    <s v="Southampton"/>
    <s v="Not Applicable"/>
    <n v="130"/>
    <s v="Found"/>
    <s v="Bronx, NY"/>
  </r>
  <r>
    <x v="1"/>
    <x v="1"/>
    <s v="Mr. Chapman John"/>
    <x v="1"/>
    <n v="37"/>
    <x v="2"/>
    <n v="0"/>
    <n v="1"/>
    <s v="SC/AH 29037"/>
    <n v="26"/>
    <x v="1"/>
    <s v="Unknown"/>
    <s v="Unknown"/>
    <s v="Southampton"/>
    <s v="Not Applicable"/>
    <n v="17"/>
    <s v="Found"/>
    <s v="Cornwall / Spokane, WA"/>
  </r>
  <r>
    <x v="1"/>
    <x v="1"/>
    <s v="Mrs. Chapman John"/>
    <x v="0"/>
    <n v="29"/>
    <x v="0"/>
    <n v="0"/>
    <n v="1"/>
    <s v="SC/AH 29037"/>
    <n v="26"/>
    <x v="1"/>
    <s v="Unknown"/>
    <s v="Unknown"/>
    <s v="Southampton"/>
    <s v="Not Applicable"/>
    <s v="Not Found"/>
    <s v="Not Found"/>
    <s v="Cornwall / Spokane, WA"/>
  </r>
  <r>
    <x v="1"/>
    <x v="0"/>
    <s v="Miss. Christy Julie"/>
    <x v="0"/>
    <n v="25"/>
    <x v="0"/>
    <n v="1"/>
    <n v="1"/>
    <n v="237789"/>
    <n v="30"/>
    <x v="1"/>
    <s v="Unknown"/>
    <s v="Unknown"/>
    <s v="Southampton"/>
    <n v="12"/>
    <s v="Not Found"/>
    <s v="Not Found"/>
    <s v="London"/>
  </r>
  <r>
    <x v="1"/>
    <x v="0"/>
    <s v="Mrs. Christy (Alice"/>
    <x v="0"/>
    <n v="45"/>
    <x v="2"/>
    <n v="2"/>
    <n v="0"/>
    <n v="237789"/>
    <n v="30"/>
    <x v="1"/>
    <s v="Unknown"/>
    <s v="Unknown"/>
    <s v="Southampton"/>
    <n v="12"/>
    <s v="Not Found"/>
    <s v="Not Found"/>
    <s v="London"/>
  </r>
  <r>
    <x v="1"/>
    <x v="1"/>
    <s v="Mr. Clarke Charles"/>
    <x v="1"/>
    <n v="29"/>
    <x v="0"/>
    <n v="0"/>
    <n v="1"/>
    <n v="2003"/>
    <n v="26"/>
    <x v="1"/>
    <s v="Unknown"/>
    <s v="Unknown"/>
    <s v="Southampton"/>
    <s v="Not Applicable"/>
    <s v="Not Found"/>
    <s v="Not Found"/>
    <s v="England / San Francisco, CA"/>
  </r>
  <r>
    <x v="1"/>
    <x v="0"/>
    <s v="Mrs. Clarke Charles"/>
    <x v="0"/>
    <n v="28"/>
    <x v="0"/>
    <n v="0"/>
    <n v="1"/>
    <n v="2003"/>
    <n v="26"/>
    <x v="1"/>
    <s v="Unknown"/>
    <s v="Unknown"/>
    <s v="Southampton"/>
    <n v="14"/>
    <s v="Not Found"/>
    <s v="Not Found"/>
    <s v="England / San Francisco, CA"/>
  </r>
  <r>
    <x v="1"/>
    <x v="1"/>
    <s v="Mr. Coleridge Reginald"/>
    <x v="1"/>
    <n v="29"/>
    <x v="0"/>
    <n v="0"/>
    <n v="0"/>
    <s v="W./C. 14263"/>
    <n v="10.5"/>
    <x v="1"/>
    <s v="Unknown"/>
    <s v="Unknown"/>
    <s v="Southampton"/>
    <s v="Not Applicable"/>
    <s v="Not Found"/>
    <s v="Not Found"/>
    <s v="Hartford, Huntingdonshire"/>
  </r>
  <r>
    <x v="1"/>
    <x v="1"/>
    <s v="Mr. Collander Erik"/>
    <x v="1"/>
    <n v="28"/>
    <x v="0"/>
    <n v="0"/>
    <n v="0"/>
    <n v="248740"/>
    <n v="13"/>
    <x v="1"/>
    <s v="Unknown"/>
    <s v="Unknown"/>
    <s v="Southampton"/>
    <s v="Not Applicable"/>
    <s v="Not Found"/>
    <s v="Not Found"/>
    <s v="Helsinki, Finland Ashtabula, Ohio"/>
  </r>
  <r>
    <x v="1"/>
    <x v="0"/>
    <s v="Mr. Collett Sidney"/>
    <x v="1"/>
    <n v="24"/>
    <x v="0"/>
    <n v="0"/>
    <n v="0"/>
    <n v="28034"/>
    <n v="10.5"/>
    <x v="1"/>
    <s v="Unknown"/>
    <s v="Unknown"/>
    <s v="Southampton"/>
    <n v="9"/>
    <s v="Not Found"/>
    <s v="Not Found"/>
    <s v="London / Fort Byron, NY"/>
  </r>
  <r>
    <x v="1"/>
    <x v="0"/>
    <s v="Miss. Collyer Marjorie"/>
    <x v="0"/>
    <n v="8"/>
    <x v="1"/>
    <n v="2"/>
    <n v="0"/>
    <s v="C.A. 31921"/>
    <n v="26.25"/>
    <x v="1"/>
    <s v="Unknown"/>
    <s v="Unknown"/>
    <s v="Southampton"/>
    <n v="14"/>
    <s v="Not Found"/>
    <s v="Not Found"/>
    <s v="Bishopstoke, Hants / Fayette Valley, ID"/>
  </r>
  <r>
    <x v="1"/>
    <x v="1"/>
    <s v="Mr. Collyer Harvey"/>
    <x v="1"/>
    <n v="31"/>
    <x v="2"/>
    <n v="1"/>
    <n v="1"/>
    <s v="C.A. 31921"/>
    <n v="26.25"/>
    <x v="1"/>
    <s v="Unknown"/>
    <s v="Unknown"/>
    <s v="Southampton"/>
    <s v="Not Applicable"/>
    <s v="Not Found"/>
    <s v="Not Found"/>
    <s v="Bishopstoke, Hants / Fayette Valley, ID"/>
  </r>
  <r>
    <x v="1"/>
    <x v="0"/>
    <s v="Mrs. Collyer Harvey"/>
    <x v="0"/>
    <n v="31"/>
    <x v="2"/>
    <n v="1"/>
    <n v="1"/>
    <s v="C.A. 31921"/>
    <n v="26.25"/>
    <x v="1"/>
    <s v="Unknown"/>
    <s v="Unknown"/>
    <s v="Southampton"/>
    <n v="14"/>
    <s v="Not Found"/>
    <s v="Not Found"/>
    <s v="Bishopstoke, Hants / Fayette Valley, ID"/>
  </r>
  <r>
    <x v="1"/>
    <x v="0"/>
    <s v="Mrs. Cook (Selena"/>
    <x v="0"/>
    <n v="22"/>
    <x v="0"/>
    <n v="0"/>
    <n v="0"/>
    <s v="W./C. 14266"/>
    <n v="10.5"/>
    <x v="1"/>
    <s v="F33"/>
    <s v="F"/>
    <s v="Southampton"/>
    <n v="14"/>
    <s v="Not Found"/>
    <s v="Not Found"/>
    <s v="Pennsylvania"/>
  </r>
  <r>
    <x v="1"/>
    <x v="1"/>
    <s v="Mrs. Corbett Walter"/>
    <x v="0"/>
    <n v="30"/>
    <x v="2"/>
    <n v="0"/>
    <n v="0"/>
    <n v="237249"/>
    <n v="13"/>
    <x v="1"/>
    <s v="Unknown"/>
    <s v="Unknown"/>
    <s v="Southampton"/>
    <s v="Not Applicable"/>
    <s v="Not Found"/>
    <s v="Not Found"/>
    <s v="Provo, UT"/>
  </r>
  <r>
    <x v="1"/>
    <x v="1"/>
    <s v="Mrs. Corey Percy"/>
    <x v="0"/>
    <n v="28"/>
    <x v="0"/>
    <n v="0"/>
    <n v="0"/>
    <s v="F.C.C. 13534"/>
    <n v="21"/>
    <x v="1"/>
    <s v="Unknown"/>
    <s v="Unknown"/>
    <s v="Southampton"/>
    <s v="Not Applicable"/>
    <s v="Not Found"/>
    <s v="Not Found"/>
    <s v="Upper Burma, India Pittsburgh, PA"/>
  </r>
  <r>
    <x v="1"/>
    <x v="1"/>
    <s v="Mr. Cotterill Henry"/>
    <x v="1"/>
    <n v="21"/>
    <x v="0"/>
    <n v="0"/>
    <n v="0"/>
    <n v="29107"/>
    <n v="11.5"/>
    <x v="1"/>
    <s v="Unknown"/>
    <s v="Unknown"/>
    <s v="Southampton"/>
    <s v="Not Applicable"/>
    <s v="Not Found"/>
    <s v="Not Found"/>
    <s v="Penzance, Cornwall / Akron, OH"/>
  </r>
  <r>
    <x v="1"/>
    <x v="1"/>
    <s v="Mr. Cunningham Alfred"/>
    <x v="1"/>
    <n v="28"/>
    <x v="0"/>
    <n v="0"/>
    <n v="0"/>
    <n v="239853"/>
    <n v="0"/>
    <x v="2"/>
    <s v="Unknown"/>
    <s v="Unknown"/>
    <s v="Southampton"/>
    <s v="Not Applicable"/>
    <s v="Not Found"/>
    <s v="Not Found"/>
    <s v="Belfast"/>
  </r>
  <r>
    <x v="1"/>
    <x v="0"/>
    <s v="Master. Davies John"/>
    <x v="1"/>
    <n v="8"/>
    <x v="1"/>
    <n v="1"/>
    <n v="1"/>
    <s v="C.A. 33112"/>
    <n v="36.75"/>
    <x v="1"/>
    <s v="Unknown"/>
    <s v="Unknown"/>
    <s v="Southampton"/>
    <n v="14"/>
    <s v="Not Found"/>
    <s v="Not Found"/>
    <s v="St Ives, Cornwall / Hancock, MI"/>
  </r>
  <r>
    <x v="1"/>
    <x v="1"/>
    <s v="Mr. Davies Charles"/>
    <x v="1"/>
    <n v="18"/>
    <x v="0"/>
    <n v="0"/>
    <n v="0"/>
    <s v="S.O.C. 14879"/>
    <n v="73.5"/>
    <x v="0"/>
    <s v="Unknown"/>
    <s v="Unknown"/>
    <s v="Southampton"/>
    <s v="Not Applicable"/>
    <s v="Not Found"/>
    <s v="Not Found"/>
    <s v="Lyndhurst, England"/>
  </r>
  <r>
    <x v="1"/>
    <x v="0"/>
    <s v="Mrs. Davies John"/>
    <x v="0"/>
    <n v="48"/>
    <x v="2"/>
    <n v="2"/>
    <n v="0"/>
    <s v="C.A. 33112"/>
    <n v="36.75"/>
    <x v="1"/>
    <s v="Unknown"/>
    <s v="Unknown"/>
    <s v="Southampton"/>
    <n v="14"/>
    <s v="Not Found"/>
    <s v="Not Found"/>
    <s v="St Ives, Cornwall / Hancock, MI"/>
  </r>
  <r>
    <x v="1"/>
    <x v="0"/>
    <s v="Miss. Davis Mary"/>
    <x v="0"/>
    <n v="28"/>
    <x v="0"/>
    <n v="0"/>
    <n v="0"/>
    <n v="237668"/>
    <n v="13"/>
    <x v="1"/>
    <s v="Unknown"/>
    <s v="Unknown"/>
    <s v="Southampton"/>
    <n v="13"/>
    <s v="Not Found"/>
    <s v="Not Found"/>
    <s v="London / Staten Island, NY"/>
  </r>
  <r>
    <x v="1"/>
    <x v="1"/>
    <s v="Brito de Mr."/>
    <x v="1"/>
    <n v="32"/>
    <x v="2"/>
    <n v="0"/>
    <n v="0"/>
    <n v="244360"/>
    <n v="13"/>
    <x v="1"/>
    <s v="Unknown"/>
    <s v="Unknown"/>
    <s v="Southampton"/>
    <s v="Not Applicable"/>
    <s v="Not Found"/>
    <s v="Not Found"/>
    <s v="Portugal / Sau Paulo, Brazil"/>
  </r>
  <r>
    <x v="1"/>
    <x v="1"/>
    <s v="Mr. Deacon Percy"/>
    <x v="1"/>
    <n v="17"/>
    <x v="4"/>
    <n v="0"/>
    <n v="0"/>
    <s v="S.O.C. 14879"/>
    <n v="73.5"/>
    <x v="0"/>
    <s v="Unknown"/>
    <s v="Unknown"/>
    <s v="Southampton"/>
    <s v="Not Applicable"/>
    <s v="Not Found"/>
    <s v="Not Found"/>
    <m/>
  </r>
  <r>
    <x v="1"/>
    <x v="1"/>
    <s v="Carlo del Mr."/>
    <x v="1"/>
    <n v="29"/>
    <x v="0"/>
    <n v="0"/>
    <n v="1"/>
    <s v="SC/PARIS 2167"/>
    <n v="27.720800000000001"/>
    <x v="1"/>
    <s v="Unknown"/>
    <s v="Unknown"/>
    <s v="Cherbourg"/>
    <s v="Not Applicable"/>
    <n v="295"/>
    <s v="Found"/>
    <s v="Lucca, Italy / California"/>
  </r>
  <r>
    <x v="1"/>
    <x v="0"/>
    <s v="Carlo del Mrs."/>
    <x v="0"/>
    <n v="24"/>
    <x v="0"/>
    <n v="0"/>
    <n v="1"/>
    <s v="SC/PARIS 2167"/>
    <n v="27.720800000000001"/>
    <x v="1"/>
    <s v="Unknown"/>
    <s v="Unknown"/>
    <s v="Cherbourg"/>
    <n v="12"/>
    <s v="Not Found"/>
    <s v="Not Found"/>
    <s v="Lucca, Italy / California"/>
  </r>
  <r>
    <x v="1"/>
    <x v="1"/>
    <s v="Mr. Denbury Herbert"/>
    <x v="1"/>
    <n v="25"/>
    <x v="0"/>
    <n v="0"/>
    <n v="0"/>
    <s v="C.A. 31029"/>
    <n v="31.5"/>
    <x v="1"/>
    <s v="Unknown"/>
    <s v="Unknown"/>
    <s v="Southampton"/>
    <s v="Not Applicable"/>
    <s v="Not Found"/>
    <s v="Not Found"/>
    <s v="Guernsey / Elizabeth, NJ"/>
  </r>
  <r>
    <x v="1"/>
    <x v="1"/>
    <s v="Mr. Dibden William"/>
    <x v="1"/>
    <n v="18"/>
    <x v="0"/>
    <n v="0"/>
    <n v="0"/>
    <s v="S.O.C. 14879"/>
    <n v="73.5"/>
    <x v="0"/>
    <s v="Unknown"/>
    <s v="Unknown"/>
    <s v="Southampton"/>
    <s v="Not Applicable"/>
    <s v="Not Found"/>
    <s v="Not Found"/>
    <s v="New Forest, England"/>
  </r>
  <r>
    <x v="1"/>
    <x v="0"/>
    <s v="Miss. Doling Elsie"/>
    <x v="0"/>
    <n v="18"/>
    <x v="0"/>
    <n v="1"/>
    <n v="0"/>
    <n v="231919"/>
    <n v="23"/>
    <x v="1"/>
    <s v="Unknown"/>
    <s v="Unknown"/>
    <s v="Southampton"/>
    <s v="Not Applicable"/>
    <s v="Not Found"/>
    <s v="Not Found"/>
    <s v="Southampton"/>
  </r>
  <r>
    <x v="1"/>
    <x v="0"/>
    <s v="Mrs. Doling John"/>
    <x v="0"/>
    <n v="34"/>
    <x v="2"/>
    <n v="1"/>
    <n v="0"/>
    <n v="231919"/>
    <n v="23"/>
    <x v="1"/>
    <s v="Unknown"/>
    <s v="Unknown"/>
    <s v="Southampton"/>
    <s v="Not Applicable"/>
    <s v="Not Found"/>
    <s v="Not Found"/>
    <s v="Southampton"/>
  </r>
  <r>
    <x v="1"/>
    <x v="1"/>
    <s v="Mr. Downton William"/>
    <x v="1"/>
    <n v="54"/>
    <x v="2"/>
    <n v="0"/>
    <n v="0"/>
    <n v="28403"/>
    <n v="26"/>
    <x v="1"/>
    <s v="Unknown"/>
    <s v="Unknown"/>
    <s v="Southampton"/>
    <s v="Not Applicable"/>
    <s v="Not Found"/>
    <s v="Not Found"/>
    <s v="Holley, NY"/>
  </r>
  <r>
    <x v="1"/>
    <x v="0"/>
    <s v="Master. Drew Marshall"/>
    <x v="1"/>
    <n v="8"/>
    <x v="1"/>
    <n v="2"/>
    <n v="0"/>
    <n v="28220"/>
    <n v="32.5"/>
    <x v="1"/>
    <s v="Unknown"/>
    <s v="Unknown"/>
    <s v="Southampton"/>
    <n v="10"/>
    <s v="Not Found"/>
    <s v="Not Found"/>
    <s v="Greenport, NY"/>
  </r>
  <r>
    <x v="1"/>
    <x v="1"/>
    <s v="Mr. Drew James"/>
    <x v="1"/>
    <n v="42"/>
    <x v="2"/>
    <n v="1"/>
    <n v="1"/>
    <n v="28220"/>
    <n v="32.5"/>
    <x v="1"/>
    <s v="Unknown"/>
    <s v="Unknown"/>
    <s v="Southampton"/>
    <s v="Not Applicable"/>
    <s v="Not Found"/>
    <s v="Not Found"/>
    <s v="Greenport, NY"/>
  </r>
  <r>
    <x v="1"/>
    <x v="0"/>
    <s v="Mrs. Drew James"/>
    <x v="0"/>
    <n v="34"/>
    <x v="2"/>
    <n v="1"/>
    <n v="1"/>
    <n v="28220"/>
    <n v="32.5"/>
    <x v="1"/>
    <s v="Unknown"/>
    <s v="Unknown"/>
    <s v="Southampton"/>
    <n v="10"/>
    <s v="Not Found"/>
    <s v="Not Found"/>
    <s v="Greenport, NY"/>
  </r>
  <r>
    <x v="1"/>
    <x v="0"/>
    <s v="y Duran More"/>
    <x v="0"/>
    <n v="27"/>
    <x v="0"/>
    <n v="0"/>
    <n v="1"/>
    <s v="SC/PARIS 2149"/>
    <n v="13.8583"/>
    <x v="1"/>
    <s v="Unknown"/>
    <s v="Unknown"/>
    <s v="Cherbourg"/>
    <n v="12"/>
    <s v="Not Found"/>
    <s v="Not Found"/>
    <s v="Barcelona, Spain / Havana, Cuba"/>
  </r>
  <r>
    <x v="1"/>
    <x v="0"/>
    <s v="y Duran More"/>
    <x v="0"/>
    <n v="30"/>
    <x v="2"/>
    <n v="0"/>
    <n v="1"/>
    <s v="SC/PARIS 2148"/>
    <n v="13.8583"/>
    <x v="1"/>
    <s v="Unknown"/>
    <s v="Unknown"/>
    <s v="Cherbourg"/>
    <n v="12"/>
    <s v="Not Found"/>
    <s v="Not Found"/>
    <s v="Barcelona, Spain / Havana, Cuba"/>
  </r>
  <r>
    <x v="1"/>
    <x v="1"/>
    <s v="Mr. Eitemiller George"/>
    <x v="1"/>
    <n v="23"/>
    <x v="0"/>
    <n v="0"/>
    <n v="0"/>
    <n v="29751"/>
    <n v="13"/>
    <x v="1"/>
    <s v="Unknown"/>
    <s v="Unknown"/>
    <s v="Southampton"/>
    <s v="Not Applicable"/>
    <s v="Not Found"/>
    <s v="Not Found"/>
    <s v="England / Detroit, MI"/>
  </r>
  <r>
    <x v="1"/>
    <x v="1"/>
    <s v="Mr. Enander Ingvar"/>
    <x v="1"/>
    <n v="21"/>
    <x v="0"/>
    <n v="0"/>
    <n v="0"/>
    <n v="236854"/>
    <n v="13"/>
    <x v="1"/>
    <s v="Unknown"/>
    <s v="Unknown"/>
    <s v="Southampton"/>
    <s v="Not Applicable"/>
    <s v="Not Found"/>
    <s v="Not Found"/>
    <s v="Goteborg, Sweden / Rockford, IL"/>
  </r>
  <r>
    <x v="1"/>
    <x v="1"/>
    <s v="Mr. Fahlstrom Arne"/>
    <x v="1"/>
    <n v="18"/>
    <x v="0"/>
    <n v="0"/>
    <n v="0"/>
    <n v="236171"/>
    <n v="13"/>
    <x v="1"/>
    <s v="Unknown"/>
    <s v="Unknown"/>
    <s v="Southampton"/>
    <s v="Not Applicable"/>
    <s v="Not Found"/>
    <s v="Not Found"/>
    <s v="Oslo, Norway Bayonne, NJ"/>
  </r>
  <r>
    <x v="1"/>
    <x v="1"/>
    <s v="Mr. Faunthorpe Harry"/>
    <x v="1"/>
    <n v="40"/>
    <x v="2"/>
    <n v="0"/>
    <n v="1"/>
    <n v="2926"/>
    <n v="26"/>
    <x v="1"/>
    <s v="Unknown"/>
    <s v="Unknown"/>
    <s v="Southampton"/>
    <s v="Not Applicable"/>
    <n v="286"/>
    <s v="Found"/>
    <s v="England / Philadelphia, PA"/>
  </r>
  <r>
    <x v="1"/>
    <x v="0"/>
    <s v="Mrs. Faunthorpe Lizzie"/>
    <x v="0"/>
    <n v="29"/>
    <x v="0"/>
    <n v="0"/>
    <n v="1"/>
    <n v="2926"/>
    <n v="26"/>
    <x v="1"/>
    <s v="Unknown"/>
    <s v="Unknown"/>
    <s v="Southampton"/>
    <n v="16"/>
    <s v="Not Found"/>
    <s v="Not Found"/>
    <m/>
  </r>
  <r>
    <x v="1"/>
    <x v="1"/>
    <s v="Mr. Fillbrook Joseph"/>
    <x v="1"/>
    <n v="18"/>
    <x v="0"/>
    <n v="0"/>
    <n v="0"/>
    <s v="C.A. 15185"/>
    <n v="10.5"/>
    <x v="1"/>
    <s v="Unknown"/>
    <s v="Unknown"/>
    <s v="Southampton"/>
    <s v="Not Applicable"/>
    <s v="Not Found"/>
    <s v="Not Found"/>
    <s v="Cornwall / Houghton, MI"/>
  </r>
  <r>
    <x v="1"/>
    <x v="1"/>
    <s v="Mr. Fox Stanley"/>
    <x v="1"/>
    <n v="36"/>
    <x v="2"/>
    <n v="0"/>
    <n v="0"/>
    <n v="229236"/>
    <n v="13"/>
    <x v="1"/>
    <s v="Unknown"/>
    <s v="Unknown"/>
    <s v="Southampton"/>
    <s v="Not Applicable"/>
    <n v="236"/>
    <s v="Found"/>
    <s v="Rochester, NY"/>
  </r>
  <r>
    <x v="1"/>
    <x v="1"/>
    <s v="Mr. Frost Anthony"/>
    <x v="1"/>
    <n v="28"/>
    <x v="0"/>
    <n v="0"/>
    <n v="0"/>
    <n v="239854"/>
    <n v="0"/>
    <x v="2"/>
    <s v="Unknown"/>
    <s v="Unknown"/>
    <s v="Southampton"/>
    <s v="Not Applicable"/>
    <s v="Not Found"/>
    <s v="Not Found"/>
    <s v="Belfast"/>
  </r>
  <r>
    <x v="1"/>
    <x v="1"/>
    <s v="Miss. Funk Annie"/>
    <x v="0"/>
    <n v="38"/>
    <x v="2"/>
    <n v="0"/>
    <n v="0"/>
    <n v="237671"/>
    <n v="13"/>
    <x v="1"/>
    <s v="Unknown"/>
    <s v="Unknown"/>
    <s v="Southampton"/>
    <s v="Not Applicable"/>
    <s v="Not Found"/>
    <s v="Not Found"/>
    <s v="Janjgir, India / Pennsylvania"/>
  </r>
  <r>
    <x v="1"/>
    <x v="1"/>
    <s v="Mr. Fynney Joseph"/>
    <x v="1"/>
    <n v="35"/>
    <x v="2"/>
    <n v="0"/>
    <n v="0"/>
    <n v="239865"/>
    <n v="26"/>
    <x v="1"/>
    <s v="Unknown"/>
    <s v="Unknown"/>
    <s v="Southampton"/>
    <s v="Not Applicable"/>
    <n v="322"/>
    <s v="Found"/>
    <s v="Liverpool / Montreal, PQ"/>
  </r>
  <r>
    <x v="1"/>
    <x v="1"/>
    <s v="Mr. Gale Harry"/>
    <x v="1"/>
    <n v="38"/>
    <x v="2"/>
    <n v="0"/>
    <n v="1"/>
    <n v="28664"/>
    <n v="21"/>
    <x v="1"/>
    <s v="Unknown"/>
    <s v="Unknown"/>
    <s v="Southampton"/>
    <s v="Not Applicable"/>
    <s v="Not Found"/>
    <s v="Not Found"/>
    <s v="Cornwall / Clear Creek, CO"/>
  </r>
  <r>
    <x v="1"/>
    <x v="1"/>
    <s v="Mr. Gale Shadrach"/>
    <x v="1"/>
    <n v="34"/>
    <x v="2"/>
    <n v="0"/>
    <n v="1"/>
    <n v="28664"/>
    <n v="21"/>
    <x v="1"/>
    <s v="Unknown"/>
    <s v="Unknown"/>
    <s v="Southampton"/>
    <s v="Not Applicable"/>
    <s v="Not Found"/>
    <s v="Not Found"/>
    <s v="Cornwall / Clear Creek, CO"/>
  </r>
  <r>
    <x v="1"/>
    <x v="0"/>
    <s v="Miss. Garside Ethel"/>
    <x v="0"/>
    <n v="34"/>
    <x v="2"/>
    <n v="0"/>
    <n v="0"/>
    <n v="243880"/>
    <n v="13"/>
    <x v="1"/>
    <s v="Unknown"/>
    <s v="Unknown"/>
    <s v="Southampton"/>
    <n v="12"/>
    <s v="Not Found"/>
    <s v="Not Found"/>
    <s v="Brooklyn, NY"/>
  </r>
  <r>
    <x v="1"/>
    <x v="1"/>
    <s v="Mr. Gaskell Alfred"/>
    <x v="1"/>
    <n v="16"/>
    <x v="4"/>
    <n v="0"/>
    <n v="0"/>
    <n v="239865"/>
    <n v="26"/>
    <x v="1"/>
    <s v="Unknown"/>
    <s v="Unknown"/>
    <s v="Southampton"/>
    <s v="Not Applicable"/>
    <s v="Not Found"/>
    <s v="Not Found"/>
    <s v="Liverpool / Montreal, PQ"/>
  </r>
  <r>
    <x v="1"/>
    <x v="1"/>
    <s v="Mr. Gavey Lawrence"/>
    <x v="1"/>
    <n v="26"/>
    <x v="0"/>
    <n v="0"/>
    <n v="0"/>
    <n v="31028"/>
    <n v="10.5"/>
    <x v="1"/>
    <s v="Unknown"/>
    <s v="Unknown"/>
    <s v="Southampton"/>
    <s v="Not Applicable"/>
    <s v="Not Found"/>
    <s v="Not Found"/>
    <s v="Guernsey / Elizabeth, NJ"/>
  </r>
  <r>
    <x v="1"/>
    <x v="1"/>
    <s v="Mr. Gilbert William"/>
    <x v="1"/>
    <n v="47"/>
    <x v="2"/>
    <n v="0"/>
    <n v="0"/>
    <s v="C.A. 30769"/>
    <n v="10.5"/>
    <x v="1"/>
    <s v="Unknown"/>
    <s v="Unknown"/>
    <s v="Southampton"/>
    <s v="Not Applicable"/>
    <s v="Not Found"/>
    <s v="Not Found"/>
    <s v="Cornwall"/>
  </r>
  <r>
    <x v="1"/>
    <x v="1"/>
    <s v="Mr. Giles Edgar"/>
    <x v="1"/>
    <n v="21"/>
    <x v="0"/>
    <n v="0"/>
    <n v="1"/>
    <n v="28133"/>
    <n v="11.5"/>
    <x v="1"/>
    <s v="Unknown"/>
    <s v="Unknown"/>
    <s v="Southampton"/>
    <s v="Not Applicable"/>
    <s v="Not Found"/>
    <s v="Not Found"/>
    <s v="Cornwall / Camden, NJ"/>
  </r>
  <r>
    <x v="1"/>
    <x v="1"/>
    <s v="Mr. Giles Frederick"/>
    <x v="1"/>
    <n v="21"/>
    <x v="0"/>
    <n v="0"/>
    <n v="1"/>
    <n v="28134"/>
    <n v="11.5"/>
    <x v="1"/>
    <s v="Unknown"/>
    <s v="Unknown"/>
    <s v="Southampton"/>
    <s v="Not Applicable"/>
    <s v="Not Found"/>
    <s v="Not Found"/>
    <s v="Cornwall / Camden, NJ"/>
  </r>
  <r>
    <x v="1"/>
    <x v="1"/>
    <s v="Mr. Giles Ralph"/>
    <x v="1"/>
    <n v="24"/>
    <x v="0"/>
    <n v="0"/>
    <n v="0"/>
    <n v="248726"/>
    <n v="13.5"/>
    <x v="1"/>
    <s v="Unknown"/>
    <s v="Unknown"/>
    <s v="Southampton"/>
    <s v="Not Applicable"/>
    <n v="297"/>
    <s v="Found"/>
    <s v="West Kensington, London"/>
  </r>
  <r>
    <x v="1"/>
    <x v="1"/>
    <s v="Mr. Gill John"/>
    <x v="1"/>
    <n v="24"/>
    <x v="0"/>
    <n v="0"/>
    <n v="0"/>
    <n v="233866"/>
    <n v="13"/>
    <x v="1"/>
    <s v="Unknown"/>
    <s v="Unknown"/>
    <s v="Southampton"/>
    <s v="Not Applicable"/>
    <n v="155"/>
    <s v="Found"/>
    <s v="Clevedon, England"/>
  </r>
  <r>
    <x v="1"/>
    <x v="1"/>
    <s v="Mr. Gillespie William"/>
    <x v="1"/>
    <n v="34"/>
    <x v="2"/>
    <n v="0"/>
    <n v="0"/>
    <n v="12233"/>
    <n v="13"/>
    <x v="1"/>
    <s v="Unknown"/>
    <s v="Unknown"/>
    <s v="Southampton"/>
    <s v="Not Applicable"/>
    <s v="Not Found"/>
    <s v="Not Found"/>
    <s v="Vancouver, BC"/>
  </r>
  <r>
    <x v="1"/>
    <x v="1"/>
    <s v="Mr. Givard Hans"/>
    <x v="1"/>
    <n v="30"/>
    <x v="2"/>
    <n v="0"/>
    <n v="0"/>
    <n v="250646"/>
    <n v="13"/>
    <x v="1"/>
    <s v="Unknown"/>
    <s v="Unknown"/>
    <s v="Southampton"/>
    <s v="Not Applicable"/>
    <n v="305"/>
    <s v="Found"/>
    <m/>
  </r>
  <r>
    <x v="1"/>
    <x v="1"/>
    <s v="Mr. Greenberg Samuel"/>
    <x v="1"/>
    <n v="52"/>
    <x v="2"/>
    <n v="0"/>
    <n v="0"/>
    <n v="250647"/>
    <n v="13"/>
    <x v="1"/>
    <s v="Unknown"/>
    <s v="Unknown"/>
    <s v="Southampton"/>
    <s v="Not Applicable"/>
    <n v="19"/>
    <s v="Found"/>
    <s v="Bronx, NY"/>
  </r>
  <r>
    <x v="1"/>
    <x v="1"/>
    <s v="Mr. Hale Reginald"/>
    <x v="1"/>
    <n v="30"/>
    <x v="2"/>
    <n v="0"/>
    <n v="0"/>
    <n v="250653"/>
    <n v="13"/>
    <x v="1"/>
    <s v="Unknown"/>
    <s v="Unknown"/>
    <s v="Southampton"/>
    <s v="Not Applicable"/>
    <n v="75"/>
    <s v="Found"/>
    <s v="Auburn, NY"/>
  </r>
  <r>
    <x v="1"/>
    <x v="0"/>
    <s v="Master. Hamalainen Viljo"/>
    <x v="1"/>
    <n v="1"/>
    <x v="1"/>
    <n v="1"/>
    <n v="1"/>
    <n v="250649"/>
    <n v="14.5"/>
    <x v="1"/>
    <s v="Unknown"/>
    <s v="Unknown"/>
    <s v="Southampton"/>
    <n v="4"/>
    <s v="Not Found"/>
    <s v="Not Found"/>
    <s v="Detroit, MI"/>
  </r>
  <r>
    <x v="1"/>
    <x v="0"/>
    <s v="Mrs. Hamalainen William"/>
    <x v="0"/>
    <n v="24"/>
    <x v="0"/>
    <n v="2"/>
    <n v="0"/>
    <n v="250649"/>
    <n v="14.5"/>
    <x v="1"/>
    <s v="Unknown"/>
    <s v="Unknown"/>
    <s v="Southampton"/>
    <n v="4"/>
    <s v="Not Found"/>
    <s v="Not Found"/>
    <s v="Detroit, MI"/>
  </r>
  <r>
    <x v="1"/>
    <x v="1"/>
    <s v="Mr. Harbeck William"/>
    <x v="1"/>
    <n v="44"/>
    <x v="2"/>
    <n v="0"/>
    <n v="0"/>
    <n v="248746"/>
    <n v="13"/>
    <x v="1"/>
    <s v="Unknown"/>
    <s v="Unknown"/>
    <s v="Southampton"/>
    <s v="Not Applicable"/>
    <n v="35"/>
    <s v="Found"/>
    <s v="Seattle, WA / Toledo, OH"/>
  </r>
  <r>
    <x v="1"/>
    <x v="0"/>
    <s v="Miss. Harper Annie"/>
    <x v="0"/>
    <n v="6"/>
    <x v="1"/>
    <n v="1"/>
    <n v="0"/>
    <n v="248727"/>
    <n v="33"/>
    <x v="1"/>
    <s v="Unknown"/>
    <s v="Unknown"/>
    <s v="Southampton"/>
    <n v="11"/>
    <s v="Not Found"/>
    <s v="Not Found"/>
    <s v="Denmark Hill, Surrey / Chicago"/>
  </r>
  <r>
    <x v="1"/>
    <x v="1"/>
    <s v="Rev. Harper John"/>
    <x v="1"/>
    <n v="28"/>
    <x v="0"/>
    <n v="1"/>
    <n v="0"/>
    <n v="248727"/>
    <n v="33"/>
    <x v="1"/>
    <s v="Unknown"/>
    <s v="Unknown"/>
    <s v="Southampton"/>
    <s v="Not Applicable"/>
    <s v="Not Found"/>
    <s v="Not Found"/>
    <s v="Denmark Hill, Surrey / Chicago"/>
  </r>
  <r>
    <x v="1"/>
    <x v="0"/>
    <s v="Mr. Harris George"/>
    <x v="1"/>
    <n v="62"/>
    <x v="3"/>
    <n v="0"/>
    <n v="0"/>
    <s v="S.W./PP 752"/>
    <n v="10.5"/>
    <x v="1"/>
    <s v="Unknown"/>
    <s v="Unknown"/>
    <s v="Southampton"/>
    <n v="15"/>
    <s v="Not Found"/>
    <s v="Not Found"/>
    <s v="London"/>
  </r>
  <r>
    <x v="1"/>
    <x v="1"/>
    <s v="Mr. Harris Walter"/>
    <x v="1"/>
    <n v="30"/>
    <x v="2"/>
    <n v="0"/>
    <n v="0"/>
    <s v="W/C 14208"/>
    <n v="10.5"/>
    <x v="1"/>
    <s v="Unknown"/>
    <s v="Unknown"/>
    <s v="Southampton"/>
    <s v="Not Applicable"/>
    <s v="Not Found"/>
    <s v="Not Found"/>
    <s v="Walthamstow, England"/>
  </r>
  <r>
    <x v="1"/>
    <x v="0"/>
    <s v="Miss. Hart Eva"/>
    <x v="0"/>
    <n v="7"/>
    <x v="1"/>
    <n v="2"/>
    <n v="0"/>
    <s v="F.C.C. 13529"/>
    <n v="26.25"/>
    <x v="1"/>
    <s v="Unknown"/>
    <s v="Unknown"/>
    <s v="Southampton"/>
    <n v="14"/>
    <s v="Not Found"/>
    <s v="Not Found"/>
    <s v="Ilford, Essex / Winnipeg, MB"/>
  </r>
  <r>
    <x v="1"/>
    <x v="1"/>
    <s v="Mr. Hart Benjamin"/>
    <x v="1"/>
    <n v="43"/>
    <x v="2"/>
    <n v="1"/>
    <n v="1"/>
    <s v="F.C.C. 13529"/>
    <n v="26.25"/>
    <x v="1"/>
    <s v="Unknown"/>
    <s v="Unknown"/>
    <s v="Southampton"/>
    <s v="Not Applicable"/>
    <s v="Not Found"/>
    <s v="Not Found"/>
    <s v="Ilford, Essex / Winnipeg, MB"/>
  </r>
  <r>
    <x v="1"/>
    <x v="0"/>
    <s v="Mrs. Hart Benjamin"/>
    <x v="0"/>
    <n v="45"/>
    <x v="2"/>
    <n v="1"/>
    <n v="1"/>
    <s v="F.C.C. 13529"/>
    <n v="26.25"/>
    <x v="1"/>
    <s v="Unknown"/>
    <s v="Unknown"/>
    <s v="Southampton"/>
    <n v="14"/>
    <s v="Not Found"/>
    <s v="Not Found"/>
    <s v="Ilford, Essex / Winnipeg, MB"/>
  </r>
  <r>
    <x v="1"/>
    <x v="0"/>
    <s v="Miss. Herman Alice"/>
    <x v="0"/>
    <n v="24"/>
    <x v="0"/>
    <n v="2"/>
    <n v="1"/>
    <n v="220845"/>
    <n v="65"/>
    <x v="0"/>
    <s v="Unknown"/>
    <s v="Unknown"/>
    <s v="Southampton"/>
    <n v="9"/>
    <s v="Not Found"/>
    <s v="Not Found"/>
    <s v="Somerset / Bernardsville, NJ"/>
  </r>
  <r>
    <x v="1"/>
    <x v="0"/>
    <s v="Miss. Herman Kate"/>
    <x v="0"/>
    <n v="24"/>
    <x v="0"/>
    <n v="2"/>
    <n v="1"/>
    <n v="220845"/>
    <n v="65"/>
    <x v="0"/>
    <s v="Unknown"/>
    <s v="Unknown"/>
    <s v="Southampton"/>
    <n v="9"/>
    <s v="Not Found"/>
    <s v="Not Found"/>
    <s v="Somerset / Bernardsville, NJ"/>
  </r>
  <r>
    <x v="1"/>
    <x v="1"/>
    <s v="Mr. Herman Samuel"/>
    <x v="1"/>
    <n v="49"/>
    <x v="2"/>
    <n v="2"/>
    <n v="1"/>
    <n v="220845"/>
    <n v="65"/>
    <x v="0"/>
    <s v="Unknown"/>
    <s v="Unknown"/>
    <s v="Southampton"/>
    <s v="Not Applicable"/>
    <s v="Not Found"/>
    <s v="Not Found"/>
    <s v="Somerset / Bernardsville, NJ"/>
  </r>
  <r>
    <x v="1"/>
    <x v="0"/>
    <s v="Mrs. Herman Samuel"/>
    <x v="0"/>
    <n v="48"/>
    <x v="2"/>
    <n v="2"/>
    <n v="1"/>
    <n v="220845"/>
    <n v="65"/>
    <x v="0"/>
    <s v="Unknown"/>
    <s v="Unknown"/>
    <s v="Southampton"/>
    <n v="9"/>
    <s v="Not Found"/>
    <s v="Not Found"/>
    <s v="Somerset / Bernardsville, NJ"/>
  </r>
  <r>
    <x v="1"/>
    <x v="0"/>
    <s v="Mrs. Hewlett (Mary"/>
    <x v="0"/>
    <n v="55"/>
    <x v="2"/>
    <n v="0"/>
    <n v="0"/>
    <n v="248706"/>
    <n v="16"/>
    <x v="1"/>
    <s v="Unknown"/>
    <s v="Unknown"/>
    <s v="Southampton"/>
    <n v="13"/>
    <s v="Not Found"/>
    <s v="Not Found"/>
    <s v="India / Rapid City, SD"/>
  </r>
  <r>
    <x v="1"/>
    <x v="1"/>
    <s v="Mr. Hickman Leonard"/>
    <x v="1"/>
    <n v="24"/>
    <x v="0"/>
    <n v="0"/>
    <n v="2"/>
    <s v="S.O.C. 14879"/>
    <n v="73.5"/>
    <x v="0"/>
    <s v="Unknown"/>
    <s v="Unknown"/>
    <s v="Southampton"/>
    <s v="Not Applicable"/>
    <s v="Not Found"/>
    <s v="Not Found"/>
    <s v="West Hampstead, London / Neepawa, MB"/>
  </r>
  <r>
    <x v="1"/>
    <x v="1"/>
    <s v="Mr. Hickman Lewis"/>
    <x v="1"/>
    <n v="32"/>
    <x v="2"/>
    <n v="0"/>
    <n v="2"/>
    <s v="S.O.C. 14879"/>
    <n v="73.5"/>
    <x v="0"/>
    <s v="Unknown"/>
    <s v="Unknown"/>
    <s v="Southampton"/>
    <s v="Not Applicable"/>
    <n v="256"/>
    <s v="Found"/>
    <s v="West Hampstead, London / Neepawa, MB"/>
  </r>
  <r>
    <x v="1"/>
    <x v="1"/>
    <s v="Mr. Hickman Stanley"/>
    <x v="1"/>
    <n v="21"/>
    <x v="0"/>
    <n v="0"/>
    <n v="2"/>
    <s v="S.O.C. 14879"/>
    <n v="73.5"/>
    <x v="0"/>
    <s v="Unknown"/>
    <s v="Unknown"/>
    <s v="Southampton"/>
    <s v="Not Applicable"/>
    <s v="Not Found"/>
    <s v="Not Found"/>
    <s v="West Hampstead, London / Neepawa, MB"/>
  </r>
  <r>
    <x v="1"/>
    <x v="1"/>
    <s v="Miss. Hiltunen Marta"/>
    <x v="0"/>
    <n v="18"/>
    <x v="0"/>
    <n v="1"/>
    <n v="1"/>
    <n v="250650"/>
    <n v="13"/>
    <x v="1"/>
    <s v="Unknown"/>
    <s v="Unknown"/>
    <s v="Southampton"/>
    <s v="Not Applicable"/>
    <s v="Not Found"/>
    <s v="Not Found"/>
    <s v="Kontiolahti, Finland / Detroit, MI"/>
  </r>
  <r>
    <x v="1"/>
    <x v="0"/>
    <s v="Miss. Hocking Ellen"/>
    <x v="0"/>
    <n v="20"/>
    <x v="0"/>
    <n v="1"/>
    <n v="2"/>
    <n v="29105"/>
    <n v="23"/>
    <x v="1"/>
    <s v="Unknown"/>
    <s v="Unknown"/>
    <s v="Southampton"/>
    <n v="4"/>
    <s v="Not Found"/>
    <s v="Not Found"/>
    <s v="Cornwall / Akron, OH"/>
  </r>
  <r>
    <x v="1"/>
    <x v="1"/>
    <s v="Mr. Hocking Richard"/>
    <x v="1"/>
    <n v="23"/>
    <x v="0"/>
    <n v="1"/>
    <n v="2"/>
    <n v="29104"/>
    <n v="11.5"/>
    <x v="1"/>
    <s v="Unknown"/>
    <s v="Unknown"/>
    <s v="Southampton"/>
    <s v="Not Applicable"/>
    <s v="Not Found"/>
    <s v="Not Found"/>
    <s v="Cornwall / Akron, OH"/>
  </r>
  <r>
    <x v="1"/>
    <x v="1"/>
    <s v="Mr. Hocking Samuel"/>
    <x v="1"/>
    <n v="36"/>
    <x v="2"/>
    <n v="0"/>
    <n v="0"/>
    <n v="242963"/>
    <n v="13"/>
    <x v="1"/>
    <s v="Unknown"/>
    <s v="Unknown"/>
    <s v="Southampton"/>
    <s v="Not Applicable"/>
    <s v="Not Found"/>
    <s v="Not Found"/>
    <s v="Devonport, England"/>
  </r>
  <r>
    <x v="1"/>
    <x v="0"/>
    <s v="Mrs. Hocking Elizabeth"/>
    <x v="0"/>
    <n v="54"/>
    <x v="2"/>
    <n v="3"/>
    <n v="1"/>
    <n v="29105"/>
    <n v="23"/>
    <x v="1"/>
    <s v="Unknown"/>
    <s v="Unknown"/>
    <s v="Southampton"/>
    <n v="4"/>
    <s v="Not Found"/>
    <s v="Not Found"/>
    <s v="Cornwall / Akron, OH"/>
  </r>
  <r>
    <x v="1"/>
    <x v="1"/>
    <s v="Mr. Hodges Henry"/>
    <x v="1"/>
    <n v="50"/>
    <x v="2"/>
    <n v="0"/>
    <n v="0"/>
    <n v="250643"/>
    <n v="13"/>
    <x v="1"/>
    <s v="Unknown"/>
    <s v="Unknown"/>
    <s v="Southampton"/>
    <s v="Not Applicable"/>
    <n v="149"/>
    <s v="Found"/>
    <s v="Southampton"/>
  </r>
  <r>
    <x v="1"/>
    <x v="1"/>
    <s v="Mr. Hold Stephen"/>
    <x v="1"/>
    <n v="44"/>
    <x v="2"/>
    <n v="0"/>
    <n v="1"/>
    <n v="26707"/>
    <n v="26"/>
    <x v="1"/>
    <s v="Unknown"/>
    <s v="Unknown"/>
    <s v="Southampton"/>
    <s v="Not Applicable"/>
    <s v="Not Found"/>
    <s v="Not Found"/>
    <s v="England / Sacramento, CA"/>
  </r>
  <r>
    <x v="1"/>
    <x v="0"/>
    <s v="Mrs. Hold Stephen"/>
    <x v="0"/>
    <n v="29"/>
    <x v="0"/>
    <n v="0"/>
    <n v="1"/>
    <n v="26707"/>
    <n v="26"/>
    <x v="1"/>
    <s v="Unknown"/>
    <s v="Unknown"/>
    <s v="Southampton"/>
    <n v="10"/>
    <s v="Not Found"/>
    <s v="Not Found"/>
    <s v="England / Sacramento, CA"/>
  </r>
  <r>
    <x v="1"/>
    <x v="1"/>
    <s v="Mr. Hood Ambrose"/>
    <x v="1"/>
    <n v="21"/>
    <x v="0"/>
    <n v="0"/>
    <n v="0"/>
    <s v="S.O.C. 14879"/>
    <n v="73.5"/>
    <x v="0"/>
    <s v="Unknown"/>
    <s v="Unknown"/>
    <s v="Southampton"/>
    <s v="Not Applicable"/>
    <s v="Not Found"/>
    <s v="Not Found"/>
    <s v="New Forest, England"/>
  </r>
  <r>
    <x v="1"/>
    <x v="0"/>
    <s v="Mr. Hosono Masabumi"/>
    <x v="1"/>
    <n v="42"/>
    <x v="2"/>
    <n v="0"/>
    <n v="0"/>
    <n v="237798"/>
    <n v="13"/>
    <x v="1"/>
    <s v="Unknown"/>
    <s v="Unknown"/>
    <s v="Southampton"/>
    <n v="10"/>
    <s v="Not Found"/>
    <s v="Not Found"/>
    <s v="Tokyo, Japan"/>
  </r>
  <r>
    <x v="1"/>
    <x v="1"/>
    <s v="Mr. Howard Benjamin"/>
    <x v="1"/>
    <n v="63"/>
    <x v="3"/>
    <n v="0"/>
    <n v="1"/>
    <n v="24065"/>
    <n v="26"/>
    <x v="1"/>
    <s v="Unknown"/>
    <s v="Unknown"/>
    <s v="Southampton"/>
    <s v="Not Applicable"/>
    <s v="Not Found"/>
    <s v="Not Found"/>
    <s v="Swindon, England"/>
  </r>
  <r>
    <x v="1"/>
    <x v="1"/>
    <s v="Mrs. Howard Benjamin"/>
    <x v="0"/>
    <n v="60"/>
    <x v="3"/>
    <n v="0"/>
    <n v="1"/>
    <n v="24065"/>
    <n v="26"/>
    <x v="1"/>
    <s v="Unknown"/>
    <s v="Unknown"/>
    <s v="Southampton"/>
    <s v="Not Applicable"/>
    <s v="Not Found"/>
    <s v="Not Found"/>
    <s v="Swindon, England"/>
  </r>
  <r>
    <x v="1"/>
    <x v="1"/>
    <s v="Mr. Hunt George"/>
    <x v="1"/>
    <n v="33"/>
    <x v="2"/>
    <n v="0"/>
    <n v="0"/>
    <s v="SCO/W 1585"/>
    <n v="12.275"/>
    <x v="1"/>
    <s v="Unknown"/>
    <s v="Unknown"/>
    <s v="Southampton"/>
    <s v="Not Applicable"/>
    <s v="Not Found"/>
    <s v="Not Found"/>
    <s v="Philadelphia, PA"/>
  </r>
  <r>
    <x v="1"/>
    <x v="0"/>
    <s v="Miss. Ilett Bertha"/>
    <x v="0"/>
    <n v="17"/>
    <x v="4"/>
    <n v="0"/>
    <n v="0"/>
    <s v="SO/C 14885"/>
    <n v="10.5"/>
    <x v="1"/>
    <s v="Unknown"/>
    <s v="Unknown"/>
    <s v="Southampton"/>
    <s v="Not Applicable"/>
    <s v="Not Found"/>
    <s v="Not Found"/>
    <s v="Guernsey"/>
  </r>
  <r>
    <x v="1"/>
    <x v="1"/>
    <s v="Mr. Jacobsohn Sidney"/>
    <x v="1"/>
    <n v="42"/>
    <x v="2"/>
    <n v="0"/>
    <n v="1"/>
    <n v="243847"/>
    <n v="27"/>
    <x v="1"/>
    <s v="Unknown"/>
    <s v="Unknown"/>
    <s v="Southampton"/>
    <s v="Not Applicable"/>
    <s v="Not Found"/>
    <s v="Not Found"/>
    <s v="London"/>
  </r>
  <r>
    <x v="1"/>
    <x v="0"/>
    <s v="Mrs. Jacobsohn Sidney"/>
    <x v="0"/>
    <n v="24"/>
    <x v="0"/>
    <n v="1"/>
    <n v="2"/>
    <n v="243847"/>
    <n v="27"/>
    <x v="1"/>
    <s v="Unknown"/>
    <s v="Unknown"/>
    <s v="Southampton"/>
    <n v="12"/>
    <s v="Not Found"/>
    <s v="Not Found"/>
    <s v="London"/>
  </r>
  <r>
    <x v="1"/>
    <x v="1"/>
    <s v="Mr. Jarvis John"/>
    <x v="1"/>
    <n v="47"/>
    <x v="2"/>
    <n v="0"/>
    <n v="0"/>
    <n v="237565"/>
    <n v="15"/>
    <x v="1"/>
    <s v="Unknown"/>
    <s v="Unknown"/>
    <s v="Southampton"/>
    <s v="Not Applicable"/>
    <s v="Not Found"/>
    <s v="Not Found"/>
    <s v="North Evington, England"/>
  </r>
  <r>
    <x v="1"/>
    <x v="1"/>
    <s v="Mr. Jefferys Clifford"/>
    <x v="1"/>
    <n v="24"/>
    <x v="0"/>
    <n v="0"/>
    <n v="2"/>
    <s v="C.A. 31029"/>
    <n v="31.5"/>
    <x v="1"/>
    <s v="Unknown"/>
    <s v="Unknown"/>
    <s v="Southampton"/>
    <s v="Not Applicable"/>
    <s v="Not Found"/>
    <s v="Not Found"/>
    <s v="Guernsey / Elizabeth, NJ"/>
  </r>
  <r>
    <x v="1"/>
    <x v="1"/>
    <s v="Mr. Jefferys Ernest"/>
    <x v="1"/>
    <n v="22"/>
    <x v="0"/>
    <n v="0"/>
    <n v="2"/>
    <s v="C.A. 31029"/>
    <n v="31.5"/>
    <x v="1"/>
    <s v="Unknown"/>
    <s v="Unknown"/>
    <s v="Southampton"/>
    <s v="Not Applicable"/>
    <s v="Not Found"/>
    <s v="Not Found"/>
    <s v="Guernsey / Elizabeth, NJ"/>
  </r>
  <r>
    <x v="1"/>
    <x v="1"/>
    <s v="Mr. Jenkin Stephen"/>
    <x v="1"/>
    <n v="32"/>
    <x v="2"/>
    <n v="0"/>
    <n v="0"/>
    <s v="C.A. 33111"/>
    <n v="10.5"/>
    <x v="1"/>
    <s v="Unknown"/>
    <s v="Unknown"/>
    <s v="Southampton"/>
    <s v="Not Applicable"/>
    <s v="Not Found"/>
    <s v="Not Found"/>
    <s v="St Ives, Cornwall / Houghton, MI"/>
  </r>
  <r>
    <x v="1"/>
    <x v="0"/>
    <s v="Mrs. Jerwan Amin"/>
    <x v="0"/>
    <n v="23"/>
    <x v="0"/>
    <n v="0"/>
    <n v="0"/>
    <s v="SC/AH Basle 541"/>
    <n v="13.791700000000001"/>
    <x v="1"/>
    <s v="D"/>
    <s v="D"/>
    <s v="Cherbourg"/>
    <n v="11"/>
    <s v="Not Found"/>
    <s v="Not Found"/>
    <s v="New York, NY"/>
  </r>
  <r>
    <x v="1"/>
    <x v="1"/>
    <s v="Mr. Kantor Sinai"/>
    <x v="1"/>
    <n v="34"/>
    <x v="2"/>
    <n v="0"/>
    <n v="1"/>
    <n v="244367"/>
    <n v="26"/>
    <x v="1"/>
    <s v="Unknown"/>
    <s v="Unknown"/>
    <s v="Southampton"/>
    <s v="Not Applicable"/>
    <n v="283"/>
    <s v="Found"/>
    <s v="Moscow / Bronx, NY"/>
  </r>
  <r>
    <x v="1"/>
    <x v="0"/>
    <s v="Mrs. Kantor Sinai"/>
    <x v="0"/>
    <n v="24"/>
    <x v="0"/>
    <n v="0"/>
    <n v="1"/>
    <n v="244367"/>
    <n v="26"/>
    <x v="1"/>
    <s v="Unknown"/>
    <s v="Unknown"/>
    <s v="Southampton"/>
    <n v="12"/>
    <s v="Not Found"/>
    <s v="Not Found"/>
    <s v="Moscow / Bronx, NY"/>
  </r>
  <r>
    <x v="1"/>
    <x v="1"/>
    <s v="Mrs. Karnes J"/>
    <x v="0"/>
    <n v="22"/>
    <x v="0"/>
    <n v="0"/>
    <n v="0"/>
    <s v="F.C.C. 13534"/>
    <n v="21"/>
    <x v="1"/>
    <s v="Unknown"/>
    <s v="Unknown"/>
    <s v="Southampton"/>
    <s v="Not Applicable"/>
    <s v="Not Found"/>
    <s v="Not Found"/>
    <s v="India / Pittsburgh, PA"/>
  </r>
  <r>
    <x v="1"/>
    <x v="0"/>
    <s v="Miss. Keane Nora"/>
    <x v="0"/>
    <n v="28"/>
    <x v="0"/>
    <n v="0"/>
    <n v="0"/>
    <n v="226593"/>
    <n v="12.35"/>
    <x v="1"/>
    <s v="E101"/>
    <s v="E"/>
    <s v="Queenstown"/>
    <n v="10"/>
    <s v="Not Found"/>
    <s v="Not Found"/>
    <s v="Harrisburg, PA"/>
  </r>
  <r>
    <x v="1"/>
    <x v="1"/>
    <s v="Mr. Keane Daniel"/>
    <x v="1"/>
    <n v="35"/>
    <x v="2"/>
    <n v="0"/>
    <n v="0"/>
    <n v="233734"/>
    <n v="12.35"/>
    <x v="1"/>
    <s v="Unknown"/>
    <s v="Unknown"/>
    <s v="Queenstown"/>
    <s v="Not Applicable"/>
    <s v="Not Found"/>
    <s v="Not Found"/>
    <m/>
  </r>
  <r>
    <x v="1"/>
    <x v="0"/>
    <s v="Mrs. Kelly Florence"/>
    <x v="0"/>
    <n v="45"/>
    <x v="2"/>
    <n v="0"/>
    <n v="0"/>
    <n v="223596"/>
    <n v="13.5"/>
    <x v="1"/>
    <s v="Unknown"/>
    <s v="Unknown"/>
    <s v="Southampton"/>
    <n v="9"/>
    <s v="Not Found"/>
    <s v="Not Found"/>
    <s v="London / New York, NY"/>
  </r>
  <r>
    <x v="1"/>
    <x v="1"/>
    <s v="Rev. Kirkland Charles"/>
    <x v="1"/>
    <n v="57"/>
    <x v="2"/>
    <n v="0"/>
    <n v="0"/>
    <n v="219533"/>
    <n v="12.35"/>
    <x v="1"/>
    <s v="Unknown"/>
    <s v="Unknown"/>
    <s v="Queenstown"/>
    <s v="Not Applicable"/>
    <s v="Not Found"/>
    <s v="Not Found"/>
    <s v="Glasgow / Bangor, ME"/>
  </r>
  <r>
    <x v="1"/>
    <x v="1"/>
    <s v="Mr. Knight Robert"/>
    <x v="1"/>
    <n v="28"/>
    <x v="0"/>
    <n v="0"/>
    <n v="0"/>
    <n v="239855"/>
    <n v="0"/>
    <x v="2"/>
    <s v="Unknown"/>
    <s v="Unknown"/>
    <s v="Southampton"/>
    <s v="Not Applicable"/>
    <s v="Not Found"/>
    <s v="Not Found"/>
    <s v="Belfast"/>
  </r>
  <r>
    <x v="1"/>
    <x v="1"/>
    <s v="Mr. Kvillner Johan"/>
    <x v="1"/>
    <n v="31"/>
    <x v="2"/>
    <n v="0"/>
    <n v="0"/>
    <s v="C.A. 18723"/>
    <n v="10.5"/>
    <x v="1"/>
    <s v="Unknown"/>
    <s v="Unknown"/>
    <s v="Southampton"/>
    <s v="Not Applicable"/>
    <n v="165"/>
    <s v="Found"/>
    <s v="Sweden / Arlington, NJ"/>
  </r>
  <r>
    <x v="1"/>
    <x v="1"/>
    <s v="Mrs. Lahtinen William"/>
    <x v="0"/>
    <n v="26"/>
    <x v="0"/>
    <n v="1"/>
    <n v="1"/>
    <n v="250651"/>
    <n v="26"/>
    <x v="1"/>
    <s v="Unknown"/>
    <s v="Unknown"/>
    <s v="Southampton"/>
    <s v="Not Applicable"/>
    <s v="Not Found"/>
    <s v="Not Found"/>
    <s v="Minneapolis, MN"/>
  </r>
  <r>
    <x v="1"/>
    <x v="1"/>
    <s v="Rev. Lahtinen William"/>
    <x v="1"/>
    <n v="30"/>
    <x v="2"/>
    <n v="1"/>
    <n v="1"/>
    <n v="250651"/>
    <n v="26"/>
    <x v="1"/>
    <s v="Unknown"/>
    <s v="Unknown"/>
    <s v="Southampton"/>
    <s v="Not Applicable"/>
    <s v="Not Found"/>
    <s v="Not Found"/>
    <s v="Minneapolis, MN"/>
  </r>
  <r>
    <x v="1"/>
    <x v="1"/>
    <s v="Mr. Lamb John"/>
    <x v="1"/>
    <n v="28"/>
    <x v="0"/>
    <n v="0"/>
    <n v="0"/>
    <n v="240261"/>
    <n v="10.708299999999999"/>
    <x v="1"/>
    <s v="Unknown"/>
    <s v="Unknown"/>
    <s v="Queenstown"/>
    <s v="Not Applicable"/>
    <s v="Not Found"/>
    <s v="Not Found"/>
    <m/>
  </r>
  <r>
    <x v="1"/>
    <x v="0"/>
    <s v="Miss. Laroche Louise"/>
    <x v="0"/>
    <n v="1"/>
    <x v="1"/>
    <n v="2"/>
    <n v="1"/>
    <s v="SC/Paris 2123"/>
    <n v="41.5792"/>
    <x v="1"/>
    <s v="Unknown"/>
    <s v="Unknown"/>
    <s v="Cherbourg"/>
    <n v="14"/>
    <s v="Not Found"/>
    <s v="Not Found"/>
    <s v="Paris / Haiti"/>
  </r>
  <r>
    <x v="1"/>
    <x v="0"/>
    <s v="Miss. Laroche Simonne"/>
    <x v="0"/>
    <n v="3"/>
    <x v="1"/>
    <n v="2"/>
    <n v="1"/>
    <s v="SC/Paris 2123"/>
    <n v="41.5792"/>
    <x v="1"/>
    <s v="Unknown"/>
    <s v="Unknown"/>
    <s v="Cherbourg"/>
    <n v="14"/>
    <s v="Not Found"/>
    <s v="Not Found"/>
    <s v="Paris / Haiti"/>
  </r>
  <r>
    <x v="1"/>
    <x v="1"/>
    <s v="Mr. Laroche Joseph"/>
    <x v="1"/>
    <n v="25"/>
    <x v="0"/>
    <n v="2"/>
    <n v="1"/>
    <s v="SC/Paris 2123"/>
    <n v="41.5792"/>
    <x v="1"/>
    <s v="Unknown"/>
    <s v="Unknown"/>
    <s v="Cherbourg"/>
    <s v="Not Applicable"/>
    <s v="Not Found"/>
    <s v="Not Found"/>
    <s v="Paris / Haiti"/>
  </r>
  <r>
    <x v="1"/>
    <x v="0"/>
    <s v="Mrs. Laroche Joseph"/>
    <x v="0"/>
    <n v="22"/>
    <x v="0"/>
    <n v="2"/>
    <n v="1"/>
    <s v="SC/Paris 2123"/>
    <n v="41.5792"/>
    <x v="1"/>
    <s v="Unknown"/>
    <s v="Unknown"/>
    <s v="Cherbourg"/>
    <n v="14"/>
    <s v="Not Found"/>
    <s v="Not Found"/>
    <s v="Paris / Haiti"/>
  </r>
  <r>
    <x v="1"/>
    <x v="0"/>
    <s v="Miss. Lehmann Bertha"/>
    <x v="0"/>
    <n v="17"/>
    <x v="4"/>
    <n v="0"/>
    <n v="0"/>
    <s v="SC 1748"/>
    <n v="12"/>
    <x v="1"/>
    <s v="Unknown"/>
    <s v="Unknown"/>
    <s v="Cherbourg"/>
    <n v="12"/>
    <s v="Not Found"/>
    <s v="Not Found"/>
    <s v="Berne, Switzerland / Central City, IA"/>
  </r>
  <r>
    <x v="1"/>
    <x v="0"/>
    <s v="Miss. Leitch Jessie"/>
    <x v="0"/>
    <n v="28"/>
    <x v="0"/>
    <n v="0"/>
    <n v="0"/>
    <n v="248727"/>
    <n v="33"/>
    <x v="1"/>
    <s v="Unknown"/>
    <s v="Unknown"/>
    <s v="Southampton"/>
    <n v="11"/>
    <s v="Not Found"/>
    <s v="Not Found"/>
    <s v="London / Chicago, IL"/>
  </r>
  <r>
    <x v="1"/>
    <x v="0"/>
    <s v="Mrs. Lemore (Amelia"/>
    <x v="0"/>
    <n v="34"/>
    <x v="2"/>
    <n v="0"/>
    <n v="0"/>
    <s v="C.A. 34260"/>
    <n v="10.5"/>
    <x v="1"/>
    <s v="F33"/>
    <s v="F"/>
    <s v="Southampton"/>
    <n v="14"/>
    <s v="Not Found"/>
    <s v="Not Found"/>
    <s v="Chicago, IL"/>
  </r>
  <r>
    <x v="1"/>
    <x v="1"/>
    <s v="Mr. Levy Rene"/>
    <x v="1"/>
    <n v="36"/>
    <x v="2"/>
    <n v="0"/>
    <n v="0"/>
    <s v="SC/Paris 2163"/>
    <n v="12.875"/>
    <x v="1"/>
    <s v="D"/>
    <s v="D"/>
    <s v="Cherbourg"/>
    <s v="Not Applicable"/>
    <s v="Not Found"/>
    <s v="Not Found"/>
    <s v="Montreal, PQ"/>
  </r>
  <r>
    <x v="1"/>
    <x v="1"/>
    <s v="Mr. Leyson Robert"/>
    <x v="1"/>
    <n v="24"/>
    <x v="0"/>
    <n v="0"/>
    <n v="0"/>
    <s v="C.A. 29566"/>
    <n v="10.5"/>
    <x v="1"/>
    <s v="Unknown"/>
    <s v="Unknown"/>
    <s v="Southampton"/>
    <s v="Not Applicable"/>
    <n v="108"/>
    <s v="Found"/>
    <m/>
  </r>
  <r>
    <x v="1"/>
    <x v="1"/>
    <s v="Mr. Lingane John"/>
    <x v="1"/>
    <n v="61"/>
    <x v="3"/>
    <n v="0"/>
    <n v="0"/>
    <n v="235509"/>
    <n v="12.35"/>
    <x v="1"/>
    <s v="Unknown"/>
    <s v="Unknown"/>
    <s v="Queenstown"/>
    <s v="Not Applicable"/>
    <s v="Not Found"/>
    <s v="Not Found"/>
    <m/>
  </r>
  <r>
    <x v="1"/>
    <x v="1"/>
    <s v="Mr. Louch Charles"/>
    <x v="1"/>
    <n v="50"/>
    <x v="2"/>
    <n v="0"/>
    <n v="1"/>
    <s v="SC/AH 3085"/>
    <n v="26"/>
    <x v="1"/>
    <s v="Unknown"/>
    <s v="Unknown"/>
    <s v="Southampton"/>
    <s v="Not Applicable"/>
    <n v="121"/>
    <s v="Found"/>
    <s v="Weston-Super-Mare, Somerset"/>
  </r>
  <r>
    <x v="1"/>
    <x v="0"/>
    <s v="Mrs. Louch Charles"/>
    <x v="0"/>
    <n v="42"/>
    <x v="2"/>
    <n v="0"/>
    <n v="1"/>
    <s v="SC/AH 3085"/>
    <n v="26"/>
    <x v="1"/>
    <s v="Unknown"/>
    <s v="Unknown"/>
    <s v="Southampton"/>
    <s v="Not Applicable"/>
    <s v="Not Found"/>
    <s v="Not Found"/>
    <s v="Weston-Super-Mare, Somerset"/>
  </r>
  <r>
    <x v="1"/>
    <x v="1"/>
    <s v="Mrs. Mack (Mary)"/>
    <x v="0"/>
    <n v="57"/>
    <x v="2"/>
    <n v="0"/>
    <n v="0"/>
    <s v="S.O./P.P. 3"/>
    <n v="10.5"/>
    <x v="1"/>
    <s v="E77"/>
    <s v="E"/>
    <s v="Southampton"/>
    <s v="Not Applicable"/>
    <n v="52"/>
    <s v="Found"/>
    <s v="Southampton / New York, NY"/>
  </r>
  <r>
    <x v="1"/>
    <x v="1"/>
    <s v="Mr. Malachard Noel"/>
    <x v="1"/>
    <n v="28"/>
    <x v="0"/>
    <n v="0"/>
    <n v="0"/>
    <n v="237735"/>
    <n v="15.0458"/>
    <x v="1"/>
    <s v="D"/>
    <s v="D"/>
    <s v="Cherbourg"/>
    <s v="Not Applicable"/>
    <s v="Not Found"/>
    <s v="Not Found"/>
    <s v="Paris"/>
  </r>
  <r>
    <x v="1"/>
    <x v="0"/>
    <s v="Master. Mallet Andre"/>
    <x v="1"/>
    <n v="1"/>
    <x v="1"/>
    <n v="2"/>
    <n v="0"/>
    <s v="S.C./PARIS 2079"/>
    <n v="37.004199999999997"/>
    <x v="1"/>
    <s v="Unknown"/>
    <s v="Unknown"/>
    <s v="Cherbourg"/>
    <n v="10"/>
    <s v="Not Found"/>
    <s v="Not Found"/>
    <s v="Paris / Montreal, PQ"/>
  </r>
  <r>
    <x v="1"/>
    <x v="1"/>
    <s v="Mr. Mallet Albert"/>
    <x v="1"/>
    <n v="31"/>
    <x v="2"/>
    <n v="1"/>
    <n v="1"/>
    <s v="S.C./PARIS 2079"/>
    <n v="37.004199999999997"/>
    <x v="1"/>
    <s v="Unknown"/>
    <s v="Unknown"/>
    <s v="Cherbourg"/>
    <s v="Not Applicable"/>
    <s v="Not Found"/>
    <s v="Not Found"/>
    <s v="Paris / Montreal, PQ"/>
  </r>
  <r>
    <x v="1"/>
    <x v="0"/>
    <s v="Mrs. Mallet Albert"/>
    <x v="0"/>
    <n v="24"/>
    <x v="0"/>
    <n v="1"/>
    <n v="1"/>
    <s v="S.C./PARIS 2079"/>
    <n v="37.004199999999997"/>
    <x v="1"/>
    <s v="Unknown"/>
    <s v="Unknown"/>
    <s v="Cherbourg"/>
    <n v="10"/>
    <s v="Not Found"/>
    <s v="Not Found"/>
    <s v="Paris / Montreal, PQ"/>
  </r>
  <r>
    <x v="1"/>
    <x v="1"/>
    <s v="Mr. Mangiavacchi Serafino"/>
    <x v="1"/>
    <n v="28"/>
    <x v="0"/>
    <n v="0"/>
    <n v="0"/>
    <s v="SC/A.3 2861"/>
    <n v="15.5792"/>
    <x v="1"/>
    <s v="Unknown"/>
    <s v="Unknown"/>
    <s v="Cherbourg"/>
    <s v="Not Applicable"/>
    <s v="Not Found"/>
    <s v="Not Found"/>
    <s v="New York, NY"/>
  </r>
  <r>
    <x v="1"/>
    <x v="1"/>
    <s v="Mr. Matthews William"/>
    <x v="1"/>
    <n v="30"/>
    <x v="2"/>
    <n v="0"/>
    <n v="0"/>
    <n v="28228"/>
    <n v="13"/>
    <x v="1"/>
    <s v="Unknown"/>
    <s v="Unknown"/>
    <s v="Southampton"/>
    <s v="Not Applicable"/>
    <s v="Not Found"/>
    <s v="Not Found"/>
    <s v="St Austall, Cornwall"/>
  </r>
  <r>
    <x v="1"/>
    <x v="1"/>
    <s v="Mr. Maybery Frank"/>
    <x v="1"/>
    <n v="40"/>
    <x v="2"/>
    <n v="0"/>
    <n v="0"/>
    <n v="239059"/>
    <n v="16"/>
    <x v="1"/>
    <s v="Unknown"/>
    <s v="Unknown"/>
    <s v="Southampton"/>
    <s v="Not Applicable"/>
    <s v="Not Found"/>
    <s v="Not Found"/>
    <s v="Weston-Super-Mare / Moose Jaw, SK"/>
  </r>
  <r>
    <x v="1"/>
    <x v="1"/>
    <s v="Mr. McCrae Arthur"/>
    <x v="1"/>
    <n v="32"/>
    <x v="2"/>
    <n v="0"/>
    <n v="0"/>
    <n v="237216"/>
    <n v="13.5"/>
    <x v="1"/>
    <s v="Unknown"/>
    <s v="Unknown"/>
    <s v="Southampton"/>
    <s v="Not Applicable"/>
    <n v="209"/>
    <s v="Found"/>
    <s v="Sydney, Australia"/>
  </r>
  <r>
    <x v="1"/>
    <x v="1"/>
    <s v="Mr. McCrie James"/>
    <x v="1"/>
    <n v="30"/>
    <x v="2"/>
    <n v="0"/>
    <n v="0"/>
    <n v="233478"/>
    <n v="13"/>
    <x v="1"/>
    <s v="Unknown"/>
    <s v="Unknown"/>
    <s v="Southampton"/>
    <s v="Not Applicable"/>
    <s v="Not Found"/>
    <s v="Not Found"/>
    <s v="Sarnia, ON"/>
  </r>
  <r>
    <x v="1"/>
    <x v="1"/>
    <s v="Mr. McKane Peter"/>
    <x v="1"/>
    <n v="46"/>
    <x v="2"/>
    <n v="0"/>
    <n v="0"/>
    <n v="28403"/>
    <n v="26"/>
    <x v="1"/>
    <s v="Unknown"/>
    <s v="Unknown"/>
    <s v="Southampton"/>
    <s v="Not Applicable"/>
    <s v="Not Found"/>
    <s v="Not Found"/>
    <s v="Rochester, NY"/>
  </r>
  <r>
    <x v="1"/>
    <x v="0"/>
    <s v="Miss. Mellinger Madeleine"/>
    <x v="0"/>
    <n v="13"/>
    <x v="4"/>
    <n v="1"/>
    <n v="0"/>
    <n v="250644"/>
    <n v="19.5"/>
    <x v="1"/>
    <s v="Unknown"/>
    <s v="Unknown"/>
    <s v="Southampton"/>
    <n v="14"/>
    <s v="Not Found"/>
    <s v="Not Found"/>
    <s v="England / Bennington, VT"/>
  </r>
  <r>
    <x v="1"/>
    <x v="0"/>
    <s v="Mrs. Mellinger (Elizabeth"/>
    <x v="0"/>
    <n v="41"/>
    <x v="2"/>
    <n v="1"/>
    <n v="0"/>
    <n v="250644"/>
    <n v="19.5"/>
    <x v="1"/>
    <s v="Unknown"/>
    <s v="Unknown"/>
    <s v="Southampton"/>
    <n v="14"/>
    <s v="Not Found"/>
    <s v="Not Found"/>
    <s v="England / Bennington, VT"/>
  </r>
  <r>
    <x v="1"/>
    <x v="0"/>
    <s v="Mr. Mellors William"/>
    <x v="1"/>
    <n v="19"/>
    <x v="0"/>
    <n v="0"/>
    <n v="0"/>
    <s v="SW/PP 751"/>
    <n v="10.5"/>
    <x v="1"/>
    <s v="Unknown"/>
    <s v="Unknown"/>
    <s v="Southampton"/>
    <s v="B"/>
    <s v="Not Found"/>
    <s v="Not Found"/>
    <s v="Chelsea, London"/>
  </r>
  <r>
    <x v="1"/>
    <x v="1"/>
    <s v="Mr. Meyer August"/>
    <x v="1"/>
    <n v="39"/>
    <x v="2"/>
    <n v="0"/>
    <n v="0"/>
    <n v="248723"/>
    <n v="13"/>
    <x v="1"/>
    <s v="Unknown"/>
    <s v="Unknown"/>
    <s v="Southampton"/>
    <s v="Not Applicable"/>
    <s v="Not Found"/>
    <s v="Not Found"/>
    <s v="Harrow-on-the-Hill, Middlesex"/>
  </r>
  <r>
    <x v="1"/>
    <x v="1"/>
    <s v="Mr. Milling Jacob"/>
    <x v="1"/>
    <n v="48"/>
    <x v="2"/>
    <n v="0"/>
    <n v="0"/>
    <n v="234360"/>
    <n v="13"/>
    <x v="1"/>
    <s v="Unknown"/>
    <s v="Unknown"/>
    <s v="Southampton"/>
    <s v="Not Applicable"/>
    <n v="271"/>
    <s v="Found"/>
    <s v="Copenhagen, Denmark"/>
  </r>
  <r>
    <x v="1"/>
    <x v="1"/>
    <s v="Mr. Mitchell Henry"/>
    <x v="1"/>
    <n v="70"/>
    <x v="3"/>
    <n v="0"/>
    <n v="0"/>
    <s v="C.A. 24580"/>
    <n v="10.5"/>
    <x v="1"/>
    <s v="Unknown"/>
    <s v="Unknown"/>
    <s v="Southampton"/>
    <s v="Not Applicable"/>
    <s v="Not Found"/>
    <s v="Not Found"/>
    <s v="Guernsey / Montclair, NJ and/or Toledo, Ohio"/>
  </r>
  <r>
    <x v="1"/>
    <x v="1"/>
    <s v="Rev. Montvila Juozas"/>
    <x v="1"/>
    <n v="27"/>
    <x v="0"/>
    <n v="0"/>
    <n v="0"/>
    <n v="211536"/>
    <n v="13"/>
    <x v="1"/>
    <s v="Unknown"/>
    <s v="Unknown"/>
    <s v="Southampton"/>
    <s v="Not Applicable"/>
    <s v="Not Found"/>
    <s v="Not Found"/>
    <s v="Worcester, MA"/>
  </r>
  <r>
    <x v="1"/>
    <x v="1"/>
    <s v="Dr. Moraweck Ernest"/>
    <x v="1"/>
    <n v="54"/>
    <x v="2"/>
    <n v="0"/>
    <n v="0"/>
    <n v="29011"/>
    <n v="14"/>
    <x v="1"/>
    <s v="Unknown"/>
    <s v="Unknown"/>
    <s v="Southampton"/>
    <s v="Not Applicable"/>
    <s v="Not Found"/>
    <s v="Not Found"/>
    <s v="Frankfort, KY"/>
  </r>
  <r>
    <x v="1"/>
    <x v="1"/>
    <s v="Mr. Morley Henry"/>
    <x v="1"/>
    <n v="39"/>
    <x v="2"/>
    <n v="0"/>
    <n v="0"/>
    <n v="250655"/>
    <n v="26"/>
    <x v="1"/>
    <s v="Unknown"/>
    <s v="Unknown"/>
    <s v="Southampton"/>
    <s v="Not Applicable"/>
    <s v="Not Found"/>
    <s v="Not Found"/>
    <m/>
  </r>
  <r>
    <x v="1"/>
    <x v="1"/>
    <s v="Mr. Mudd Thomas"/>
    <x v="1"/>
    <n v="16"/>
    <x v="4"/>
    <n v="0"/>
    <n v="0"/>
    <s v="S.O./P.P. 3"/>
    <n v="10.5"/>
    <x v="1"/>
    <s v="Unknown"/>
    <s v="Unknown"/>
    <s v="Southampton"/>
    <s v="Not Applicable"/>
    <s v="Not Found"/>
    <s v="Not Found"/>
    <s v="Halesworth, England"/>
  </r>
  <r>
    <x v="1"/>
    <x v="1"/>
    <s v="Mr. Myles Thomas"/>
    <x v="1"/>
    <n v="62"/>
    <x v="3"/>
    <n v="0"/>
    <n v="0"/>
    <n v="240276"/>
    <n v="9.6875"/>
    <x v="2"/>
    <s v="Unknown"/>
    <s v="Unknown"/>
    <s v="Queenstown"/>
    <s v="Not Applicable"/>
    <s v="Not Found"/>
    <s v="Not Found"/>
    <s v="Cambridge, MA"/>
  </r>
  <r>
    <x v="1"/>
    <x v="1"/>
    <s v="Mr. Nasser Nicholas"/>
    <x v="1"/>
    <n v="33"/>
    <x v="2"/>
    <n v="0"/>
    <n v="1"/>
    <n v="237736"/>
    <n v="30.070799999999998"/>
    <x v="1"/>
    <s v="Unknown"/>
    <s v="Unknown"/>
    <s v="Cherbourg"/>
    <s v="Not Applicable"/>
    <n v="43"/>
    <s v="Found"/>
    <s v="New York, NY"/>
  </r>
  <r>
    <x v="1"/>
    <x v="0"/>
    <s v="Mrs. Nasser Nicholas"/>
    <x v="0"/>
    <n v="14"/>
    <x v="4"/>
    <n v="0"/>
    <n v="1"/>
    <n v="237736"/>
    <n v="30.070799999999998"/>
    <x v="1"/>
    <s v="Unknown"/>
    <s v="Unknown"/>
    <s v="Cherbourg"/>
    <s v="Not Applicable"/>
    <s v="Not Found"/>
    <s v="Not Found"/>
    <s v="New York, NY"/>
  </r>
  <r>
    <x v="1"/>
    <x v="0"/>
    <s v="Master. Navratil Edmond"/>
    <x v="1"/>
    <n v="2"/>
    <x v="1"/>
    <n v="1"/>
    <n v="1"/>
    <n v="230080"/>
    <n v="26"/>
    <x v="1"/>
    <s v="F2"/>
    <s v="F"/>
    <s v="Southampton"/>
    <s v="D"/>
    <s v="Not Found"/>
    <s v="Not Found"/>
    <s v="Nice, France"/>
  </r>
  <r>
    <x v="1"/>
    <x v="0"/>
    <s v="Master. Navratil Michel"/>
    <x v="1"/>
    <n v="3"/>
    <x v="1"/>
    <n v="1"/>
    <n v="1"/>
    <n v="230080"/>
    <n v="26"/>
    <x v="1"/>
    <s v="F2"/>
    <s v="F"/>
    <s v="Southampton"/>
    <s v="D"/>
    <s v="Not Found"/>
    <s v="Not Found"/>
    <s v="Nice, France"/>
  </r>
  <r>
    <x v="1"/>
    <x v="1"/>
    <s v="Mr. Navratil Michel"/>
    <x v="1"/>
    <n v="37"/>
    <x v="2"/>
    <n v="2"/>
    <n v="0"/>
    <n v="230080"/>
    <n v="26"/>
    <x v="1"/>
    <s v="F2"/>
    <s v="F"/>
    <s v="Southampton"/>
    <s v="Not Applicable"/>
    <n v="15"/>
    <s v="Found"/>
    <s v="Nice, France"/>
  </r>
  <r>
    <x v="1"/>
    <x v="1"/>
    <s v="Mr. Nesson Israel"/>
    <x v="1"/>
    <n v="26"/>
    <x v="0"/>
    <n v="0"/>
    <n v="0"/>
    <n v="244368"/>
    <n v="13"/>
    <x v="1"/>
    <s v="F2"/>
    <s v="F"/>
    <s v="Southampton"/>
    <s v="Not Applicable"/>
    <s v="Not Found"/>
    <s v="Not Found"/>
    <s v="Boston, MA"/>
  </r>
  <r>
    <x v="1"/>
    <x v="1"/>
    <s v="Mr. Nicholls Joseph"/>
    <x v="1"/>
    <n v="19"/>
    <x v="0"/>
    <n v="1"/>
    <n v="1"/>
    <s v="C.A. 33112"/>
    <n v="36.75"/>
    <x v="1"/>
    <s v="Unknown"/>
    <s v="Unknown"/>
    <s v="Southampton"/>
    <s v="Not Applicable"/>
    <n v="101"/>
    <s v="Found"/>
    <s v="Cornwall / Hancock, MI"/>
  </r>
  <r>
    <x v="1"/>
    <x v="1"/>
    <s v="Mr. Norman Robert"/>
    <x v="1"/>
    <n v="28"/>
    <x v="0"/>
    <n v="0"/>
    <n v="0"/>
    <n v="218629"/>
    <n v="13.5"/>
    <x v="1"/>
    <s v="Unknown"/>
    <s v="Unknown"/>
    <s v="Southampton"/>
    <s v="Not Applicable"/>
    <n v="287"/>
    <s v="Found"/>
    <s v="Glasgow"/>
  </r>
  <r>
    <x v="1"/>
    <x v="0"/>
    <s v="Mr. Nourney Alfred"/>
    <x v="1"/>
    <n v="20"/>
    <x v="0"/>
    <n v="0"/>
    <n v="0"/>
    <s v="SC/PARIS 2166"/>
    <n v="13.862500000000001"/>
    <x v="1"/>
    <s v="D38"/>
    <s v="D"/>
    <s v="Cherbourg"/>
    <n v="7"/>
    <s v="Not Found"/>
    <s v="Not Found"/>
    <s v="Cologne, Germany"/>
  </r>
  <r>
    <x v="1"/>
    <x v="0"/>
    <s v="Mrs. Nye (Elizabeth"/>
    <x v="0"/>
    <n v="29"/>
    <x v="0"/>
    <n v="0"/>
    <n v="0"/>
    <s v="C.A. 29395"/>
    <n v="10.5"/>
    <x v="1"/>
    <s v="F33"/>
    <s v="F"/>
    <s v="Southampton"/>
    <n v="11"/>
    <s v="Not Found"/>
    <s v="Not Found"/>
    <s v="Folkstone, Kent / New York, NY"/>
  </r>
  <r>
    <x v="1"/>
    <x v="1"/>
    <s v="Mr. Otter Richard"/>
    <x v="1"/>
    <n v="39"/>
    <x v="2"/>
    <n v="0"/>
    <n v="0"/>
    <n v="28213"/>
    <n v="13"/>
    <x v="1"/>
    <s v="Unknown"/>
    <s v="Unknown"/>
    <s v="Southampton"/>
    <s v="Not Applicable"/>
    <s v="Not Found"/>
    <s v="Not Found"/>
    <s v="Middleburg Heights, OH"/>
  </r>
  <r>
    <x v="1"/>
    <x v="0"/>
    <s v="Mr. Oxenham Percy"/>
    <x v="1"/>
    <n v="22"/>
    <x v="0"/>
    <n v="0"/>
    <n v="0"/>
    <s v="W./C. 14260"/>
    <n v="10.5"/>
    <x v="1"/>
    <s v="Unknown"/>
    <s v="Unknown"/>
    <s v="Southampton"/>
    <n v="13"/>
    <s v="Not Found"/>
    <s v="Not Found"/>
    <s v="Pondersend, England / New Durham, NJ"/>
  </r>
  <r>
    <x v="1"/>
    <x v="0"/>
    <s v="y Padro Manent"/>
    <x v="1"/>
    <n v="28"/>
    <x v="0"/>
    <n v="0"/>
    <n v="0"/>
    <s v="SC/PARIS 2146"/>
    <n v="13.862500000000001"/>
    <x v="1"/>
    <s v="Unknown"/>
    <s v="Unknown"/>
    <s v="Cherbourg"/>
    <n v="9"/>
    <s v="Not Found"/>
    <s v="Not Found"/>
    <s v="Spain / Havana, Cuba"/>
  </r>
  <r>
    <x v="1"/>
    <x v="1"/>
    <s v="Dr. Pain Alfred"/>
    <x v="1"/>
    <n v="23"/>
    <x v="0"/>
    <n v="0"/>
    <n v="0"/>
    <n v="244278"/>
    <n v="10.5"/>
    <x v="1"/>
    <s v="Unknown"/>
    <s v="Unknown"/>
    <s v="Southampton"/>
    <s v="Not Applicable"/>
    <s v="Not Found"/>
    <s v="Not Found"/>
    <s v="Hamilton, ON"/>
  </r>
  <r>
    <x v="1"/>
    <x v="0"/>
    <s v="y Pallas Castello"/>
    <x v="1"/>
    <n v="29"/>
    <x v="0"/>
    <n v="0"/>
    <n v="0"/>
    <s v="SC/PARIS 2147"/>
    <n v="13.8583"/>
    <x v="1"/>
    <s v="Unknown"/>
    <s v="Unknown"/>
    <s v="Cherbourg"/>
    <n v="9"/>
    <s v="Not Found"/>
    <s v="Not Found"/>
    <s v="Spain / Havana, Cuba"/>
  </r>
  <r>
    <x v="1"/>
    <x v="1"/>
    <s v="Mr. Parker Clifford"/>
    <x v="1"/>
    <n v="28"/>
    <x v="0"/>
    <n v="0"/>
    <n v="0"/>
    <s v="SC 14888"/>
    <n v="10.5"/>
    <x v="1"/>
    <s v="Unknown"/>
    <s v="Unknown"/>
    <s v="Southampton"/>
    <s v="Not Applicable"/>
    <s v="Not Found"/>
    <s v="Not Found"/>
    <s v="St Andrews, Guernsey"/>
  </r>
  <r>
    <x v="1"/>
    <x v="1"/>
    <s v="Mr. Parkes Francis"/>
    <x v="1"/>
    <n v="28"/>
    <x v="0"/>
    <n v="0"/>
    <n v="0"/>
    <n v="239853"/>
    <n v="0"/>
    <x v="2"/>
    <s v="Unknown"/>
    <s v="Unknown"/>
    <s v="Southampton"/>
    <s v="Not Applicable"/>
    <s v="Not Found"/>
    <s v="Not Found"/>
    <s v="Belfast"/>
  </r>
  <r>
    <x v="1"/>
    <x v="0"/>
    <s v="Mrs. Parrish (Lutie"/>
    <x v="0"/>
    <n v="50"/>
    <x v="2"/>
    <n v="1"/>
    <n v="0"/>
    <n v="230433"/>
    <n v="26"/>
    <x v="1"/>
    <s v="Unknown"/>
    <s v="Unknown"/>
    <s v="Southampton"/>
    <n v="12"/>
    <s v="Not Found"/>
    <s v="Not Found"/>
    <s v="Woodford County, KY"/>
  </r>
  <r>
    <x v="1"/>
    <x v="1"/>
    <s v="Mr. Pengelly Frederick"/>
    <x v="1"/>
    <n v="19"/>
    <x v="0"/>
    <n v="0"/>
    <n v="0"/>
    <n v="28665"/>
    <n v="10.5"/>
    <x v="1"/>
    <s v="Unknown"/>
    <s v="Unknown"/>
    <s v="Southampton"/>
    <s v="Not Applicable"/>
    <s v="Not Found"/>
    <s v="Not Found"/>
    <s v="Gunnislake, England / Butte, MT"/>
  </r>
  <r>
    <x v="1"/>
    <x v="1"/>
    <s v="Mr. Pernot Rene"/>
    <x v="1"/>
    <n v="28"/>
    <x v="0"/>
    <n v="0"/>
    <n v="0"/>
    <s v="SC/PARIS 2131"/>
    <n v="15.05"/>
    <x v="1"/>
    <s v="Unknown"/>
    <s v="Unknown"/>
    <s v="Cherbourg"/>
    <s v="Not Applicable"/>
    <s v="Not Found"/>
    <s v="Not Found"/>
    <m/>
  </r>
  <r>
    <x v="1"/>
    <x v="1"/>
    <s v="Rev. Peruschitz Joseph"/>
    <x v="1"/>
    <n v="41"/>
    <x v="2"/>
    <n v="0"/>
    <n v="0"/>
    <n v="237393"/>
    <n v="13"/>
    <x v="1"/>
    <s v="Unknown"/>
    <s v="Unknown"/>
    <s v="Southampton"/>
    <s v="Not Applicable"/>
    <s v="Not Found"/>
    <s v="Not Found"/>
    <m/>
  </r>
  <r>
    <x v="1"/>
    <x v="0"/>
    <s v="Miss. Phillips Alice"/>
    <x v="0"/>
    <n v="21"/>
    <x v="0"/>
    <n v="1"/>
    <n v="0"/>
    <s v="S.O./P.P. 2"/>
    <n v="21"/>
    <x v="1"/>
    <s v="Unknown"/>
    <s v="Unknown"/>
    <s v="Southampton"/>
    <n v="12"/>
    <s v="Not Found"/>
    <s v="Not Found"/>
    <s v="Ilfracombe, Devon"/>
  </r>
  <r>
    <x v="1"/>
    <x v="0"/>
    <s v="Miss. Phillips Kate"/>
    <x v="0"/>
    <n v="19"/>
    <x v="0"/>
    <n v="0"/>
    <n v="0"/>
    <n v="250655"/>
    <n v="26"/>
    <x v="1"/>
    <s v="Unknown"/>
    <s v="Unknown"/>
    <s v="Southampton"/>
    <n v="11"/>
    <s v="Not Found"/>
    <s v="Not Found"/>
    <s v="Worcester, England"/>
  </r>
  <r>
    <x v="1"/>
    <x v="1"/>
    <s v="Mr. Phillips Escott"/>
    <x v="1"/>
    <n v="43"/>
    <x v="2"/>
    <n v="1"/>
    <n v="0"/>
    <s v="S.O./P.P. 2"/>
    <n v="21"/>
    <x v="1"/>
    <s v="Unknown"/>
    <s v="Unknown"/>
    <s v="Southampton"/>
    <s v="Not Applicable"/>
    <s v="Not Found"/>
    <s v="Not Found"/>
    <s v="Ilfracombe, Devon"/>
  </r>
  <r>
    <x v="1"/>
    <x v="0"/>
    <s v="Mrs. Pinsky (Rosa)"/>
    <x v="0"/>
    <n v="32"/>
    <x v="2"/>
    <n v="0"/>
    <n v="0"/>
    <n v="234604"/>
    <n v="13"/>
    <x v="1"/>
    <s v="Unknown"/>
    <s v="Unknown"/>
    <s v="Southampton"/>
    <n v="9"/>
    <s v="Not Found"/>
    <s v="Not Found"/>
    <s v="Russia"/>
  </r>
  <r>
    <x v="1"/>
    <x v="1"/>
    <s v="Mr. Ponesell Martin"/>
    <x v="1"/>
    <n v="34"/>
    <x v="2"/>
    <n v="0"/>
    <n v="0"/>
    <n v="250647"/>
    <n v="13"/>
    <x v="1"/>
    <s v="Unknown"/>
    <s v="Unknown"/>
    <s v="Southampton"/>
    <s v="Not Applicable"/>
    <s v="Not Found"/>
    <s v="Not Found"/>
    <s v="Denmark / New York, NY"/>
  </r>
  <r>
    <x v="1"/>
    <x v="0"/>
    <s v="Mr. Portaluppi Emilio"/>
    <x v="1"/>
    <n v="30"/>
    <x v="2"/>
    <n v="0"/>
    <n v="0"/>
    <s v="C.A. 34644"/>
    <n v="12.737500000000001"/>
    <x v="1"/>
    <s v="Unknown"/>
    <s v="Unknown"/>
    <s v="Cherbourg"/>
    <n v="14"/>
    <s v="Not Found"/>
    <s v="Not Found"/>
    <s v="Milford, NH"/>
  </r>
  <r>
    <x v="1"/>
    <x v="1"/>
    <s v="Mr. Pulbaum Franz"/>
    <x v="1"/>
    <n v="27"/>
    <x v="0"/>
    <n v="0"/>
    <n v="0"/>
    <s v="SC/PARIS 2168"/>
    <n v="15.033300000000001"/>
    <x v="1"/>
    <s v="Unknown"/>
    <s v="Unknown"/>
    <s v="Cherbourg"/>
    <s v="Not Applicable"/>
    <s v="Not Found"/>
    <s v="Not Found"/>
    <s v="Paris"/>
  </r>
  <r>
    <x v="1"/>
    <x v="0"/>
    <s v="Miss. Quick Phyllis"/>
    <x v="0"/>
    <n v="2"/>
    <x v="1"/>
    <n v="1"/>
    <n v="1"/>
    <n v="26360"/>
    <n v="26"/>
    <x v="1"/>
    <s v="Unknown"/>
    <s v="Unknown"/>
    <s v="Southampton"/>
    <n v="11"/>
    <s v="Not Found"/>
    <s v="Not Found"/>
    <s v="Plymouth, Devon / Detroit, MI"/>
  </r>
  <r>
    <x v="1"/>
    <x v="0"/>
    <s v="Miss. Quick Winifred"/>
    <x v="0"/>
    <n v="8"/>
    <x v="1"/>
    <n v="1"/>
    <n v="1"/>
    <n v="26360"/>
    <n v="26"/>
    <x v="1"/>
    <s v="Unknown"/>
    <s v="Unknown"/>
    <s v="Southampton"/>
    <n v="11"/>
    <s v="Not Found"/>
    <s v="Not Found"/>
    <s v="Plymouth, Devon / Detroit, MI"/>
  </r>
  <r>
    <x v="1"/>
    <x v="0"/>
    <s v="Mrs. Quick Frederick"/>
    <x v="0"/>
    <n v="33"/>
    <x v="2"/>
    <n v="2"/>
    <n v="0"/>
    <n v="26360"/>
    <n v="26"/>
    <x v="1"/>
    <s v="Unknown"/>
    <s v="Unknown"/>
    <s v="Southampton"/>
    <n v="11"/>
    <s v="Not Found"/>
    <s v="Not Found"/>
    <s v="Plymouth, Devon / Detroit, MI"/>
  </r>
  <r>
    <x v="1"/>
    <x v="1"/>
    <s v="Mr. Reeves David"/>
    <x v="1"/>
    <n v="36"/>
    <x v="2"/>
    <n v="0"/>
    <n v="0"/>
    <s v="C.A. 17248"/>
    <n v="10.5"/>
    <x v="1"/>
    <s v="Unknown"/>
    <s v="Unknown"/>
    <s v="Southampton"/>
    <s v="Not Applicable"/>
    <s v="Not Found"/>
    <s v="Not Found"/>
    <s v="Brighton, Sussex"/>
  </r>
  <r>
    <x v="1"/>
    <x v="1"/>
    <s v="Mr. Renouf Peter"/>
    <x v="1"/>
    <n v="34"/>
    <x v="2"/>
    <n v="0"/>
    <n v="1"/>
    <n v="31027"/>
    <n v="21"/>
    <x v="1"/>
    <s v="Unknown"/>
    <s v="Unknown"/>
    <s v="Southampton"/>
    <n v="12"/>
    <s v="Not Found"/>
    <s v="Not Found"/>
    <s v="Elizabeth, NJ"/>
  </r>
  <r>
    <x v="1"/>
    <x v="0"/>
    <s v="Mrs. Renouf Peter"/>
    <x v="0"/>
    <n v="30"/>
    <x v="2"/>
    <n v="0"/>
    <n v="3"/>
    <n v="31027"/>
    <n v="21"/>
    <x v="1"/>
    <s v="Unknown"/>
    <s v="Unknown"/>
    <s v="Southampton"/>
    <s v="Not Applicable"/>
    <s v="Not Found"/>
    <s v="Not Found"/>
    <s v="Elizabeth, NJ"/>
  </r>
  <r>
    <x v="1"/>
    <x v="0"/>
    <s v="Ms. Reynaldo Encarnacion"/>
    <x v="0"/>
    <n v="28"/>
    <x v="0"/>
    <n v="0"/>
    <n v="0"/>
    <n v="230434"/>
    <n v="13"/>
    <x v="1"/>
    <s v="Unknown"/>
    <s v="Unknown"/>
    <s v="Southampton"/>
    <n v="9"/>
    <s v="Not Found"/>
    <s v="Not Found"/>
    <s v="Spain"/>
  </r>
  <r>
    <x v="1"/>
    <x v="1"/>
    <s v="Mr. Richard Emile"/>
    <x v="1"/>
    <n v="23"/>
    <x v="0"/>
    <n v="0"/>
    <n v="0"/>
    <s v="SC/PARIS 2133"/>
    <n v="15.0458"/>
    <x v="1"/>
    <s v="Unknown"/>
    <s v="Unknown"/>
    <s v="Cherbourg"/>
    <s v="Not Applicable"/>
    <s v="Not Found"/>
    <s v="Not Found"/>
    <s v="Paris / Montreal, PQ"/>
  </r>
  <r>
    <x v="1"/>
    <x v="0"/>
    <s v="Master. Richards George"/>
    <x v="1"/>
    <n v="1"/>
    <x v="1"/>
    <n v="1"/>
    <n v="1"/>
    <n v="29106"/>
    <n v="18.75"/>
    <x v="1"/>
    <s v="Unknown"/>
    <s v="Unknown"/>
    <s v="Southampton"/>
    <n v="4"/>
    <s v="Not Found"/>
    <s v="Not Found"/>
    <s v="Cornwall / Akron, OH"/>
  </r>
  <r>
    <x v="1"/>
    <x v="0"/>
    <s v="Master. Richards William"/>
    <x v="1"/>
    <n v="3"/>
    <x v="1"/>
    <n v="1"/>
    <n v="1"/>
    <n v="29106"/>
    <n v="18.75"/>
    <x v="1"/>
    <s v="Unknown"/>
    <s v="Unknown"/>
    <s v="Southampton"/>
    <n v="4"/>
    <s v="Not Found"/>
    <s v="Not Found"/>
    <s v="Cornwall / Akron, OH"/>
  </r>
  <r>
    <x v="1"/>
    <x v="0"/>
    <s v="Mrs. Richards Sidney"/>
    <x v="0"/>
    <n v="24"/>
    <x v="0"/>
    <n v="3"/>
    <n v="2"/>
    <n v="29106"/>
    <n v="18.75"/>
    <x v="1"/>
    <s v="Unknown"/>
    <s v="Unknown"/>
    <s v="Southampton"/>
    <n v="4"/>
    <s v="Not Found"/>
    <s v="Not Found"/>
    <s v="Cornwall / Akron, OH"/>
  </r>
  <r>
    <x v="1"/>
    <x v="0"/>
    <s v="Miss. Ridsdale Lucy"/>
    <x v="0"/>
    <n v="50"/>
    <x v="2"/>
    <n v="0"/>
    <n v="0"/>
    <s v="W./C. 14258"/>
    <n v="10.5"/>
    <x v="1"/>
    <s v="Unknown"/>
    <s v="Unknown"/>
    <s v="Southampton"/>
    <n v="13"/>
    <s v="Not Found"/>
    <s v="Not Found"/>
    <s v="London, England / Marietta, Ohio and Milwaukee, WI"/>
  </r>
  <r>
    <x v="1"/>
    <x v="1"/>
    <s v="Mr. Rogers Reginald"/>
    <x v="1"/>
    <n v="19"/>
    <x v="0"/>
    <n v="0"/>
    <n v="0"/>
    <n v="28004"/>
    <n v="10.5"/>
    <x v="1"/>
    <s v="Unknown"/>
    <s v="Unknown"/>
    <s v="Southampton"/>
    <s v="Not Applicable"/>
    <s v="Not Found"/>
    <s v="Not Found"/>
    <m/>
  </r>
  <r>
    <x v="1"/>
    <x v="0"/>
    <s v="Miss. Rugg Emily"/>
    <x v="0"/>
    <n v="21"/>
    <x v="0"/>
    <n v="0"/>
    <n v="0"/>
    <s v="C.A. 31026"/>
    <n v="10.5"/>
    <x v="1"/>
    <s v="Unknown"/>
    <s v="Unknown"/>
    <s v="Southampton"/>
    <n v="12"/>
    <s v="Not Found"/>
    <s v="Not Found"/>
    <s v="Guernsey / Wilmington, DE"/>
  </r>
  <r>
    <x v="1"/>
    <x v="1"/>
    <s v="Mr. Schmidt August"/>
    <x v="1"/>
    <n v="26"/>
    <x v="0"/>
    <n v="0"/>
    <n v="0"/>
    <n v="248659"/>
    <n v="13"/>
    <x v="1"/>
    <s v="Unknown"/>
    <s v="Unknown"/>
    <s v="Southampton"/>
    <s v="Not Applicable"/>
    <s v="Not Found"/>
    <s v="Not Found"/>
    <s v="Newark, NJ"/>
  </r>
  <r>
    <x v="1"/>
    <x v="1"/>
    <s v="Mr. Sedgwick Charles"/>
    <x v="1"/>
    <n v="25"/>
    <x v="0"/>
    <n v="0"/>
    <n v="0"/>
    <n v="244361"/>
    <n v="13"/>
    <x v="1"/>
    <s v="Unknown"/>
    <s v="Unknown"/>
    <s v="Southampton"/>
    <s v="Not Applicable"/>
    <s v="Not Found"/>
    <s v="Not Found"/>
    <s v="Liverpool"/>
  </r>
  <r>
    <x v="1"/>
    <x v="1"/>
    <s v="Mr. Sharp Percival"/>
    <x v="1"/>
    <n v="27"/>
    <x v="0"/>
    <n v="0"/>
    <n v="0"/>
    <n v="244358"/>
    <n v="26"/>
    <x v="1"/>
    <s v="Unknown"/>
    <s v="Unknown"/>
    <s v="Southampton"/>
    <s v="Not Applicable"/>
    <s v="Not Found"/>
    <s v="Not Found"/>
    <s v="Hornsey, England"/>
  </r>
  <r>
    <x v="1"/>
    <x v="0"/>
    <s v="Mrs. Shelley William"/>
    <x v="0"/>
    <n v="25"/>
    <x v="0"/>
    <n v="1"/>
    <n v="0"/>
    <n v="230433"/>
    <n v="26"/>
    <x v="1"/>
    <s v="Unknown"/>
    <s v="Unknown"/>
    <s v="Southampton"/>
    <n v="12"/>
    <s v="Not Found"/>
    <s v="Not Found"/>
    <s v="Deer Lodge, MT"/>
  </r>
  <r>
    <x v="1"/>
    <x v="0"/>
    <s v="Miss. Silven Lyyli"/>
    <x v="0"/>
    <n v="18"/>
    <x v="0"/>
    <n v="2"/>
    <n v="0"/>
    <n v="250652"/>
    <n v="13"/>
    <x v="1"/>
    <s v="Unknown"/>
    <s v="Unknown"/>
    <s v="Southampton"/>
    <n v="16"/>
    <s v="Not Found"/>
    <s v="Not Found"/>
    <s v="Finland / Minneapolis, MN"/>
  </r>
  <r>
    <x v="1"/>
    <x v="0"/>
    <s v="Miss. Sincock Maude"/>
    <x v="0"/>
    <n v="20"/>
    <x v="0"/>
    <n v="0"/>
    <n v="0"/>
    <s v="C.A. 33112"/>
    <n v="36.75"/>
    <x v="1"/>
    <s v="Unknown"/>
    <s v="Unknown"/>
    <s v="Southampton"/>
    <n v="11"/>
    <s v="Not Found"/>
    <s v="Not Found"/>
    <s v="Cornwall / Hancock, MI"/>
  </r>
  <r>
    <x v="1"/>
    <x v="0"/>
    <s v="Miss. Sinkkonen Anna"/>
    <x v="0"/>
    <n v="30"/>
    <x v="2"/>
    <n v="0"/>
    <n v="0"/>
    <n v="250648"/>
    <n v="13"/>
    <x v="1"/>
    <s v="Unknown"/>
    <s v="Unknown"/>
    <s v="Southampton"/>
    <n v="10"/>
    <s v="Not Found"/>
    <s v="Not Found"/>
    <s v="Finland / Washington, DC"/>
  </r>
  <r>
    <x v="1"/>
    <x v="1"/>
    <s v="Mr. Sjostedt Ernst"/>
    <x v="1"/>
    <n v="59"/>
    <x v="2"/>
    <n v="0"/>
    <n v="0"/>
    <n v="237442"/>
    <n v="13.5"/>
    <x v="1"/>
    <s v="Unknown"/>
    <s v="Unknown"/>
    <s v="Southampton"/>
    <s v="Not Applicable"/>
    <s v="Not Found"/>
    <s v="Not Found"/>
    <s v="Sault St Marie, ON"/>
  </r>
  <r>
    <x v="1"/>
    <x v="0"/>
    <s v="Miss. Slayter Hilda"/>
    <x v="0"/>
    <n v="30"/>
    <x v="2"/>
    <n v="0"/>
    <n v="0"/>
    <n v="234818"/>
    <n v="12.35"/>
    <x v="1"/>
    <s v="Unknown"/>
    <s v="Unknown"/>
    <s v="Queenstown"/>
    <n v="13"/>
    <s v="Not Found"/>
    <s v="Not Found"/>
    <s v="Halifax, NS"/>
  </r>
  <r>
    <x v="1"/>
    <x v="1"/>
    <s v="Mr. Slemen Richard"/>
    <x v="1"/>
    <n v="35"/>
    <x v="2"/>
    <n v="0"/>
    <n v="0"/>
    <n v="28206"/>
    <n v="10.5"/>
    <x v="1"/>
    <s v="Unknown"/>
    <s v="Unknown"/>
    <s v="Southampton"/>
    <s v="Not Applicable"/>
    <s v="Not Found"/>
    <s v="Not Found"/>
    <s v="Cornwall"/>
  </r>
  <r>
    <x v="1"/>
    <x v="0"/>
    <s v="Miss. Smith Marion"/>
    <x v="0"/>
    <n v="40"/>
    <x v="2"/>
    <n v="0"/>
    <n v="0"/>
    <n v="31418"/>
    <n v="13"/>
    <x v="1"/>
    <s v="Unknown"/>
    <s v="Unknown"/>
    <s v="Southampton"/>
    <n v="9"/>
    <s v="Not Found"/>
    <s v="Not Found"/>
    <m/>
  </r>
  <r>
    <x v="1"/>
    <x v="1"/>
    <s v="Mr. Sobey Samuel"/>
    <x v="1"/>
    <n v="25"/>
    <x v="0"/>
    <n v="0"/>
    <n v="0"/>
    <s v="C.A. 29178"/>
    <n v="13"/>
    <x v="1"/>
    <s v="Unknown"/>
    <s v="Unknown"/>
    <s v="Southampton"/>
    <s v="Not Applicable"/>
    <s v="Not Found"/>
    <s v="Not Found"/>
    <s v="Cornwall / Houghton, MI"/>
  </r>
  <r>
    <x v="1"/>
    <x v="1"/>
    <s v="Mr. Stanton Samuel"/>
    <x v="1"/>
    <n v="41"/>
    <x v="2"/>
    <n v="0"/>
    <n v="0"/>
    <n v="237734"/>
    <n v="15.0458"/>
    <x v="1"/>
    <s v="Unknown"/>
    <s v="Unknown"/>
    <s v="Cherbourg"/>
    <s v="Not Applicable"/>
    <s v="Not Found"/>
    <s v="Not Found"/>
    <s v="New York, NY"/>
  </r>
  <r>
    <x v="1"/>
    <x v="1"/>
    <s v="Mr. Stokes Philip"/>
    <x v="1"/>
    <n v="25"/>
    <x v="0"/>
    <n v="0"/>
    <n v="0"/>
    <s v="F.C.C. 13540"/>
    <n v="10.5"/>
    <x v="1"/>
    <s v="Unknown"/>
    <s v="Unknown"/>
    <s v="Southampton"/>
    <s v="Not Applicable"/>
    <n v="81"/>
    <s v="Found"/>
    <s v="Catford, Kent / Detroit, MI"/>
  </r>
  <r>
    <x v="1"/>
    <x v="1"/>
    <s v="Mr. Swane George"/>
    <x v="1"/>
    <n v="19"/>
    <x v="0"/>
    <n v="0"/>
    <n v="0"/>
    <n v="248734"/>
    <n v="13"/>
    <x v="1"/>
    <s v="F"/>
    <s v="F"/>
    <s v="Southampton"/>
    <s v="Not Applicable"/>
    <n v="294"/>
    <s v="Found"/>
    <m/>
  </r>
  <r>
    <x v="1"/>
    <x v="1"/>
    <s v="Mr. Sweet George"/>
    <x v="1"/>
    <n v="14"/>
    <x v="4"/>
    <n v="0"/>
    <n v="0"/>
    <n v="220845"/>
    <n v="65"/>
    <x v="0"/>
    <s v="Unknown"/>
    <s v="Unknown"/>
    <s v="Southampton"/>
    <s v="Not Applicable"/>
    <s v="Not Found"/>
    <s v="Not Found"/>
    <s v="Somerset / Bernardsville, NJ"/>
  </r>
  <r>
    <x v="1"/>
    <x v="0"/>
    <s v="Miss. Toomey Ellen"/>
    <x v="0"/>
    <n v="50"/>
    <x v="2"/>
    <n v="0"/>
    <n v="0"/>
    <s v="F.C.C. 13531"/>
    <n v="10.5"/>
    <x v="1"/>
    <s v="Unknown"/>
    <s v="Unknown"/>
    <s v="Southampton"/>
    <n v="9"/>
    <s v="Not Found"/>
    <s v="Not Found"/>
    <s v="Indianapolis, IN"/>
  </r>
  <r>
    <x v="1"/>
    <x v="1"/>
    <s v="Mr. Troupiansky Moses"/>
    <x v="1"/>
    <n v="23"/>
    <x v="0"/>
    <n v="0"/>
    <n v="0"/>
    <n v="233639"/>
    <n v="13"/>
    <x v="1"/>
    <s v="Unknown"/>
    <s v="Unknown"/>
    <s v="Southampton"/>
    <s v="Not Applicable"/>
    <s v="Not Found"/>
    <s v="Not Found"/>
    <m/>
  </r>
  <r>
    <x v="1"/>
    <x v="0"/>
    <s v="Mrs. Trout William"/>
    <x v="0"/>
    <n v="28"/>
    <x v="0"/>
    <n v="0"/>
    <n v="0"/>
    <n v="240929"/>
    <n v="12.65"/>
    <x v="1"/>
    <s v="Unknown"/>
    <s v="Unknown"/>
    <s v="Southampton"/>
    <s v="Not Applicable"/>
    <s v="Not Found"/>
    <s v="Not Found"/>
    <s v="Columbus, OH"/>
  </r>
  <r>
    <x v="1"/>
    <x v="0"/>
    <s v="Miss. Troutt Edwina"/>
    <x v="0"/>
    <n v="27"/>
    <x v="0"/>
    <n v="0"/>
    <n v="0"/>
    <n v="34218"/>
    <n v="10.5"/>
    <x v="1"/>
    <s v="E101"/>
    <s v="E"/>
    <s v="Southampton"/>
    <n v="16"/>
    <s v="Not Found"/>
    <s v="Not Found"/>
    <s v="Bath, England / Massachusetts"/>
  </r>
  <r>
    <x v="1"/>
    <x v="1"/>
    <s v="Mr. Turpin William"/>
    <x v="1"/>
    <n v="29"/>
    <x v="0"/>
    <n v="0"/>
    <n v="1"/>
    <n v="11668"/>
    <n v="21"/>
    <x v="1"/>
    <s v="Unknown"/>
    <s v="Unknown"/>
    <s v="Southampton"/>
    <s v="Not Applicable"/>
    <s v="Not Found"/>
    <s v="Not Found"/>
    <s v="Plymouth, England"/>
  </r>
  <r>
    <x v="1"/>
    <x v="1"/>
    <s v="Mrs. Turpin William"/>
    <x v="0"/>
    <n v="27"/>
    <x v="0"/>
    <n v="0"/>
    <n v="1"/>
    <n v="11668"/>
    <n v="21"/>
    <x v="1"/>
    <s v="Unknown"/>
    <s v="Unknown"/>
    <s v="Southampton"/>
    <s v="Not Applicable"/>
    <s v="Not Found"/>
    <s v="Not Found"/>
    <s v="Plymouth, England"/>
  </r>
  <r>
    <x v="1"/>
    <x v="1"/>
    <s v="Mr. Veal James"/>
    <x v="1"/>
    <n v="40"/>
    <x v="2"/>
    <n v="0"/>
    <n v="0"/>
    <n v="28221"/>
    <n v="13"/>
    <x v="1"/>
    <s v="Unknown"/>
    <s v="Unknown"/>
    <s v="Southampton"/>
    <s v="Not Applicable"/>
    <s v="Not Found"/>
    <s v="Not Found"/>
    <s v="Barre, Co Washington, VT"/>
  </r>
  <r>
    <x v="1"/>
    <x v="0"/>
    <s v="Miss. Walcroft Nellie"/>
    <x v="0"/>
    <n v="31"/>
    <x v="2"/>
    <n v="0"/>
    <n v="0"/>
    <s v="F.C.C. 13528"/>
    <n v="21"/>
    <x v="1"/>
    <s v="Unknown"/>
    <s v="Unknown"/>
    <s v="Southampton"/>
    <n v="14"/>
    <s v="Not Found"/>
    <s v="Not Found"/>
    <s v="Mamaroneck, NY"/>
  </r>
  <r>
    <x v="1"/>
    <x v="1"/>
    <s v="Mr. Ware John"/>
    <x v="1"/>
    <n v="30"/>
    <x v="2"/>
    <n v="0"/>
    <n v="1"/>
    <s v="CA 31352"/>
    <n v="21"/>
    <x v="1"/>
    <s v="Unknown"/>
    <s v="Unknown"/>
    <s v="Southampton"/>
    <s v="Not Applicable"/>
    <s v="Not Found"/>
    <s v="Not Found"/>
    <s v="Bristol, England / New Britain, CT"/>
  </r>
  <r>
    <x v="1"/>
    <x v="1"/>
    <s v="Mr. Ware William"/>
    <x v="1"/>
    <n v="23"/>
    <x v="0"/>
    <n v="0"/>
    <n v="1"/>
    <n v="28666"/>
    <n v="10.5"/>
    <x v="1"/>
    <s v="Unknown"/>
    <s v="Unknown"/>
    <s v="Southampton"/>
    <s v="Not Applicable"/>
    <s v="Not Found"/>
    <s v="Not Found"/>
    <m/>
  </r>
  <r>
    <x v="1"/>
    <x v="0"/>
    <s v="Mrs. Ware John"/>
    <x v="0"/>
    <n v="31"/>
    <x v="2"/>
    <n v="0"/>
    <n v="0"/>
    <s v="CA 31352"/>
    <n v="21"/>
    <x v="1"/>
    <s v="Unknown"/>
    <s v="Unknown"/>
    <s v="Southampton"/>
    <n v="10"/>
    <s v="Not Found"/>
    <s v="Not Found"/>
    <s v="Bristol, England / New Britain, CT"/>
  </r>
  <r>
    <x v="1"/>
    <x v="1"/>
    <s v="Mr. Watson Ennis"/>
    <x v="1"/>
    <n v="28"/>
    <x v="0"/>
    <n v="0"/>
    <n v="0"/>
    <n v="239856"/>
    <n v="0"/>
    <x v="2"/>
    <s v="Unknown"/>
    <s v="Unknown"/>
    <s v="Southampton"/>
    <s v="Not Applicable"/>
    <s v="Not Found"/>
    <s v="Not Found"/>
    <s v="Belfast"/>
  </r>
  <r>
    <x v="1"/>
    <x v="0"/>
    <s v="Miss. Watt Bertha"/>
    <x v="0"/>
    <n v="12"/>
    <x v="4"/>
    <n v="0"/>
    <n v="0"/>
    <s v="C.A. 33595"/>
    <n v="15.75"/>
    <x v="1"/>
    <s v="Unknown"/>
    <s v="Unknown"/>
    <s v="Southampton"/>
    <n v="9"/>
    <s v="Not Found"/>
    <s v="Not Found"/>
    <s v="Aberdeen / Portland, OR"/>
  </r>
  <r>
    <x v="1"/>
    <x v="0"/>
    <s v="Mrs. Watt James"/>
    <x v="0"/>
    <n v="40"/>
    <x v="2"/>
    <n v="0"/>
    <n v="0"/>
    <s v="C.A. 33595"/>
    <n v="15.75"/>
    <x v="1"/>
    <s v="Unknown"/>
    <s v="Unknown"/>
    <s v="Southampton"/>
    <n v="9"/>
    <s v="Not Found"/>
    <s v="Not Found"/>
    <s v="Aberdeen / Portland, OR"/>
  </r>
  <r>
    <x v="1"/>
    <x v="0"/>
    <s v="Miss. Webber Susan"/>
    <x v="0"/>
    <n v="33"/>
    <x v="2"/>
    <n v="0"/>
    <n v="0"/>
    <n v="27267"/>
    <n v="13"/>
    <x v="1"/>
    <s v="E101"/>
    <s v="E"/>
    <s v="Southampton"/>
    <n v="12"/>
    <s v="Not Found"/>
    <s v="Not Found"/>
    <s v="England / Hartford, CT"/>
  </r>
  <r>
    <x v="1"/>
    <x v="1"/>
    <s v="Mr. Weisz Leopold"/>
    <x v="1"/>
    <n v="27"/>
    <x v="0"/>
    <n v="0"/>
    <n v="1"/>
    <n v="228414"/>
    <n v="26"/>
    <x v="1"/>
    <s v="Unknown"/>
    <s v="Unknown"/>
    <s v="Southampton"/>
    <s v="Not Applicable"/>
    <n v="293"/>
    <s v="Found"/>
    <s v="Bromsgrove, England / Montreal, PQ"/>
  </r>
  <r>
    <x v="1"/>
    <x v="0"/>
    <s v="Mrs. Weisz Leopold"/>
    <x v="0"/>
    <n v="29"/>
    <x v="0"/>
    <n v="0"/>
    <n v="1"/>
    <n v="228414"/>
    <n v="26"/>
    <x v="1"/>
    <s v="Unknown"/>
    <s v="Unknown"/>
    <s v="Southampton"/>
    <n v="10"/>
    <s v="Not Found"/>
    <s v="Not Found"/>
    <s v="Bromsgrove, England / Montreal, PQ"/>
  </r>
  <r>
    <x v="1"/>
    <x v="0"/>
    <s v="Master. Wells Ralph"/>
    <x v="1"/>
    <n v="2"/>
    <x v="1"/>
    <n v="1"/>
    <n v="1"/>
    <n v="29103"/>
    <n v="23"/>
    <x v="1"/>
    <s v="Unknown"/>
    <s v="Unknown"/>
    <s v="Southampton"/>
    <n v="14"/>
    <s v="Not Found"/>
    <s v="Not Found"/>
    <s v="Cornwall / Akron, OH"/>
  </r>
  <r>
    <x v="1"/>
    <x v="0"/>
    <s v="Miss. Wells Joan"/>
    <x v="0"/>
    <n v="4"/>
    <x v="1"/>
    <n v="1"/>
    <n v="1"/>
    <n v="29103"/>
    <n v="23"/>
    <x v="1"/>
    <s v="Unknown"/>
    <s v="Unknown"/>
    <s v="Southampton"/>
    <n v="14"/>
    <s v="Not Found"/>
    <s v="Not Found"/>
    <s v="Cornwall / Akron, OH"/>
  </r>
  <r>
    <x v="1"/>
    <x v="0"/>
    <s v="Mrs. Wells Arthur"/>
    <x v="0"/>
    <n v="29"/>
    <x v="0"/>
    <n v="2"/>
    <n v="0"/>
    <n v="29103"/>
    <n v="23"/>
    <x v="1"/>
    <s v="Unknown"/>
    <s v="Unknown"/>
    <s v="Southampton"/>
    <n v="14"/>
    <s v="Not Found"/>
    <s v="Not Found"/>
    <s v="Cornwall / Akron, OH"/>
  </r>
  <r>
    <x v="1"/>
    <x v="0"/>
    <s v="Miss. West Barbara"/>
    <x v="0"/>
    <n v="1"/>
    <x v="1"/>
    <n v="2"/>
    <n v="1"/>
    <s v="C.A. 34651"/>
    <n v="27.75"/>
    <x v="1"/>
    <s v="Unknown"/>
    <s v="Unknown"/>
    <s v="Southampton"/>
    <n v="10"/>
    <s v="Not Found"/>
    <s v="Not Found"/>
    <s v="Bournmouth, England"/>
  </r>
  <r>
    <x v="1"/>
    <x v="0"/>
    <s v="Miss. West Constance"/>
    <x v="0"/>
    <n v="5"/>
    <x v="1"/>
    <n v="2"/>
    <n v="1"/>
    <s v="C.A. 34651"/>
    <n v="27.75"/>
    <x v="1"/>
    <s v="Unknown"/>
    <s v="Unknown"/>
    <s v="Southampton"/>
    <n v="10"/>
    <s v="Not Found"/>
    <s v="Not Found"/>
    <s v="Bournmouth, England"/>
  </r>
  <r>
    <x v="1"/>
    <x v="1"/>
    <s v="Mr. West Edwy"/>
    <x v="1"/>
    <n v="36"/>
    <x v="2"/>
    <n v="2"/>
    <n v="1"/>
    <s v="C.A. 34651"/>
    <n v="27.75"/>
    <x v="1"/>
    <s v="Unknown"/>
    <s v="Unknown"/>
    <s v="Southampton"/>
    <s v="Not Applicable"/>
    <s v="Not Found"/>
    <s v="Not Found"/>
    <s v="Bournmouth, England"/>
  </r>
  <r>
    <x v="1"/>
    <x v="0"/>
    <s v="Mrs. West Edwy"/>
    <x v="0"/>
    <n v="33"/>
    <x v="2"/>
    <n v="2"/>
    <n v="1"/>
    <s v="C.A. 34651"/>
    <n v="27.75"/>
    <x v="1"/>
    <s v="Unknown"/>
    <s v="Unknown"/>
    <s v="Southampton"/>
    <n v="10"/>
    <s v="Not Found"/>
    <s v="Not Found"/>
    <s v="Bournmouth, England"/>
  </r>
  <r>
    <x v="1"/>
    <x v="1"/>
    <s v="Mr. Wheadon Edward"/>
    <x v="1"/>
    <n v="66"/>
    <x v="3"/>
    <n v="0"/>
    <n v="0"/>
    <s v="C.A. 24579"/>
    <n v="10.5"/>
    <x v="1"/>
    <s v="Unknown"/>
    <s v="Unknown"/>
    <s v="Southampton"/>
    <s v="Not Applicable"/>
    <s v="Not Found"/>
    <s v="Not Found"/>
    <s v="Guernsey, England / Edgewood, RI"/>
  </r>
  <r>
    <x v="1"/>
    <x v="1"/>
    <s v="Mr. Wheeler Edwin"/>
    <x v="1"/>
    <n v="28"/>
    <x v="0"/>
    <n v="0"/>
    <n v="0"/>
    <s v="SC/PARIS 2159"/>
    <n v="12.875"/>
    <x v="1"/>
    <s v="Unknown"/>
    <s v="Unknown"/>
    <s v="Southampton"/>
    <s v="Not Applicable"/>
    <s v="Not Found"/>
    <s v="Not Found"/>
    <m/>
  </r>
  <r>
    <x v="1"/>
    <x v="0"/>
    <s v="Mr. Wilhelms Charles"/>
    <x v="1"/>
    <n v="31"/>
    <x v="2"/>
    <n v="0"/>
    <n v="0"/>
    <n v="244270"/>
    <n v="13"/>
    <x v="1"/>
    <s v="Unknown"/>
    <s v="Unknown"/>
    <s v="Southampton"/>
    <n v="9"/>
    <s v="Not Found"/>
    <s v="Not Found"/>
    <s v="London, England"/>
  </r>
  <r>
    <x v="1"/>
    <x v="0"/>
    <s v="Mr. Williams Charles"/>
    <x v="1"/>
    <n v="28"/>
    <x v="0"/>
    <n v="0"/>
    <n v="0"/>
    <n v="244373"/>
    <n v="13"/>
    <x v="1"/>
    <s v="Unknown"/>
    <s v="Unknown"/>
    <s v="Southampton"/>
    <n v="14"/>
    <s v="Not Found"/>
    <s v="Not Found"/>
    <s v="Harrow, England"/>
  </r>
  <r>
    <x v="1"/>
    <x v="0"/>
    <s v="Miss. Wright Marion"/>
    <x v="0"/>
    <n v="26"/>
    <x v="0"/>
    <n v="0"/>
    <n v="0"/>
    <n v="220844"/>
    <n v="13.5"/>
    <x v="1"/>
    <s v="Unknown"/>
    <s v="Unknown"/>
    <s v="Southampton"/>
    <n v="9"/>
    <s v="Not Found"/>
    <s v="Not Found"/>
    <s v="Yoevil, England / Cottage Grove, OR"/>
  </r>
  <r>
    <x v="1"/>
    <x v="1"/>
    <s v="Miss. Yrois Henriette"/>
    <x v="0"/>
    <n v="24"/>
    <x v="0"/>
    <n v="0"/>
    <n v="0"/>
    <n v="248747"/>
    <n v="13"/>
    <x v="1"/>
    <s v="Unknown"/>
    <s v="Unknown"/>
    <s v="Southampton"/>
    <s v="Not Applicable"/>
    <s v="Not Found"/>
    <s v="Not Found"/>
    <s v="Paris"/>
  </r>
  <r>
    <x v="2"/>
    <x v="1"/>
    <s v="Mr. Abbing Anthony"/>
    <x v="1"/>
    <n v="42"/>
    <x v="2"/>
    <n v="0"/>
    <n v="0"/>
    <s v="C.A. 5547"/>
    <n v="7.55"/>
    <x v="2"/>
    <s v="Unknown"/>
    <s v="Unknown"/>
    <s v="Southampton"/>
    <s v="Not Applicable"/>
    <s v="Not Found"/>
    <s v="Not Found"/>
    <m/>
  </r>
  <r>
    <x v="2"/>
    <x v="1"/>
    <s v="Master. Abbott Eugene"/>
    <x v="1"/>
    <n v="13"/>
    <x v="4"/>
    <n v="2"/>
    <n v="0"/>
    <s v="C.A. 2673"/>
    <n v="20.25"/>
    <x v="1"/>
    <s v="Unknown"/>
    <s v="Unknown"/>
    <s v="Southampton"/>
    <s v="Not Applicable"/>
    <s v="Not Found"/>
    <s v="Not Found"/>
    <s v="East Providence, RI"/>
  </r>
  <r>
    <x v="2"/>
    <x v="1"/>
    <s v="Mr. Abbott Rossmore"/>
    <x v="1"/>
    <n v="16"/>
    <x v="4"/>
    <n v="1"/>
    <n v="1"/>
    <s v="C.A. 2673"/>
    <n v="20.25"/>
    <x v="1"/>
    <s v="Unknown"/>
    <s v="Unknown"/>
    <s v="Southampton"/>
    <s v="Not Applicable"/>
    <n v="190"/>
    <s v="Found"/>
    <s v="East Providence, RI"/>
  </r>
  <r>
    <x v="2"/>
    <x v="0"/>
    <s v="Mrs. Abbott Stanton"/>
    <x v="0"/>
    <n v="35"/>
    <x v="2"/>
    <n v="1"/>
    <n v="1"/>
    <s v="C.A. 2673"/>
    <n v="20.25"/>
    <x v="1"/>
    <s v="Unknown"/>
    <s v="Unknown"/>
    <s v="Southampton"/>
    <s v="A"/>
    <s v="Not Found"/>
    <s v="Not Found"/>
    <s v="East Providence, RI"/>
  </r>
  <r>
    <x v="2"/>
    <x v="0"/>
    <s v="Miss. Abelseth Karen"/>
    <x v="0"/>
    <n v="16"/>
    <x v="4"/>
    <n v="0"/>
    <n v="0"/>
    <n v="348125"/>
    <n v="7.65"/>
    <x v="2"/>
    <s v="Unknown"/>
    <s v="Unknown"/>
    <s v="Southampton"/>
    <n v="16"/>
    <s v="Not Found"/>
    <s v="Not Found"/>
    <s v="Norway Los Angeles, CA"/>
  </r>
  <r>
    <x v="2"/>
    <x v="0"/>
    <s v="Mr. Abelseth Olaus"/>
    <x v="1"/>
    <n v="25"/>
    <x v="0"/>
    <n v="0"/>
    <n v="0"/>
    <n v="348122"/>
    <n v="7.65"/>
    <x v="2"/>
    <s v="F G63"/>
    <s v="F"/>
    <s v="Southampton"/>
    <s v="A"/>
    <s v="Not Found"/>
    <s v="Not Found"/>
    <s v="Perkins County, SD"/>
  </r>
  <r>
    <x v="2"/>
    <x v="0"/>
    <s v="Mr. Abrahamsson Abraham"/>
    <x v="1"/>
    <n v="20"/>
    <x v="0"/>
    <n v="0"/>
    <n v="0"/>
    <s v="SOTON/O2 3101284"/>
    <n v="7.9249999999999998"/>
    <x v="2"/>
    <s v="Unknown"/>
    <s v="Unknown"/>
    <s v="Southampton"/>
    <n v="15"/>
    <s v="Not Found"/>
    <s v="Not Found"/>
    <s v="Taalintehdas, Finland Hoboken, NJ"/>
  </r>
  <r>
    <x v="2"/>
    <x v="0"/>
    <s v="Mrs. Abrahim Joseph"/>
    <x v="0"/>
    <n v="18"/>
    <x v="0"/>
    <n v="0"/>
    <n v="0"/>
    <n v="2657"/>
    <n v="7.2291999999999996"/>
    <x v="2"/>
    <s v="Unknown"/>
    <s v="Unknown"/>
    <s v="Cherbourg"/>
    <s v="C"/>
    <s v="Not Found"/>
    <s v="Not Found"/>
    <s v="Greensburg, PA"/>
  </r>
  <r>
    <x v="2"/>
    <x v="1"/>
    <s v="Mr. Adahl Mauritz"/>
    <x v="1"/>
    <n v="30"/>
    <x v="2"/>
    <n v="0"/>
    <n v="0"/>
    <s v="C 7076"/>
    <n v="7.25"/>
    <x v="2"/>
    <s v="Unknown"/>
    <s v="Unknown"/>
    <s v="Southampton"/>
    <s v="Not Applicable"/>
    <n v="72"/>
    <s v="Found"/>
    <s v="Asarum, Sweden Brooklyn, NY"/>
  </r>
  <r>
    <x v="2"/>
    <x v="1"/>
    <s v="Mr. Adams John"/>
    <x v="1"/>
    <n v="26"/>
    <x v="0"/>
    <n v="0"/>
    <n v="0"/>
    <n v="341826"/>
    <n v="8.0500000000000007"/>
    <x v="2"/>
    <s v="Unknown"/>
    <s v="Unknown"/>
    <s v="Southampton"/>
    <s v="Not Applicable"/>
    <n v="103"/>
    <s v="Found"/>
    <s v="Bournemouth, England"/>
  </r>
  <r>
    <x v="2"/>
    <x v="1"/>
    <s v="Mrs. Ahlin Johan"/>
    <x v="0"/>
    <n v="40"/>
    <x v="2"/>
    <n v="0"/>
    <n v="1"/>
    <n v="7546"/>
    <n v="9.4749999999999996"/>
    <x v="2"/>
    <s v="Unknown"/>
    <s v="Unknown"/>
    <s v="Southampton"/>
    <s v="Not Applicable"/>
    <s v="Not Found"/>
    <s v="Not Found"/>
    <s v="Sweden Akeley, MN"/>
  </r>
  <r>
    <x v="2"/>
    <x v="0"/>
    <s v="Master. Aks Philip"/>
    <x v="1"/>
    <n v="1"/>
    <x v="1"/>
    <n v="1"/>
    <n v="0"/>
    <n v="392091"/>
    <n v="9.35"/>
    <x v="2"/>
    <s v="Unknown"/>
    <s v="Unknown"/>
    <s v="Southampton"/>
    <n v="11"/>
    <s v="Not Found"/>
    <s v="Not Found"/>
    <s v="London, England Norfolk, VA"/>
  </r>
  <r>
    <x v="2"/>
    <x v="0"/>
    <s v="Mrs. Aks Sam"/>
    <x v="0"/>
    <n v="18"/>
    <x v="0"/>
    <n v="1"/>
    <n v="0"/>
    <n v="392091"/>
    <n v="9.35"/>
    <x v="2"/>
    <s v="Unknown"/>
    <s v="Unknown"/>
    <s v="Southampton"/>
    <n v="13"/>
    <s v="Not Found"/>
    <s v="Not Found"/>
    <s v="London, England Norfolk, VA"/>
  </r>
  <r>
    <x v="2"/>
    <x v="0"/>
    <s v="Mr. Albimona Nassef"/>
    <x v="1"/>
    <n v="26"/>
    <x v="0"/>
    <n v="0"/>
    <n v="0"/>
    <n v="2699"/>
    <n v="18.787500000000001"/>
    <x v="1"/>
    <s v="Unknown"/>
    <s v="Unknown"/>
    <s v="Cherbourg"/>
    <n v="15"/>
    <s v="Not Found"/>
    <s v="Not Found"/>
    <s v="Syria Fredericksburg, VA"/>
  </r>
  <r>
    <x v="2"/>
    <x v="1"/>
    <s v="Mr. Alexander William"/>
    <x v="1"/>
    <n v="26"/>
    <x v="0"/>
    <n v="0"/>
    <n v="0"/>
    <n v="3474"/>
    <n v="7.8875000000000002"/>
    <x v="2"/>
    <s v="Unknown"/>
    <s v="Unknown"/>
    <s v="Southampton"/>
    <s v="Not Applicable"/>
    <s v="Not Found"/>
    <s v="Not Found"/>
    <s v="England Albion, NY"/>
  </r>
  <r>
    <x v="2"/>
    <x v="1"/>
    <s v="Mr. Alhomaki Ilmari"/>
    <x v="1"/>
    <n v="20"/>
    <x v="0"/>
    <n v="0"/>
    <n v="0"/>
    <s v="SOTON/O2 3101287"/>
    <n v="7.9249999999999998"/>
    <x v="2"/>
    <s v="Unknown"/>
    <s v="Unknown"/>
    <s v="Southampton"/>
    <s v="Not Applicable"/>
    <s v="Not Found"/>
    <s v="Not Found"/>
    <s v="Salo, Finland Astoria, OR"/>
  </r>
  <r>
    <x v="2"/>
    <x v="1"/>
    <s v="Mr. Ali Ahmed"/>
    <x v="1"/>
    <n v="24"/>
    <x v="0"/>
    <n v="0"/>
    <n v="0"/>
    <s v="SOTON/O.Q. 3101311"/>
    <n v="7.05"/>
    <x v="2"/>
    <s v="Unknown"/>
    <s v="Unknown"/>
    <s v="Southampton"/>
    <s v="Not Applicable"/>
    <s v="Not Found"/>
    <s v="Not Found"/>
    <m/>
  </r>
  <r>
    <x v="2"/>
    <x v="1"/>
    <s v="Mr. Ali William"/>
    <x v="1"/>
    <n v="25"/>
    <x v="0"/>
    <n v="0"/>
    <n v="0"/>
    <s v="SOTON/O.Q. 3101312"/>
    <n v="7.05"/>
    <x v="2"/>
    <s v="Unknown"/>
    <s v="Unknown"/>
    <s v="Southampton"/>
    <s v="Not Applicable"/>
    <n v="79"/>
    <s v="Found"/>
    <s v="Argentina"/>
  </r>
  <r>
    <x v="2"/>
    <x v="1"/>
    <s v="Mr. Allen William"/>
    <x v="1"/>
    <n v="35"/>
    <x v="2"/>
    <n v="0"/>
    <n v="0"/>
    <n v="373450"/>
    <n v="8.0500000000000007"/>
    <x v="2"/>
    <s v="Unknown"/>
    <s v="Unknown"/>
    <s v="Southampton"/>
    <s v="Not Applicable"/>
    <s v="Not Found"/>
    <s v="Not Found"/>
    <s v="Lower Clapton, Middlesex or Erdington, Birmingham"/>
  </r>
  <r>
    <x v="2"/>
    <x v="1"/>
    <s v="Mr. Allum Owen"/>
    <x v="1"/>
    <n v="18"/>
    <x v="0"/>
    <n v="0"/>
    <n v="0"/>
    <n v="2223"/>
    <n v="8.3000000000000007"/>
    <x v="2"/>
    <s v="Unknown"/>
    <s v="Unknown"/>
    <s v="Southampton"/>
    <s v="Not Applicable"/>
    <n v="259"/>
    <s v="Found"/>
    <s v="Windsor, England New York, NY"/>
  </r>
  <r>
    <x v="2"/>
    <x v="1"/>
    <s v="Mr. Andersen Albert"/>
    <x v="1"/>
    <n v="32"/>
    <x v="2"/>
    <n v="0"/>
    <n v="0"/>
    <s v="C 4001"/>
    <n v="22.524999999999999"/>
    <x v="1"/>
    <s v="Unknown"/>
    <s v="Unknown"/>
    <s v="Southampton"/>
    <s v="Not Applicable"/>
    <n v="260"/>
    <s v="Found"/>
    <s v="Bergen, Norway"/>
  </r>
  <r>
    <x v="2"/>
    <x v="0"/>
    <s v="Miss. Andersen-Jensen Carla"/>
    <x v="0"/>
    <n v="19"/>
    <x v="0"/>
    <n v="0"/>
    <n v="1"/>
    <n v="350046"/>
    <n v="7.8541999999999996"/>
    <x v="2"/>
    <s v="Unknown"/>
    <s v="Unknown"/>
    <s v="Southampton"/>
    <n v="16"/>
    <s v="Not Found"/>
    <s v="Not Found"/>
    <m/>
  </r>
  <r>
    <x v="2"/>
    <x v="1"/>
    <s v="Master. Andersson Sigvard"/>
    <x v="1"/>
    <n v="4"/>
    <x v="1"/>
    <n v="2"/>
    <n v="4"/>
    <n v="347082"/>
    <n v="31.274999999999999"/>
    <x v="1"/>
    <s v="Unknown"/>
    <s v="Unknown"/>
    <s v="Southampton"/>
    <s v="Not Applicable"/>
    <s v="Not Found"/>
    <s v="Not Found"/>
    <s v="Sweden Winnipeg, MN"/>
  </r>
  <r>
    <x v="2"/>
    <x v="1"/>
    <s v="Miss. Andersson Ebba"/>
    <x v="0"/>
    <n v="6"/>
    <x v="1"/>
    <n v="2"/>
    <n v="4"/>
    <n v="347082"/>
    <n v="31.274999999999999"/>
    <x v="1"/>
    <s v="Unknown"/>
    <s v="Unknown"/>
    <s v="Southampton"/>
    <s v="Not Applicable"/>
    <s v="Not Found"/>
    <s v="Not Found"/>
    <s v="Sweden Winnipeg, MN"/>
  </r>
  <r>
    <x v="2"/>
    <x v="1"/>
    <s v="Miss. Andersson Ellis"/>
    <x v="0"/>
    <n v="2"/>
    <x v="1"/>
    <n v="2"/>
    <n v="4"/>
    <n v="347082"/>
    <n v="31.274999999999999"/>
    <x v="1"/>
    <s v="Unknown"/>
    <s v="Unknown"/>
    <s v="Southampton"/>
    <s v="Not Applicable"/>
    <s v="Not Found"/>
    <s v="Not Found"/>
    <s v="Sweden Winnipeg, MN"/>
  </r>
  <r>
    <x v="2"/>
    <x v="0"/>
    <s v="Miss. Andersson Erna"/>
    <x v="0"/>
    <n v="17"/>
    <x v="4"/>
    <n v="2"/>
    <n v="4"/>
    <n v="3101281"/>
    <n v="7.9249999999999998"/>
    <x v="2"/>
    <s v="Unknown"/>
    <s v="Unknown"/>
    <s v="Southampton"/>
    <s v="D"/>
    <s v="Not Found"/>
    <s v="Not Found"/>
    <s v="Ruotsinphyhtaa, Finland New York, NY"/>
  </r>
  <r>
    <x v="2"/>
    <x v="1"/>
    <s v="Miss. Andersson Ida"/>
    <x v="0"/>
    <n v="38"/>
    <x v="2"/>
    <n v="2"/>
    <n v="4"/>
    <n v="347091"/>
    <n v="7.7750000000000004"/>
    <x v="2"/>
    <s v="Unknown"/>
    <s v="Unknown"/>
    <s v="Southampton"/>
    <s v="Not Applicable"/>
    <s v="Not Found"/>
    <s v="Not Found"/>
    <s v="Vadsbro, Sweden Ministee, MI"/>
  </r>
  <r>
    <x v="2"/>
    <x v="1"/>
    <s v="Miss. Andersson Ingeborg"/>
    <x v="0"/>
    <n v="9"/>
    <x v="1"/>
    <n v="2"/>
    <n v="4"/>
    <n v="347082"/>
    <n v="31.274999999999999"/>
    <x v="1"/>
    <s v="Unknown"/>
    <s v="Unknown"/>
    <s v="Southampton"/>
    <s v="Not Applicable"/>
    <s v="Not Found"/>
    <s v="Not Found"/>
    <s v="Sweden Winnipeg, MN"/>
  </r>
  <r>
    <x v="2"/>
    <x v="1"/>
    <s v="Miss. Andersson Sigrid"/>
    <x v="0"/>
    <n v="11"/>
    <x v="4"/>
    <n v="2"/>
    <n v="4"/>
    <n v="347082"/>
    <n v="31.274999999999999"/>
    <x v="1"/>
    <s v="Unknown"/>
    <s v="Unknown"/>
    <s v="Southampton"/>
    <s v="Not Applicable"/>
    <s v="Not Found"/>
    <s v="Not Found"/>
    <s v="Sweden Winnipeg, MN"/>
  </r>
  <r>
    <x v="2"/>
    <x v="1"/>
    <s v="Mr. Andersson Anders"/>
    <x v="1"/>
    <n v="39"/>
    <x v="2"/>
    <n v="5"/>
    <n v="1"/>
    <n v="347082"/>
    <n v="31.274999999999999"/>
    <x v="1"/>
    <s v="Unknown"/>
    <s v="Unknown"/>
    <s v="Southampton"/>
    <s v="Not Applicable"/>
    <s v="Not Found"/>
    <s v="Not Found"/>
    <s v="Sweden Winnipeg, MN"/>
  </r>
  <r>
    <x v="2"/>
    <x v="0"/>
    <s v="Mr. Andersson August"/>
    <x v="1"/>
    <n v="27"/>
    <x v="0"/>
    <n v="0"/>
    <n v="0"/>
    <n v="350043"/>
    <n v="7.7957999999999998"/>
    <x v="2"/>
    <s v="Unknown"/>
    <s v="Unknown"/>
    <s v="Southampton"/>
    <s v="A"/>
    <s v="Not Found"/>
    <s v="Not Found"/>
    <m/>
  </r>
  <r>
    <x v="2"/>
    <x v="1"/>
    <s v="Mr. Andersson Johan"/>
    <x v="1"/>
    <n v="26"/>
    <x v="0"/>
    <n v="0"/>
    <n v="0"/>
    <n v="347075"/>
    <n v="7.7750000000000004"/>
    <x v="2"/>
    <s v="Unknown"/>
    <s v="Unknown"/>
    <s v="Southampton"/>
    <s v="Not Applicable"/>
    <s v="Not Found"/>
    <s v="Not Found"/>
    <s v="Hartford, CT"/>
  </r>
  <r>
    <x v="2"/>
    <x v="1"/>
    <s v="Mrs. Andersson Anders"/>
    <x v="0"/>
    <n v="39"/>
    <x v="2"/>
    <n v="5"/>
    <n v="1"/>
    <n v="347082"/>
    <n v="31.274999999999999"/>
    <x v="1"/>
    <s v="Unknown"/>
    <s v="Unknown"/>
    <s v="Southampton"/>
    <s v="Not Applicable"/>
    <s v="Not Found"/>
    <s v="Not Found"/>
    <s v="Sweden Winnipeg, MN"/>
  </r>
  <r>
    <x v="2"/>
    <x v="1"/>
    <s v="Mr. Andreasson Paul"/>
    <x v="1"/>
    <n v="20"/>
    <x v="0"/>
    <n v="0"/>
    <n v="0"/>
    <n v="347466"/>
    <n v="7.8541999999999996"/>
    <x v="2"/>
    <s v="Unknown"/>
    <s v="Unknown"/>
    <s v="Southampton"/>
    <s v="Not Applicable"/>
    <s v="Not Found"/>
    <s v="Not Found"/>
    <s v="Sweden Chicago, IL"/>
  </r>
  <r>
    <x v="2"/>
    <x v="1"/>
    <s v="Mr. Angheloff Minko"/>
    <x v="1"/>
    <n v="26"/>
    <x v="0"/>
    <n v="0"/>
    <n v="0"/>
    <n v="349202"/>
    <n v="7.8958000000000004"/>
    <x v="2"/>
    <s v="Unknown"/>
    <s v="Unknown"/>
    <s v="Southampton"/>
    <s v="Not Applicable"/>
    <s v="Not Found"/>
    <s v="Not Found"/>
    <s v="Bulgaria Chicago, IL"/>
  </r>
  <r>
    <x v="2"/>
    <x v="1"/>
    <s v="Mr. Arnold-Franchi Josef"/>
    <x v="1"/>
    <n v="25"/>
    <x v="0"/>
    <n v="0"/>
    <n v="1"/>
    <n v="349237"/>
    <n v="17.8"/>
    <x v="1"/>
    <s v="Unknown"/>
    <s v="Unknown"/>
    <s v="Southampton"/>
    <s v="Not Applicable"/>
    <s v="Not Found"/>
    <s v="Not Found"/>
    <s v="Altdorf, Switzerland"/>
  </r>
  <r>
    <x v="2"/>
    <x v="1"/>
    <s v="Mrs. Arnold-Franchi Josef"/>
    <x v="0"/>
    <n v="18"/>
    <x v="0"/>
    <n v="0"/>
    <n v="1"/>
    <n v="349237"/>
    <n v="17.8"/>
    <x v="1"/>
    <s v="Unknown"/>
    <s v="Unknown"/>
    <s v="Southampton"/>
    <s v="Not Applicable"/>
    <s v="Not Found"/>
    <s v="Not Found"/>
    <s v="Altdorf, Switzerland"/>
  </r>
  <r>
    <x v="2"/>
    <x v="1"/>
    <s v="Mr. Aronsson Ernst"/>
    <x v="1"/>
    <n v="24"/>
    <x v="0"/>
    <n v="0"/>
    <n v="0"/>
    <n v="349911"/>
    <n v="7.7750000000000004"/>
    <x v="2"/>
    <s v="Unknown"/>
    <s v="Unknown"/>
    <s v="Southampton"/>
    <s v="Not Applicable"/>
    <s v="Not Found"/>
    <s v="Not Found"/>
    <s v="Sweden Joliet, IL"/>
  </r>
  <r>
    <x v="2"/>
    <x v="1"/>
    <s v="Mr. Asim Adola"/>
    <x v="1"/>
    <n v="35"/>
    <x v="2"/>
    <n v="0"/>
    <n v="0"/>
    <s v="SOTON/O.Q. 3101310"/>
    <n v="7.05"/>
    <x v="2"/>
    <s v="Unknown"/>
    <s v="Unknown"/>
    <s v="Southampton"/>
    <s v="Not Applicable"/>
    <s v="Not Found"/>
    <s v="Not Found"/>
    <m/>
  </r>
  <r>
    <x v="2"/>
    <x v="1"/>
    <s v="Master. Asplund Carl"/>
    <x v="1"/>
    <n v="5"/>
    <x v="1"/>
    <n v="2"/>
    <n v="4"/>
    <n v="347077"/>
    <n v="31.387499999999999"/>
    <x v="1"/>
    <s v="Unknown"/>
    <s v="Unknown"/>
    <s v="Southampton"/>
    <s v="Not Applicable"/>
    <s v="Not Found"/>
    <s v="Not Found"/>
    <s v="Sweden  Worcester, MA"/>
  </r>
  <r>
    <x v="2"/>
    <x v="1"/>
    <s v="Master. Asplund Clarence"/>
    <x v="1"/>
    <n v="9"/>
    <x v="1"/>
    <n v="2"/>
    <n v="4"/>
    <n v="347077"/>
    <n v="31.387499999999999"/>
    <x v="1"/>
    <s v="Unknown"/>
    <s v="Unknown"/>
    <s v="Southampton"/>
    <s v="Not Applicable"/>
    <s v="Not Found"/>
    <s v="Not Found"/>
    <s v="Sweden Worcester, MA"/>
  </r>
  <r>
    <x v="2"/>
    <x v="0"/>
    <s v="Master. Asplund Edvin"/>
    <x v="1"/>
    <n v="3"/>
    <x v="1"/>
    <n v="2"/>
    <n v="4"/>
    <n v="347077"/>
    <n v="31.387499999999999"/>
    <x v="1"/>
    <s v="Unknown"/>
    <s v="Unknown"/>
    <s v="Southampton"/>
    <n v="15"/>
    <s v="Not Found"/>
    <s v="Not Found"/>
    <s v="Sweden Worcester, MA"/>
  </r>
  <r>
    <x v="2"/>
    <x v="1"/>
    <s v="Master. Asplund Filip"/>
    <x v="1"/>
    <n v="13"/>
    <x v="4"/>
    <n v="2"/>
    <n v="4"/>
    <n v="347077"/>
    <n v="31.387499999999999"/>
    <x v="1"/>
    <s v="Unknown"/>
    <s v="Unknown"/>
    <s v="Southampton"/>
    <s v="Not Applicable"/>
    <s v="Not Found"/>
    <s v="Not Found"/>
    <s v="Sweden Worcester, MA"/>
  </r>
  <r>
    <x v="2"/>
    <x v="0"/>
    <s v="Miss. Asplund Lillian"/>
    <x v="0"/>
    <n v="5"/>
    <x v="1"/>
    <n v="2"/>
    <n v="4"/>
    <n v="347077"/>
    <n v="31.387499999999999"/>
    <x v="1"/>
    <s v="Unknown"/>
    <s v="Unknown"/>
    <s v="Southampton"/>
    <n v="15"/>
    <s v="Not Found"/>
    <s v="Not Found"/>
    <s v="Sweden Worcester, MA"/>
  </r>
  <r>
    <x v="2"/>
    <x v="1"/>
    <s v="Mr. Asplund Carl"/>
    <x v="1"/>
    <n v="40"/>
    <x v="2"/>
    <n v="5"/>
    <n v="1"/>
    <n v="347077"/>
    <n v="31.387499999999999"/>
    <x v="1"/>
    <s v="Unknown"/>
    <s v="Unknown"/>
    <s v="Southampton"/>
    <s v="Not Applicable"/>
    <n v="142"/>
    <s v="Found"/>
    <s v="Sweden  Worcester, MA"/>
  </r>
  <r>
    <x v="2"/>
    <x v="0"/>
    <s v="Mr. Asplund Johan"/>
    <x v="1"/>
    <n v="23"/>
    <x v="0"/>
    <n v="0"/>
    <n v="0"/>
    <n v="350054"/>
    <n v="7.7957999999999998"/>
    <x v="2"/>
    <s v="Unknown"/>
    <s v="Unknown"/>
    <s v="Southampton"/>
    <n v="13"/>
    <s v="Not Found"/>
    <s v="Not Found"/>
    <s v="Oskarshamn, Sweden Minneapolis, MN"/>
  </r>
  <r>
    <x v="2"/>
    <x v="0"/>
    <s v="Mrs. Asplund Carl"/>
    <x v="0"/>
    <n v="38"/>
    <x v="2"/>
    <n v="5"/>
    <n v="1"/>
    <n v="347077"/>
    <n v="31.387499999999999"/>
    <x v="1"/>
    <s v="Unknown"/>
    <s v="Unknown"/>
    <s v="Southampton"/>
    <n v="15"/>
    <s v="Not Found"/>
    <s v="Not Found"/>
    <s v="Sweden  Worcester, MA"/>
  </r>
  <r>
    <x v="2"/>
    <x v="0"/>
    <s v="Khalil Assaf Mrs."/>
    <x v="0"/>
    <n v="45"/>
    <x v="2"/>
    <n v="0"/>
    <n v="0"/>
    <n v="2696"/>
    <n v="7.2249999999999996"/>
    <x v="2"/>
    <s v="Unknown"/>
    <s v="Unknown"/>
    <s v="Cherbourg"/>
    <s v="C"/>
    <s v="Not Found"/>
    <s v="Not Found"/>
    <s v="Ottawa, ON"/>
  </r>
  <r>
    <x v="2"/>
    <x v="1"/>
    <s v="Mr. Assaf Gerios"/>
    <x v="1"/>
    <n v="21"/>
    <x v="0"/>
    <n v="0"/>
    <n v="0"/>
    <n v="2692"/>
    <n v="7.2249999999999996"/>
    <x v="2"/>
    <s v="Unknown"/>
    <s v="Unknown"/>
    <s v="Cherbourg"/>
    <s v="Not Applicable"/>
    <s v="Not Found"/>
    <s v="Not Found"/>
    <s v="Ottawa, ON"/>
  </r>
  <r>
    <x v="2"/>
    <x v="1"/>
    <s v="Mr. Assam Ali"/>
    <x v="1"/>
    <n v="23"/>
    <x v="0"/>
    <n v="0"/>
    <n v="0"/>
    <s v="SOTON/O.Q. 3101309"/>
    <n v="7.05"/>
    <x v="2"/>
    <s v="Unknown"/>
    <s v="Unknown"/>
    <s v="Southampton"/>
    <s v="Not Applicable"/>
    <s v="Not Found"/>
    <s v="Not Found"/>
    <m/>
  </r>
  <r>
    <x v="2"/>
    <x v="1"/>
    <s v="Miss. Attalah Malake"/>
    <x v="0"/>
    <n v="17"/>
    <x v="4"/>
    <n v="0"/>
    <n v="0"/>
    <n v="2627"/>
    <n v="14.458299999999999"/>
    <x v="1"/>
    <s v="Unknown"/>
    <s v="Unknown"/>
    <s v="Cherbourg"/>
    <s v="Not Applicable"/>
    <s v="Not Found"/>
    <s v="Not Found"/>
    <m/>
  </r>
  <r>
    <x v="2"/>
    <x v="1"/>
    <s v="Mr. Attalah Sleiman"/>
    <x v="1"/>
    <n v="30"/>
    <x v="2"/>
    <n v="0"/>
    <n v="0"/>
    <n v="2694"/>
    <n v="7.2249999999999996"/>
    <x v="2"/>
    <s v="Unknown"/>
    <s v="Unknown"/>
    <s v="Cherbourg"/>
    <s v="Not Applicable"/>
    <s v="Not Found"/>
    <s v="Not Found"/>
    <s v="Ottawa, ON"/>
  </r>
  <r>
    <x v="2"/>
    <x v="1"/>
    <s v="Mr. Augustsson Albert"/>
    <x v="1"/>
    <n v="23"/>
    <x v="0"/>
    <n v="0"/>
    <n v="0"/>
    <n v="347468"/>
    <n v="7.8541999999999996"/>
    <x v="2"/>
    <s v="Unknown"/>
    <s v="Unknown"/>
    <s v="Southampton"/>
    <s v="Not Applicable"/>
    <s v="Not Found"/>
    <s v="Not Found"/>
    <s v="Krakoryd, Sweden Bloomington, IL"/>
  </r>
  <r>
    <x v="2"/>
    <x v="0"/>
    <s v="Miss. Ayoub Banoura"/>
    <x v="0"/>
    <n v="13"/>
    <x v="4"/>
    <n v="0"/>
    <n v="0"/>
    <n v="2687"/>
    <n v="7.2291999999999996"/>
    <x v="2"/>
    <s v="Unknown"/>
    <s v="Unknown"/>
    <s v="Cherbourg"/>
    <s v="C"/>
    <s v="Not Found"/>
    <s v="Not Found"/>
    <s v="Syria Youngstown, OH"/>
  </r>
  <r>
    <x v="2"/>
    <x v="1"/>
    <s v="Mr. Baccos Raffull"/>
    <x v="1"/>
    <n v="20"/>
    <x v="0"/>
    <n v="0"/>
    <n v="0"/>
    <n v="2679"/>
    <n v="7.2249999999999996"/>
    <x v="2"/>
    <s v="Unknown"/>
    <s v="Unknown"/>
    <s v="Cherbourg"/>
    <s v="Not Applicable"/>
    <s v="Not Found"/>
    <s v="Not Found"/>
    <m/>
  </r>
  <r>
    <x v="2"/>
    <x v="1"/>
    <s v="Mr. Backstrom Karl"/>
    <x v="1"/>
    <n v="32"/>
    <x v="2"/>
    <n v="0"/>
    <n v="1"/>
    <n v="3101278"/>
    <n v="15.85"/>
    <x v="1"/>
    <s v="Unknown"/>
    <s v="Unknown"/>
    <s v="Southampton"/>
    <s v="D"/>
    <s v="Not Found"/>
    <s v="Not Found"/>
    <s v="Ruotsinphytaa, Finland New York, NY"/>
  </r>
  <r>
    <x v="2"/>
    <x v="0"/>
    <s v="Mrs. Backstrom Karl"/>
    <x v="0"/>
    <n v="33"/>
    <x v="2"/>
    <n v="0"/>
    <n v="3"/>
    <n v="3101278"/>
    <n v="15.85"/>
    <x v="1"/>
    <s v="Unknown"/>
    <s v="Unknown"/>
    <s v="Southampton"/>
    <s v="Not Applicable"/>
    <s v="Not Found"/>
    <s v="Not Found"/>
    <s v="Ruotsinphytaa, Finland New York, NY"/>
  </r>
  <r>
    <x v="2"/>
    <x v="0"/>
    <s v="Miss. Baclini Eugenie"/>
    <x v="0"/>
    <n v="1"/>
    <x v="1"/>
    <n v="1"/>
    <n v="2"/>
    <n v="2666"/>
    <n v="19.258299999999998"/>
    <x v="1"/>
    <s v="Unknown"/>
    <s v="Unknown"/>
    <s v="Cherbourg"/>
    <s v="C"/>
    <s v="Not Found"/>
    <s v="Not Found"/>
    <s v="Syria New York, NY"/>
  </r>
  <r>
    <x v="2"/>
    <x v="0"/>
    <s v="Miss. Baclini Helene"/>
    <x v="0"/>
    <n v="1"/>
    <x v="1"/>
    <n v="1"/>
    <n v="2"/>
    <n v="2666"/>
    <n v="19.258299999999998"/>
    <x v="1"/>
    <s v="Unknown"/>
    <s v="Unknown"/>
    <s v="Cherbourg"/>
    <s v="C"/>
    <s v="Not Found"/>
    <s v="Not Found"/>
    <s v="Syria New York, NY"/>
  </r>
  <r>
    <x v="2"/>
    <x v="0"/>
    <s v="Miss. Baclini Marie"/>
    <x v="0"/>
    <n v="5"/>
    <x v="1"/>
    <n v="1"/>
    <n v="2"/>
    <n v="2666"/>
    <n v="19.258299999999998"/>
    <x v="1"/>
    <s v="Unknown"/>
    <s v="Unknown"/>
    <s v="Cherbourg"/>
    <s v="C"/>
    <s v="Not Found"/>
    <s v="Not Found"/>
    <s v="Syria New York, NY"/>
  </r>
  <r>
    <x v="2"/>
    <x v="0"/>
    <s v="Mrs. Baclini Solomon"/>
    <x v="0"/>
    <n v="24"/>
    <x v="0"/>
    <n v="3"/>
    <n v="0"/>
    <n v="2666"/>
    <n v="19.258299999999998"/>
    <x v="1"/>
    <s v="Unknown"/>
    <s v="Unknown"/>
    <s v="Cherbourg"/>
    <s v="C"/>
    <s v="Not Found"/>
    <s v="Not Found"/>
    <s v="Syria New York, NY"/>
  </r>
  <r>
    <x v="2"/>
    <x v="0"/>
    <s v="Miss. Badman Emily"/>
    <x v="0"/>
    <n v="18"/>
    <x v="0"/>
    <n v="0"/>
    <n v="0"/>
    <s v="A/4 31416"/>
    <n v="8.0500000000000007"/>
    <x v="2"/>
    <s v="Unknown"/>
    <s v="Unknown"/>
    <s v="Southampton"/>
    <s v="C"/>
    <s v="Not Found"/>
    <s v="Not Found"/>
    <s v="London Skanteales, NY"/>
  </r>
  <r>
    <x v="2"/>
    <x v="1"/>
    <s v="Mr. Badt Mohamed"/>
    <x v="1"/>
    <n v="40"/>
    <x v="2"/>
    <n v="0"/>
    <n v="0"/>
    <n v="2623"/>
    <n v="7.2249999999999996"/>
    <x v="2"/>
    <s v="Unknown"/>
    <s v="Unknown"/>
    <s v="Cherbourg"/>
    <s v="Not Applicable"/>
    <s v="Not Found"/>
    <s v="Not Found"/>
    <m/>
  </r>
  <r>
    <x v="2"/>
    <x v="1"/>
    <s v="Mr. Balkic Cerin"/>
    <x v="1"/>
    <n v="26"/>
    <x v="0"/>
    <n v="0"/>
    <n v="0"/>
    <n v="349248"/>
    <n v="7.8958000000000004"/>
    <x v="2"/>
    <s v="Unknown"/>
    <s v="Unknown"/>
    <s v="Southampton"/>
    <s v="Not Applicable"/>
    <s v="Not Found"/>
    <s v="Not Found"/>
    <m/>
  </r>
  <r>
    <x v="2"/>
    <x v="0"/>
    <s v="Mr. Barah Hanna"/>
    <x v="1"/>
    <n v="20"/>
    <x v="0"/>
    <n v="0"/>
    <n v="0"/>
    <n v="2663"/>
    <n v="7.2291999999999996"/>
    <x v="2"/>
    <s v="Unknown"/>
    <s v="Unknown"/>
    <s v="Cherbourg"/>
    <n v="15"/>
    <s v="Not Found"/>
    <s v="Not Found"/>
    <m/>
  </r>
  <r>
    <x v="2"/>
    <x v="1"/>
    <s v="Miss. Barbara Saiide"/>
    <x v="0"/>
    <n v="18"/>
    <x v="0"/>
    <n v="1"/>
    <n v="0"/>
    <n v="2691"/>
    <n v="14.4542"/>
    <x v="1"/>
    <s v="Unknown"/>
    <s v="Unknown"/>
    <s v="Cherbourg"/>
    <s v="Not Applicable"/>
    <s v="Not Found"/>
    <s v="Not Found"/>
    <s v="Syria Ottawa, ON"/>
  </r>
  <r>
    <x v="2"/>
    <x v="1"/>
    <s v="Mrs. Barbara (Catherine"/>
    <x v="0"/>
    <n v="45"/>
    <x v="2"/>
    <n v="1"/>
    <n v="0"/>
    <n v="2691"/>
    <n v="14.4542"/>
    <x v="1"/>
    <s v="Unknown"/>
    <s v="Unknown"/>
    <s v="Cherbourg"/>
    <s v="Not Applicable"/>
    <s v="Not Found"/>
    <s v="Not Found"/>
    <s v="Syria Ottawa, ON"/>
  </r>
  <r>
    <x v="2"/>
    <x v="1"/>
    <s v="Miss. Barry Julia"/>
    <x v="0"/>
    <n v="27"/>
    <x v="0"/>
    <n v="0"/>
    <n v="0"/>
    <n v="330844"/>
    <n v="7.8792"/>
    <x v="2"/>
    <s v="Unknown"/>
    <s v="Unknown"/>
    <s v="Queenstown"/>
    <s v="Not Applicable"/>
    <s v="Not Found"/>
    <s v="Not Found"/>
    <s v="New York, NY"/>
  </r>
  <r>
    <x v="2"/>
    <x v="1"/>
    <s v="Mr. Barton David"/>
    <x v="1"/>
    <n v="22"/>
    <x v="0"/>
    <n v="0"/>
    <n v="0"/>
    <n v="324669"/>
    <n v="8.0500000000000007"/>
    <x v="2"/>
    <s v="Unknown"/>
    <s v="Unknown"/>
    <s v="Southampton"/>
    <s v="Not Applicable"/>
    <s v="Not Found"/>
    <s v="Not Found"/>
    <s v="England New York, NY"/>
  </r>
  <r>
    <x v="2"/>
    <x v="1"/>
    <s v="Mr. Beavan William"/>
    <x v="1"/>
    <n v="19"/>
    <x v="0"/>
    <n v="0"/>
    <n v="0"/>
    <n v="323951"/>
    <n v="8.0500000000000007"/>
    <x v="2"/>
    <s v="Unknown"/>
    <s v="Unknown"/>
    <s v="Southampton"/>
    <s v="Not Applicable"/>
    <s v="Not Found"/>
    <s v="Not Found"/>
    <s v="England"/>
  </r>
  <r>
    <x v="2"/>
    <x v="1"/>
    <s v="Mr. Bengtsson John"/>
    <x v="1"/>
    <n v="26"/>
    <x v="0"/>
    <n v="0"/>
    <n v="0"/>
    <n v="347068"/>
    <n v="7.7750000000000004"/>
    <x v="2"/>
    <s v="Unknown"/>
    <s v="Unknown"/>
    <s v="Southampton"/>
    <s v="Not Applicable"/>
    <s v="Not Found"/>
    <s v="Not Found"/>
    <s v="Krakudden, Sweden Moune, IL"/>
  </r>
  <r>
    <x v="2"/>
    <x v="1"/>
    <s v="Mr. Berglund Karl"/>
    <x v="1"/>
    <n v="22"/>
    <x v="0"/>
    <n v="0"/>
    <n v="0"/>
    <s v="PP 4348"/>
    <n v="9.35"/>
    <x v="2"/>
    <s v="Unknown"/>
    <s v="Unknown"/>
    <s v="Southampton"/>
    <s v="Not Applicable"/>
    <s v="Not Found"/>
    <s v="Not Found"/>
    <s v="Tranvik, Finland New York"/>
  </r>
  <r>
    <x v="2"/>
    <x v="1"/>
    <s v="Master. Betros Seman"/>
    <x v="1"/>
    <n v="28"/>
    <x v="0"/>
    <n v="0"/>
    <n v="0"/>
    <n v="2622"/>
    <n v="7.2291999999999996"/>
    <x v="2"/>
    <s v="Unknown"/>
    <s v="Unknown"/>
    <s v="Cherbourg"/>
    <s v="Not Applicable"/>
    <s v="Not Found"/>
    <s v="Not Found"/>
    <m/>
  </r>
  <r>
    <x v="2"/>
    <x v="1"/>
    <s v="Mr. Betros Tannous"/>
    <x v="1"/>
    <n v="20"/>
    <x v="0"/>
    <n v="0"/>
    <n v="0"/>
    <n v="2648"/>
    <n v="4.0125000000000002"/>
    <x v="2"/>
    <s v="Unknown"/>
    <s v="Unknown"/>
    <s v="Cherbourg"/>
    <s v="Not Applicable"/>
    <s v="Not Found"/>
    <s v="Not Found"/>
    <s v="Syria"/>
  </r>
  <r>
    <x v="2"/>
    <x v="0"/>
    <s v="Mr. Bing Lee"/>
    <x v="1"/>
    <n v="32"/>
    <x v="2"/>
    <n v="0"/>
    <n v="0"/>
    <n v="1601"/>
    <n v="56.495800000000003"/>
    <x v="0"/>
    <s v="Unknown"/>
    <s v="Unknown"/>
    <s v="Southampton"/>
    <s v="C"/>
    <s v="Not Found"/>
    <s v="Not Found"/>
    <s v="Hong Kong New York, NY"/>
  </r>
  <r>
    <x v="2"/>
    <x v="1"/>
    <s v="Mr. Birkeland Hans"/>
    <x v="1"/>
    <n v="21"/>
    <x v="0"/>
    <n v="0"/>
    <n v="0"/>
    <n v="312992"/>
    <n v="7.7750000000000004"/>
    <x v="2"/>
    <s v="Unknown"/>
    <s v="Unknown"/>
    <s v="Southampton"/>
    <s v="Not Applicable"/>
    <s v="Not Found"/>
    <s v="Not Found"/>
    <s v="Brennes, Norway New York"/>
  </r>
  <r>
    <x v="2"/>
    <x v="1"/>
    <s v="Mr. Bjorklund Ernst"/>
    <x v="1"/>
    <n v="18"/>
    <x v="0"/>
    <n v="0"/>
    <n v="0"/>
    <n v="347090"/>
    <n v="7.75"/>
    <x v="2"/>
    <s v="Unknown"/>
    <s v="Unknown"/>
    <s v="Southampton"/>
    <s v="Not Applicable"/>
    <s v="Not Found"/>
    <s v="Not Found"/>
    <s v="Stockholm, Sweden New York"/>
  </r>
  <r>
    <x v="2"/>
    <x v="1"/>
    <s v="Mr. Bostandyeff Guentcho"/>
    <x v="1"/>
    <n v="26"/>
    <x v="0"/>
    <n v="0"/>
    <n v="0"/>
    <n v="349224"/>
    <n v="7.8958000000000004"/>
    <x v="2"/>
    <s v="Unknown"/>
    <s v="Unknown"/>
    <s v="Southampton"/>
    <s v="Not Applicable"/>
    <s v="Not Found"/>
    <s v="Not Found"/>
    <s v="Bulgaria Chicago, IL"/>
  </r>
  <r>
    <x v="2"/>
    <x v="1"/>
    <s v="Master. Boulos Akar"/>
    <x v="1"/>
    <n v="6"/>
    <x v="1"/>
    <n v="1"/>
    <n v="1"/>
    <n v="2678"/>
    <n v="15.245799999999999"/>
    <x v="1"/>
    <s v="Unknown"/>
    <s v="Unknown"/>
    <s v="Cherbourg"/>
    <s v="Not Applicable"/>
    <s v="Not Found"/>
    <s v="Not Found"/>
    <s v="Syria Kent, ON"/>
  </r>
  <r>
    <x v="2"/>
    <x v="1"/>
    <s v="Miss. Boulos Nourelain"/>
    <x v="0"/>
    <n v="9"/>
    <x v="1"/>
    <n v="1"/>
    <n v="1"/>
    <n v="2678"/>
    <n v="15.245799999999999"/>
    <x v="1"/>
    <s v="Unknown"/>
    <s v="Unknown"/>
    <s v="Cherbourg"/>
    <s v="Not Applicable"/>
    <s v="Not Found"/>
    <s v="Not Found"/>
    <s v="Syria Kent, ON"/>
  </r>
  <r>
    <x v="2"/>
    <x v="1"/>
    <s v="Mr. Boulos Hanna"/>
    <x v="1"/>
    <n v="28"/>
    <x v="0"/>
    <n v="0"/>
    <n v="0"/>
    <n v="2664"/>
    <n v="7.2249999999999996"/>
    <x v="2"/>
    <s v="Unknown"/>
    <s v="Unknown"/>
    <s v="Cherbourg"/>
    <s v="Not Applicable"/>
    <s v="Not Found"/>
    <s v="Not Found"/>
    <s v="Syria"/>
  </r>
  <r>
    <x v="2"/>
    <x v="1"/>
    <s v="Mrs. Boulos Joseph"/>
    <x v="0"/>
    <n v="28"/>
    <x v="0"/>
    <n v="2"/>
    <n v="0"/>
    <n v="2678"/>
    <n v="15.245799999999999"/>
    <x v="1"/>
    <s v="Unknown"/>
    <s v="Unknown"/>
    <s v="Cherbourg"/>
    <s v="Not Applicable"/>
    <s v="Not Found"/>
    <s v="Not Found"/>
    <s v="Syria Kent, ON"/>
  </r>
  <r>
    <x v="2"/>
    <x v="1"/>
    <s v="Miss. Bourke Mary"/>
    <x v="0"/>
    <n v="28"/>
    <x v="0"/>
    <n v="2"/>
    <n v="0"/>
    <n v="364848"/>
    <n v="7.75"/>
    <x v="2"/>
    <s v="Unknown"/>
    <s v="Unknown"/>
    <s v="Queenstown"/>
    <s v="Not Applicable"/>
    <s v="Not Found"/>
    <s v="Not Found"/>
    <s v="Ireland Chicago, IL"/>
  </r>
  <r>
    <x v="2"/>
    <x v="1"/>
    <s v="Mr. Bourke John"/>
    <x v="1"/>
    <n v="40"/>
    <x v="2"/>
    <n v="1"/>
    <n v="1"/>
    <n v="364849"/>
    <n v="15.5"/>
    <x v="1"/>
    <s v="Unknown"/>
    <s v="Unknown"/>
    <s v="Queenstown"/>
    <s v="Not Applicable"/>
    <s v="Not Found"/>
    <s v="Not Found"/>
    <s v="Ireland Chicago, IL"/>
  </r>
  <r>
    <x v="2"/>
    <x v="1"/>
    <s v="Mrs. Bourke John"/>
    <x v="0"/>
    <n v="32"/>
    <x v="2"/>
    <n v="1"/>
    <n v="1"/>
    <n v="364849"/>
    <n v="15.5"/>
    <x v="1"/>
    <s v="Unknown"/>
    <s v="Unknown"/>
    <s v="Queenstown"/>
    <s v="Not Applicable"/>
    <s v="Not Found"/>
    <s v="Not Found"/>
    <s v="Ireland Chicago, IL"/>
  </r>
  <r>
    <x v="2"/>
    <x v="1"/>
    <s v="Mr. Bowen David"/>
    <x v="1"/>
    <n v="21"/>
    <x v="0"/>
    <n v="0"/>
    <n v="0"/>
    <n v="54636"/>
    <n v="16.100000000000001"/>
    <x v="1"/>
    <s v="Unknown"/>
    <s v="Unknown"/>
    <s v="Southampton"/>
    <s v="Not Applicable"/>
    <s v="Not Found"/>
    <s v="Not Found"/>
    <s v="Treherbert, Cardiff, Wales"/>
  </r>
  <r>
    <x v="2"/>
    <x v="0"/>
    <s v="Miss. Bradley Bridget"/>
    <x v="0"/>
    <n v="22"/>
    <x v="0"/>
    <n v="0"/>
    <n v="0"/>
    <n v="334914"/>
    <n v="7.7249999999999996"/>
    <x v="2"/>
    <s v="Unknown"/>
    <s v="Unknown"/>
    <s v="Queenstown"/>
    <n v="13"/>
    <s v="Not Found"/>
    <s v="Not Found"/>
    <s v="Kingwilliamstown, Co Cork, Ireland Glens Falls, NY"/>
  </r>
  <r>
    <x v="2"/>
    <x v="1"/>
    <s v="Miss. Braf Elin"/>
    <x v="0"/>
    <n v="20"/>
    <x v="0"/>
    <n v="0"/>
    <n v="0"/>
    <n v="347471"/>
    <n v="7.8541999999999996"/>
    <x v="2"/>
    <s v="Unknown"/>
    <s v="Unknown"/>
    <s v="Southampton"/>
    <s v="Not Applicable"/>
    <s v="Not Found"/>
    <s v="Not Found"/>
    <s v="Medeltorp, Sweden Chicago, IL"/>
  </r>
  <r>
    <x v="2"/>
    <x v="1"/>
    <s v="Mr. Braund Lewis"/>
    <x v="1"/>
    <n v="29"/>
    <x v="0"/>
    <n v="0"/>
    <n v="1"/>
    <n v="3460"/>
    <n v="7.0457999999999998"/>
    <x v="2"/>
    <s v="Unknown"/>
    <s v="Unknown"/>
    <s v="Southampton"/>
    <s v="Not Applicable"/>
    <s v="Not Found"/>
    <s v="Not Found"/>
    <s v="Bridgerule, Devon"/>
  </r>
  <r>
    <x v="2"/>
    <x v="1"/>
    <s v="Mr. Braund Owen"/>
    <x v="1"/>
    <n v="22"/>
    <x v="0"/>
    <n v="0"/>
    <n v="1"/>
    <s v="A/5 21171"/>
    <n v="7.25"/>
    <x v="2"/>
    <s v="Unknown"/>
    <s v="Unknown"/>
    <s v="Southampton"/>
    <s v="Not Applicable"/>
    <s v="Not Found"/>
    <s v="Not Found"/>
    <s v="Bridgerule, Devon"/>
  </r>
  <r>
    <x v="2"/>
    <x v="1"/>
    <s v="Mr. Brobeck Karl"/>
    <x v="1"/>
    <n v="22"/>
    <x v="0"/>
    <n v="0"/>
    <n v="0"/>
    <n v="350045"/>
    <n v="7.7957999999999998"/>
    <x v="2"/>
    <s v="Unknown"/>
    <s v="Unknown"/>
    <s v="Southampton"/>
    <s v="Not Applicable"/>
    <s v="Not Found"/>
    <s v="Not Found"/>
    <s v="Sweden Worcester, MA"/>
  </r>
  <r>
    <x v="2"/>
    <x v="1"/>
    <s v="Mr. Brocklebank William"/>
    <x v="1"/>
    <n v="35"/>
    <x v="2"/>
    <n v="0"/>
    <n v="0"/>
    <n v="364512"/>
    <n v="8.0500000000000007"/>
    <x v="2"/>
    <s v="Unknown"/>
    <s v="Unknown"/>
    <s v="Southampton"/>
    <s v="Not Applicable"/>
    <s v="Not Found"/>
    <s v="Not Found"/>
    <s v="Broomfield, Chelmsford, England"/>
  </r>
  <r>
    <x v="2"/>
    <x v="1"/>
    <s v="Miss. Buckley Katherine"/>
    <x v="0"/>
    <n v="19"/>
    <x v="0"/>
    <n v="0"/>
    <n v="0"/>
    <n v="329944"/>
    <n v="7.2832999999999997"/>
    <x v="2"/>
    <s v="Unknown"/>
    <s v="Unknown"/>
    <s v="Queenstown"/>
    <s v="Not Applicable"/>
    <n v="299"/>
    <s v="Found"/>
    <s v="Co Cork, Ireland Roxbury, MA"/>
  </r>
  <r>
    <x v="2"/>
    <x v="0"/>
    <s v="Mr. Buckley Daniel"/>
    <x v="1"/>
    <n v="21"/>
    <x v="0"/>
    <n v="0"/>
    <n v="0"/>
    <n v="330920"/>
    <n v="7.8208000000000002"/>
    <x v="2"/>
    <s v="Unknown"/>
    <s v="Unknown"/>
    <s v="Queenstown"/>
    <n v="13"/>
    <s v="Not Found"/>
    <s v="Not Found"/>
    <s v="Kingwilliamstown, Co Cork, Ireland New York, NY"/>
  </r>
  <r>
    <x v="2"/>
    <x v="1"/>
    <s v="Mr. Burke Jeremiah"/>
    <x v="1"/>
    <n v="19"/>
    <x v="0"/>
    <n v="0"/>
    <n v="0"/>
    <n v="365222"/>
    <n v="6.75"/>
    <x v="2"/>
    <s v="Unknown"/>
    <s v="Unknown"/>
    <s v="Queenstown"/>
    <s v="Not Applicable"/>
    <s v="Not Found"/>
    <s v="Not Found"/>
    <s v="Co Cork, Ireland Charlestown, MA"/>
  </r>
  <r>
    <x v="2"/>
    <x v="1"/>
    <s v="Miss. Burns Mary"/>
    <x v="0"/>
    <n v="18"/>
    <x v="0"/>
    <n v="0"/>
    <n v="0"/>
    <n v="330963"/>
    <n v="7.8792"/>
    <x v="2"/>
    <s v="Unknown"/>
    <s v="Unknown"/>
    <s v="Queenstown"/>
    <s v="Not Applicable"/>
    <s v="Not Found"/>
    <s v="Not Found"/>
    <s v="Co Sligo, Ireland New York, NY"/>
  </r>
  <r>
    <x v="2"/>
    <x v="1"/>
    <s v="Miss. Cacic Manda"/>
    <x v="0"/>
    <n v="21"/>
    <x v="0"/>
    <n v="0"/>
    <n v="0"/>
    <n v="315087"/>
    <n v="8.6624999999999996"/>
    <x v="2"/>
    <s v="Unknown"/>
    <s v="Unknown"/>
    <s v="Southampton"/>
    <s v="Not Applicable"/>
    <s v="Not Found"/>
    <s v="Not Found"/>
    <m/>
  </r>
  <r>
    <x v="2"/>
    <x v="1"/>
    <s v="Miss. Cacic Marija"/>
    <x v="0"/>
    <n v="30"/>
    <x v="2"/>
    <n v="0"/>
    <n v="0"/>
    <n v="315084"/>
    <n v="8.6624999999999996"/>
    <x v="2"/>
    <s v="Unknown"/>
    <s v="Unknown"/>
    <s v="Southampton"/>
    <s v="Not Applicable"/>
    <s v="Not Found"/>
    <s v="Not Found"/>
    <m/>
  </r>
  <r>
    <x v="2"/>
    <x v="1"/>
    <s v="Mr. Cacic Jego"/>
    <x v="1"/>
    <n v="18"/>
    <x v="0"/>
    <n v="0"/>
    <n v="0"/>
    <n v="315091"/>
    <n v="8.6624999999999996"/>
    <x v="2"/>
    <s v="Unknown"/>
    <s v="Unknown"/>
    <s v="Southampton"/>
    <s v="Not Applicable"/>
    <s v="Not Found"/>
    <s v="Not Found"/>
    <m/>
  </r>
  <r>
    <x v="2"/>
    <x v="1"/>
    <s v="Mr. Cacic Luka"/>
    <x v="1"/>
    <n v="38"/>
    <x v="2"/>
    <n v="0"/>
    <n v="0"/>
    <n v="315089"/>
    <n v="8.6624999999999996"/>
    <x v="2"/>
    <s v="Unknown"/>
    <s v="Unknown"/>
    <s v="Southampton"/>
    <s v="Not Applicable"/>
    <s v="Not Found"/>
    <s v="Not Found"/>
    <s v="Croatia"/>
  </r>
  <r>
    <x v="2"/>
    <x v="1"/>
    <s v="Mr. Calic Jovo"/>
    <x v="1"/>
    <n v="17"/>
    <x v="4"/>
    <n v="0"/>
    <n v="0"/>
    <n v="315093"/>
    <n v="8.6624999999999996"/>
    <x v="2"/>
    <s v="Unknown"/>
    <s v="Unknown"/>
    <s v="Southampton"/>
    <s v="Not Applicable"/>
    <s v="Not Found"/>
    <s v="Not Found"/>
    <m/>
  </r>
  <r>
    <x v="2"/>
    <x v="1"/>
    <s v="Mr. Calic Petar"/>
    <x v="1"/>
    <n v="17"/>
    <x v="4"/>
    <n v="0"/>
    <n v="0"/>
    <n v="315086"/>
    <n v="8.6624999999999996"/>
    <x v="2"/>
    <s v="Unknown"/>
    <s v="Unknown"/>
    <s v="Southampton"/>
    <s v="Not Applicable"/>
    <s v="Not Found"/>
    <s v="Not Found"/>
    <m/>
  </r>
  <r>
    <x v="2"/>
    <x v="1"/>
    <s v="Miss. Canavan Mary"/>
    <x v="0"/>
    <n v="21"/>
    <x v="0"/>
    <n v="0"/>
    <n v="0"/>
    <n v="364846"/>
    <n v="7.75"/>
    <x v="2"/>
    <s v="Unknown"/>
    <s v="Unknown"/>
    <s v="Queenstown"/>
    <s v="Not Applicable"/>
    <s v="Not Found"/>
    <s v="Not Found"/>
    <m/>
  </r>
  <r>
    <x v="2"/>
    <x v="1"/>
    <s v="Mr. Canavan Patrick"/>
    <x v="1"/>
    <n v="21"/>
    <x v="0"/>
    <n v="0"/>
    <n v="0"/>
    <n v="364858"/>
    <n v="7.75"/>
    <x v="2"/>
    <s v="Unknown"/>
    <s v="Unknown"/>
    <s v="Queenstown"/>
    <s v="Not Applicable"/>
    <s v="Not Found"/>
    <s v="Not Found"/>
    <s v="Ireland Philadelphia, PA"/>
  </r>
  <r>
    <x v="2"/>
    <x v="1"/>
    <s v="Mr. Cann Ernest"/>
    <x v="1"/>
    <n v="21"/>
    <x v="0"/>
    <n v="0"/>
    <n v="0"/>
    <s v="A./5. 2152"/>
    <n v="8.0500000000000007"/>
    <x v="2"/>
    <s v="Unknown"/>
    <s v="Unknown"/>
    <s v="Southampton"/>
    <s v="Not Applicable"/>
    <s v="Not Found"/>
    <s v="Not Found"/>
    <m/>
  </r>
  <r>
    <x v="2"/>
    <x v="1"/>
    <s v="Mr. Caram Joseph"/>
    <x v="1"/>
    <n v="28"/>
    <x v="0"/>
    <n v="0"/>
    <n v="1"/>
    <n v="2689"/>
    <n v="14.458299999999999"/>
    <x v="1"/>
    <s v="Unknown"/>
    <s v="Unknown"/>
    <s v="Cherbourg"/>
    <s v="Not Applicable"/>
    <s v="Not Found"/>
    <s v="Not Found"/>
    <s v="Ottawa, ON"/>
  </r>
  <r>
    <x v="2"/>
    <x v="1"/>
    <s v="Mrs. Caram Joseph"/>
    <x v="0"/>
    <n v="28"/>
    <x v="0"/>
    <n v="0"/>
    <n v="1"/>
    <n v="2689"/>
    <n v="14.458299999999999"/>
    <x v="1"/>
    <s v="Unknown"/>
    <s v="Unknown"/>
    <s v="Cherbourg"/>
    <s v="Not Applicable"/>
    <s v="Not Found"/>
    <s v="Not Found"/>
    <s v="Ottawa, ON"/>
  </r>
  <r>
    <x v="2"/>
    <x v="1"/>
    <s v="Mr. Carlsson August"/>
    <x v="1"/>
    <n v="28"/>
    <x v="0"/>
    <n v="0"/>
    <n v="0"/>
    <n v="350042"/>
    <n v="7.7957999999999998"/>
    <x v="2"/>
    <s v="Unknown"/>
    <s v="Unknown"/>
    <s v="Southampton"/>
    <s v="Not Applicable"/>
    <s v="Not Found"/>
    <s v="Not Found"/>
    <s v="Dagsas, Sweden Fower, MN"/>
  </r>
  <r>
    <x v="2"/>
    <x v="1"/>
    <s v="Mr. Carlsson Carl"/>
    <x v="1"/>
    <n v="24"/>
    <x v="0"/>
    <n v="0"/>
    <n v="0"/>
    <n v="350409"/>
    <n v="7.8541999999999996"/>
    <x v="2"/>
    <s v="Unknown"/>
    <s v="Unknown"/>
    <s v="Southampton"/>
    <s v="Not Applicable"/>
    <s v="Not Found"/>
    <s v="Not Found"/>
    <s v="Goteborg, Sweden Huntley, IL"/>
  </r>
  <r>
    <x v="2"/>
    <x v="0"/>
    <s v="Miss. Carr Helen"/>
    <x v="0"/>
    <n v="16"/>
    <x v="4"/>
    <n v="0"/>
    <n v="0"/>
    <n v="367231"/>
    <n v="7.75"/>
    <x v="2"/>
    <s v="Unknown"/>
    <s v="Unknown"/>
    <s v="Queenstown"/>
    <n v="16"/>
    <s v="Not Found"/>
    <s v="Not Found"/>
    <s v="Co Longford, Ireland New York, NY"/>
  </r>
  <r>
    <x v="2"/>
    <x v="1"/>
    <s v="Miss. Carr Jeannie"/>
    <x v="0"/>
    <n v="37"/>
    <x v="2"/>
    <n v="0"/>
    <n v="0"/>
    <n v="368364"/>
    <n v="7.75"/>
    <x v="2"/>
    <s v="Unknown"/>
    <s v="Unknown"/>
    <s v="Queenstown"/>
    <s v="Not Applicable"/>
    <s v="Not Found"/>
    <s v="Not Found"/>
    <s v="Co Sligo, Ireland Hartford, CT"/>
  </r>
  <r>
    <x v="2"/>
    <x v="1"/>
    <s v="Mr. Carver Alfred"/>
    <x v="1"/>
    <n v="28"/>
    <x v="0"/>
    <n v="0"/>
    <n v="0"/>
    <n v="392095"/>
    <n v="7.25"/>
    <x v="2"/>
    <s v="Unknown"/>
    <s v="Unknown"/>
    <s v="Southampton"/>
    <s v="Not Applicable"/>
    <s v="Not Found"/>
    <s v="Not Found"/>
    <s v="St Denys, Southampton, Hants"/>
  </r>
  <r>
    <x v="2"/>
    <x v="1"/>
    <s v="Mr. Celotti Francesco"/>
    <x v="1"/>
    <n v="24"/>
    <x v="0"/>
    <n v="0"/>
    <n v="0"/>
    <n v="343275"/>
    <n v="8.0500000000000007"/>
    <x v="2"/>
    <s v="Unknown"/>
    <s v="Unknown"/>
    <s v="Southampton"/>
    <s v="Not Applicable"/>
    <s v="Not Found"/>
    <s v="Not Found"/>
    <s v="London"/>
  </r>
  <r>
    <x v="2"/>
    <x v="1"/>
    <s v="Mr. Charters David"/>
    <x v="1"/>
    <n v="21"/>
    <x v="0"/>
    <n v="0"/>
    <n v="0"/>
    <s v="A/5. 13032"/>
    <n v="7.7332999999999998"/>
    <x v="2"/>
    <s v="Unknown"/>
    <s v="Unknown"/>
    <s v="Queenstown"/>
    <s v="Not Applicable"/>
    <s v="Not Found"/>
    <s v="Not Found"/>
    <s v="Ireland New York, NY"/>
  </r>
  <r>
    <x v="2"/>
    <x v="0"/>
    <s v="Mr. Chip Chang"/>
    <x v="1"/>
    <n v="32"/>
    <x v="2"/>
    <n v="0"/>
    <n v="0"/>
    <n v="1601"/>
    <n v="56.495800000000003"/>
    <x v="0"/>
    <s v="Unknown"/>
    <s v="Unknown"/>
    <s v="Southampton"/>
    <s v="C"/>
    <s v="Not Found"/>
    <s v="Not Found"/>
    <s v="Hong Kong New York, NY"/>
  </r>
  <r>
    <x v="2"/>
    <x v="1"/>
    <s v="Mr. Christmann Emil"/>
    <x v="1"/>
    <n v="29"/>
    <x v="0"/>
    <n v="0"/>
    <n v="0"/>
    <n v="343276"/>
    <n v="8.0500000000000007"/>
    <x v="2"/>
    <s v="Unknown"/>
    <s v="Unknown"/>
    <s v="Southampton"/>
    <s v="Not Applicable"/>
    <s v="Not Found"/>
    <s v="Not Found"/>
    <m/>
  </r>
  <r>
    <x v="2"/>
    <x v="1"/>
    <s v="Mr. Chronopoulos Apostolos"/>
    <x v="1"/>
    <n v="26"/>
    <x v="0"/>
    <n v="0"/>
    <n v="1"/>
    <n v="2680"/>
    <n v="14.4542"/>
    <x v="1"/>
    <s v="Unknown"/>
    <s v="Unknown"/>
    <s v="Cherbourg"/>
    <s v="Not Applicable"/>
    <s v="Not Found"/>
    <s v="Not Found"/>
    <s v="Greece"/>
  </r>
  <r>
    <x v="2"/>
    <x v="1"/>
    <s v="Mr. Chronopoulos Demetrios"/>
    <x v="1"/>
    <n v="18"/>
    <x v="0"/>
    <n v="0"/>
    <n v="1"/>
    <n v="2680"/>
    <n v="14.4542"/>
    <x v="1"/>
    <s v="Unknown"/>
    <s v="Unknown"/>
    <s v="Cherbourg"/>
    <s v="Not Applicable"/>
    <s v="Not Found"/>
    <s v="Not Found"/>
    <s v="Greece"/>
  </r>
  <r>
    <x v="2"/>
    <x v="1"/>
    <s v="Mr. Coelho Domingos"/>
    <x v="1"/>
    <n v="20"/>
    <x v="0"/>
    <n v="0"/>
    <n v="0"/>
    <s v="SOTON/O.Q. 3101307"/>
    <n v="7.05"/>
    <x v="2"/>
    <s v="Unknown"/>
    <s v="Unknown"/>
    <s v="Southampton"/>
    <s v="Not Applicable"/>
    <s v="Not Found"/>
    <s v="Not Found"/>
    <s v="Portugal"/>
  </r>
  <r>
    <x v="2"/>
    <x v="0"/>
    <s v="Mr. Cohen Gurshon"/>
    <x v="1"/>
    <n v="18"/>
    <x v="0"/>
    <n v="0"/>
    <n v="0"/>
    <s v="A/5 3540"/>
    <n v="8.0500000000000007"/>
    <x v="2"/>
    <s v="Unknown"/>
    <s v="Unknown"/>
    <s v="Southampton"/>
    <n v="12"/>
    <s v="Not Found"/>
    <s v="Not Found"/>
    <s v="London Brooklyn, NY"/>
  </r>
  <r>
    <x v="2"/>
    <x v="1"/>
    <s v="Mr. Colbert Patrick"/>
    <x v="1"/>
    <n v="24"/>
    <x v="0"/>
    <n v="0"/>
    <n v="0"/>
    <n v="371109"/>
    <n v="7.25"/>
    <x v="2"/>
    <s v="Unknown"/>
    <s v="Unknown"/>
    <s v="Queenstown"/>
    <s v="Not Applicable"/>
    <s v="Not Found"/>
    <s v="Not Found"/>
    <s v="Co Limerick, Ireland Sherbrooke, PQ"/>
  </r>
  <r>
    <x v="2"/>
    <x v="1"/>
    <s v="Mr. Coleff Peju"/>
    <x v="1"/>
    <n v="36"/>
    <x v="2"/>
    <n v="0"/>
    <n v="0"/>
    <n v="349210"/>
    <n v="7.4958"/>
    <x v="2"/>
    <s v="Unknown"/>
    <s v="Unknown"/>
    <s v="Southampton"/>
    <s v="Not Applicable"/>
    <s v="Not Found"/>
    <s v="Not Found"/>
    <s v="Bulgaria Chicago, IL"/>
  </r>
  <r>
    <x v="2"/>
    <x v="1"/>
    <s v="Mr. Coleff Satio"/>
    <x v="1"/>
    <n v="24"/>
    <x v="0"/>
    <n v="0"/>
    <n v="0"/>
    <n v="349209"/>
    <n v="7.4958"/>
    <x v="2"/>
    <s v="Unknown"/>
    <s v="Unknown"/>
    <s v="Southampton"/>
    <s v="Not Applicable"/>
    <s v="Not Found"/>
    <s v="Not Found"/>
    <m/>
  </r>
  <r>
    <x v="2"/>
    <x v="1"/>
    <s v="Mr. Conlon Thomas"/>
    <x v="1"/>
    <n v="31"/>
    <x v="2"/>
    <n v="0"/>
    <n v="0"/>
    <n v="21332"/>
    <n v="7.7332999999999998"/>
    <x v="2"/>
    <s v="Unknown"/>
    <s v="Unknown"/>
    <s v="Queenstown"/>
    <s v="Not Applicable"/>
    <s v="Not Found"/>
    <s v="Not Found"/>
    <s v="Philadelphia, PA"/>
  </r>
  <r>
    <x v="2"/>
    <x v="1"/>
    <s v="Mr. Connaghton Michael"/>
    <x v="1"/>
    <n v="31"/>
    <x v="2"/>
    <n v="0"/>
    <n v="0"/>
    <n v="335097"/>
    <n v="7.75"/>
    <x v="2"/>
    <s v="Unknown"/>
    <s v="Unknown"/>
    <s v="Queenstown"/>
    <s v="Not Applicable"/>
    <s v="Not Found"/>
    <s v="Not Found"/>
    <s v="Ireland Brooklyn, NY"/>
  </r>
  <r>
    <x v="2"/>
    <x v="0"/>
    <s v="Miss. Connolly Kate"/>
    <x v="0"/>
    <n v="22"/>
    <x v="0"/>
    <n v="0"/>
    <n v="0"/>
    <n v="370373"/>
    <n v="7.75"/>
    <x v="2"/>
    <s v="Unknown"/>
    <s v="Unknown"/>
    <s v="Queenstown"/>
    <n v="13"/>
    <s v="Not Found"/>
    <s v="Not Found"/>
    <s v="Ireland"/>
  </r>
  <r>
    <x v="2"/>
    <x v="1"/>
    <s v="Miss. Connolly Kate"/>
    <x v="0"/>
    <n v="30"/>
    <x v="2"/>
    <n v="0"/>
    <n v="0"/>
    <n v="330972"/>
    <n v="7.6292"/>
    <x v="2"/>
    <s v="Unknown"/>
    <s v="Unknown"/>
    <s v="Queenstown"/>
    <s v="Not Applicable"/>
    <s v="Not Found"/>
    <s v="Not Found"/>
    <s v="Ireland"/>
  </r>
  <r>
    <x v="2"/>
    <x v="1"/>
    <s v="Mr. Connors Patrick"/>
    <x v="1"/>
    <n v="71"/>
    <x v="3"/>
    <n v="0"/>
    <n v="0"/>
    <n v="370369"/>
    <n v="7.75"/>
    <x v="2"/>
    <s v="Unknown"/>
    <s v="Unknown"/>
    <s v="Queenstown"/>
    <s v="Not Applicable"/>
    <n v="171"/>
    <s v="Found"/>
    <m/>
  </r>
  <r>
    <x v="2"/>
    <x v="1"/>
    <s v="Mr. Cook Jacob"/>
    <x v="1"/>
    <n v="43"/>
    <x v="2"/>
    <n v="0"/>
    <n v="0"/>
    <s v="A/5 3536"/>
    <n v="8.0500000000000007"/>
    <x v="2"/>
    <s v="Unknown"/>
    <s v="Unknown"/>
    <s v="Southampton"/>
    <s v="Not Applicable"/>
    <s v="Not Found"/>
    <s v="Not Found"/>
    <m/>
  </r>
  <r>
    <x v="2"/>
    <x v="1"/>
    <s v="Mr. Cor Bartol"/>
    <x v="1"/>
    <n v="35"/>
    <x v="2"/>
    <n v="0"/>
    <n v="0"/>
    <n v="349230"/>
    <n v="7.8958000000000004"/>
    <x v="2"/>
    <s v="Unknown"/>
    <s v="Unknown"/>
    <s v="Southampton"/>
    <s v="Not Applicable"/>
    <s v="Not Found"/>
    <s v="Not Found"/>
    <s v="Austria"/>
  </r>
  <r>
    <x v="2"/>
    <x v="1"/>
    <s v="Mr. Cor Ivan"/>
    <x v="1"/>
    <n v="27"/>
    <x v="0"/>
    <n v="0"/>
    <n v="0"/>
    <n v="349229"/>
    <n v="7.8958000000000004"/>
    <x v="2"/>
    <s v="Unknown"/>
    <s v="Unknown"/>
    <s v="Southampton"/>
    <s v="Not Applicable"/>
    <s v="Not Found"/>
    <s v="Not Found"/>
    <s v="Austria"/>
  </r>
  <r>
    <x v="2"/>
    <x v="1"/>
    <s v="Mr. Cor Liudevit"/>
    <x v="1"/>
    <n v="19"/>
    <x v="0"/>
    <n v="0"/>
    <n v="0"/>
    <n v="349231"/>
    <n v="7.8958000000000004"/>
    <x v="2"/>
    <s v="Unknown"/>
    <s v="Unknown"/>
    <s v="Southampton"/>
    <s v="Not Applicable"/>
    <s v="Not Found"/>
    <s v="Not Found"/>
    <s v="Austria"/>
  </r>
  <r>
    <x v="2"/>
    <x v="1"/>
    <s v="Mr. Corn Harry"/>
    <x v="1"/>
    <n v="30"/>
    <x v="2"/>
    <n v="0"/>
    <n v="0"/>
    <s v="SOTON/OQ 392090"/>
    <n v="8.0500000000000007"/>
    <x v="2"/>
    <s v="Unknown"/>
    <s v="Unknown"/>
    <s v="Southampton"/>
    <s v="Not Applicable"/>
    <s v="Not Found"/>
    <s v="Not Found"/>
    <s v="London"/>
  </r>
  <r>
    <x v="2"/>
    <x v="0"/>
    <s v="Master. Coutts Eden"/>
    <x v="1"/>
    <n v="9"/>
    <x v="1"/>
    <n v="1"/>
    <n v="1"/>
    <s v="C.A. 37671"/>
    <n v="15.9"/>
    <x v="1"/>
    <s v="Unknown"/>
    <s v="Unknown"/>
    <s v="Southampton"/>
    <n v="2"/>
    <s v="Not Found"/>
    <s v="Not Found"/>
    <s v="England Brooklyn, NY"/>
  </r>
  <r>
    <x v="2"/>
    <x v="0"/>
    <s v="Master. Coutts William"/>
    <x v="1"/>
    <n v="3"/>
    <x v="1"/>
    <n v="1"/>
    <n v="1"/>
    <s v="C.A. 37671"/>
    <n v="15.9"/>
    <x v="1"/>
    <s v="Unknown"/>
    <s v="Unknown"/>
    <s v="Southampton"/>
    <n v="2"/>
    <s v="Not Found"/>
    <s v="Not Found"/>
    <s v="England Brooklyn, NY"/>
  </r>
  <r>
    <x v="2"/>
    <x v="0"/>
    <s v="Mrs. Coutts William"/>
    <x v="0"/>
    <n v="36"/>
    <x v="2"/>
    <n v="2"/>
    <n v="0"/>
    <s v="C.A. 37671"/>
    <n v="15.9"/>
    <x v="1"/>
    <s v="Unknown"/>
    <s v="Unknown"/>
    <s v="Southampton"/>
    <n v="2"/>
    <s v="Not Found"/>
    <s v="Not Found"/>
    <s v="England Brooklyn, NY"/>
  </r>
  <r>
    <x v="2"/>
    <x v="1"/>
    <s v="Mr. Coxon Daniel"/>
    <x v="1"/>
    <n v="59"/>
    <x v="2"/>
    <n v="0"/>
    <n v="0"/>
    <n v="364500"/>
    <n v="7.25"/>
    <x v="2"/>
    <s v="Unknown"/>
    <s v="Unknown"/>
    <s v="Southampton"/>
    <s v="Not Applicable"/>
    <s v="Not Found"/>
    <s v="Not Found"/>
    <s v="Merrill, WI"/>
  </r>
  <r>
    <x v="2"/>
    <x v="1"/>
    <s v="Mr. Crease Ernest"/>
    <x v="1"/>
    <n v="19"/>
    <x v="0"/>
    <n v="0"/>
    <n v="0"/>
    <s v="S.P. 3464"/>
    <n v="8.1583000000000006"/>
    <x v="2"/>
    <s v="Unknown"/>
    <s v="Unknown"/>
    <s v="Southampton"/>
    <s v="Not Applicable"/>
    <s v="Not Found"/>
    <s v="Not Found"/>
    <s v="Bristol, England Cleveland, OH"/>
  </r>
  <r>
    <x v="2"/>
    <x v="0"/>
    <s v="Miss. Cribb Laura"/>
    <x v="0"/>
    <n v="17"/>
    <x v="4"/>
    <n v="1"/>
    <n v="0"/>
    <n v="371362"/>
    <n v="16.100000000000001"/>
    <x v="1"/>
    <s v="Unknown"/>
    <s v="Unknown"/>
    <s v="Southampton"/>
    <n v="12"/>
    <s v="Not Found"/>
    <s v="Not Found"/>
    <s v="Bournemouth, England Newark, NJ"/>
  </r>
  <r>
    <x v="2"/>
    <x v="1"/>
    <s v="Mr. Cribb John"/>
    <x v="1"/>
    <n v="44"/>
    <x v="2"/>
    <n v="1"/>
    <n v="0"/>
    <n v="371362"/>
    <n v="16.100000000000001"/>
    <x v="1"/>
    <s v="Unknown"/>
    <s v="Unknown"/>
    <s v="Southampton"/>
    <s v="Not Applicable"/>
    <s v="Not Found"/>
    <s v="Not Found"/>
    <s v="Bournemouth, England Newark, NJ"/>
  </r>
  <r>
    <x v="2"/>
    <x v="1"/>
    <s v="Mr. Culumovic Jeso"/>
    <x v="1"/>
    <n v="17"/>
    <x v="4"/>
    <n v="0"/>
    <n v="0"/>
    <n v="315090"/>
    <n v="8.6624999999999996"/>
    <x v="2"/>
    <s v="Unknown"/>
    <s v="Unknown"/>
    <s v="Southampton"/>
    <s v="Not Applicable"/>
    <s v="Not Found"/>
    <s v="Not Found"/>
    <s v="Austria-Hungary"/>
  </r>
  <r>
    <x v="2"/>
    <x v="1"/>
    <s v="Mr. Daher Shedid"/>
    <x v="1"/>
    <n v="23"/>
    <x v="0"/>
    <n v="0"/>
    <n v="0"/>
    <n v="2698"/>
    <n v="7.2249999999999996"/>
    <x v="2"/>
    <s v="Unknown"/>
    <s v="Unknown"/>
    <s v="Cherbourg"/>
    <s v="Not Applicable"/>
    <n v="9"/>
    <s v="Found"/>
    <m/>
  </r>
  <r>
    <x v="2"/>
    <x v="0"/>
    <s v="Mr. Dahl Karl"/>
    <x v="1"/>
    <n v="45"/>
    <x v="2"/>
    <n v="0"/>
    <n v="0"/>
    <n v="7598"/>
    <n v="8.0500000000000007"/>
    <x v="2"/>
    <s v="Unknown"/>
    <s v="Unknown"/>
    <s v="Southampton"/>
    <n v="15"/>
    <s v="Not Found"/>
    <s v="Not Found"/>
    <s v="Australia Fingal, ND"/>
  </r>
  <r>
    <x v="2"/>
    <x v="1"/>
    <s v="Miss. Dahlberg Gerda"/>
    <x v="0"/>
    <n v="22"/>
    <x v="0"/>
    <n v="0"/>
    <n v="0"/>
    <n v="7552"/>
    <n v="10.5167"/>
    <x v="1"/>
    <s v="Unknown"/>
    <s v="Unknown"/>
    <s v="Southampton"/>
    <s v="Not Applicable"/>
    <s v="Not Found"/>
    <s v="Not Found"/>
    <s v="Norrlot, Sweden Chicago, IL"/>
  </r>
  <r>
    <x v="2"/>
    <x v="1"/>
    <s v="Mr. Dakic Branko"/>
    <x v="1"/>
    <n v="19"/>
    <x v="0"/>
    <n v="0"/>
    <n v="0"/>
    <n v="349228"/>
    <n v="10.1708"/>
    <x v="1"/>
    <s v="Unknown"/>
    <s v="Unknown"/>
    <s v="Southampton"/>
    <s v="Not Applicable"/>
    <s v="Not Found"/>
    <s v="Not Found"/>
    <s v="Austria"/>
  </r>
  <r>
    <x v="2"/>
    <x v="0"/>
    <s v="Miss. Daly Margaret"/>
    <x v="0"/>
    <n v="30"/>
    <x v="2"/>
    <n v="0"/>
    <n v="0"/>
    <n v="382650"/>
    <n v="6.95"/>
    <x v="2"/>
    <s v="Unknown"/>
    <s v="Unknown"/>
    <s v="Queenstown"/>
    <n v="15"/>
    <s v="Not Found"/>
    <s v="Not Found"/>
    <s v="Co Athlone, Ireland New York, NY"/>
  </r>
  <r>
    <x v="2"/>
    <x v="0"/>
    <s v="Mr. Daly Eugene"/>
    <x v="1"/>
    <n v="29"/>
    <x v="0"/>
    <n v="0"/>
    <n v="0"/>
    <n v="382651"/>
    <n v="7.75"/>
    <x v="2"/>
    <s v="Unknown"/>
    <s v="Unknown"/>
    <s v="Queenstown"/>
    <s v="13 15 B"/>
    <s v="Not Found"/>
    <s v="Not Found"/>
    <s v="Co Athlone, Ireland New York, NY"/>
  </r>
  <r>
    <x v="2"/>
    <x v="1"/>
    <s v="Master. Danbom Gilbert"/>
    <x v="1"/>
    <n v="1"/>
    <x v="1"/>
    <n v="2"/>
    <n v="0"/>
    <n v="347080"/>
    <n v="14.4"/>
    <x v="1"/>
    <s v="Unknown"/>
    <s v="Unknown"/>
    <s v="Southampton"/>
    <s v="Not Applicable"/>
    <s v="Not Found"/>
    <s v="Not Found"/>
    <s v="Stanton, IA"/>
  </r>
  <r>
    <x v="2"/>
    <x v="1"/>
    <s v="Mr. Danbom Ernst"/>
    <x v="1"/>
    <n v="34"/>
    <x v="2"/>
    <n v="1"/>
    <n v="1"/>
    <n v="347080"/>
    <n v="14.4"/>
    <x v="1"/>
    <s v="Unknown"/>
    <s v="Unknown"/>
    <s v="Southampton"/>
    <s v="Not Applicable"/>
    <n v="197"/>
    <s v="Found"/>
    <s v="Stanton, IA"/>
  </r>
  <r>
    <x v="2"/>
    <x v="1"/>
    <s v="Mrs. Danbom Ernst"/>
    <x v="0"/>
    <n v="28"/>
    <x v="0"/>
    <n v="1"/>
    <n v="1"/>
    <n v="347080"/>
    <n v="14.4"/>
    <x v="1"/>
    <s v="Unknown"/>
    <s v="Unknown"/>
    <s v="Southampton"/>
    <s v="Not Applicable"/>
    <s v="Not Found"/>
    <s v="Not Found"/>
    <s v="Stanton, IA"/>
  </r>
  <r>
    <x v="2"/>
    <x v="1"/>
    <s v="Mr. Danoff Yoto"/>
    <x v="1"/>
    <n v="27"/>
    <x v="0"/>
    <n v="0"/>
    <n v="0"/>
    <n v="349219"/>
    <n v="7.8958000000000004"/>
    <x v="2"/>
    <s v="Unknown"/>
    <s v="Unknown"/>
    <s v="Southampton"/>
    <s v="Not Applicable"/>
    <s v="Not Found"/>
    <s v="Not Found"/>
    <s v="Bulgaria Chicago, IL"/>
  </r>
  <r>
    <x v="2"/>
    <x v="1"/>
    <s v="Mr. Dantcheff Ristiu"/>
    <x v="1"/>
    <n v="25"/>
    <x v="0"/>
    <n v="0"/>
    <n v="0"/>
    <n v="349203"/>
    <n v="7.8958000000000004"/>
    <x v="2"/>
    <s v="Unknown"/>
    <s v="Unknown"/>
    <s v="Southampton"/>
    <s v="Not Applicable"/>
    <s v="Not Found"/>
    <s v="Not Found"/>
    <s v="Bulgaria Chicago, IL"/>
  </r>
  <r>
    <x v="2"/>
    <x v="1"/>
    <s v="Mr. Davies Alfred"/>
    <x v="1"/>
    <n v="24"/>
    <x v="0"/>
    <n v="0"/>
    <n v="2"/>
    <s v="A/4 48871"/>
    <n v="24.15"/>
    <x v="1"/>
    <s v="Unknown"/>
    <s v="Unknown"/>
    <s v="Southampton"/>
    <s v="Not Applicable"/>
    <s v="Not Found"/>
    <s v="Not Found"/>
    <s v="West Bromwich, England Pontiac, MI"/>
  </r>
  <r>
    <x v="2"/>
    <x v="1"/>
    <s v="Mr. Davies Evan"/>
    <x v="1"/>
    <n v="22"/>
    <x v="0"/>
    <n v="0"/>
    <n v="0"/>
    <s v="SC/A4 23568"/>
    <n v="8.0500000000000007"/>
    <x v="2"/>
    <s v="Unknown"/>
    <s v="Unknown"/>
    <s v="Southampton"/>
    <s v="Not Applicable"/>
    <s v="Not Found"/>
    <s v="Not Found"/>
    <m/>
  </r>
  <r>
    <x v="2"/>
    <x v="1"/>
    <s v="Mr. Davies John"/>
    <x v="1"/>
    <n v="21"/>
    <x v="0"/>
    <n v="0"/>
    <n v="2"/>
    <s v="A/4 48871"/>
    <n v="24.15"/>
    <x v="1"/>
    <s v="Unknown"/>
    <s v="Unknown"/>
    <s v="Southampton"/>
    <s v="Not Applicable"/>
    <s v="Not Found"/>
    <s v="Not Found"/>
    <s v="West Bromwich, England Pontiac, MI"/>
  </r>
  <r>
    <x v="2"/>
    <x v="1"/>
    <s v="Mr. Davies Joseph"/>
    <x v="1"/>
    <n v="17"/>
    <x v="4"/>
    <n v="0"/>
    <n v="2"/>
    <s v="A/4 48873"/>
    <n v="8.0500000000000007"/>
    <x v="2"/>
    <s v="Unknown"/>
    <s v="Unknown"/>
    <s v="Southampton"/>
    <s v="Not Applicable"/>
    <s v="Not Found"/>
    <s v="Not Found"/>
    <s v="West Bromwich, England Pontiac, MI"/>
  </r>
  <r>
    <x v="2"/>
    <x v="1"/>
    <s v="Mr. Davison Thomas"/>
    <x v="1"/>
    <n v="28"/>
    <x v="0"/>
    <n v="0"/>
    <n v="1"/>
    <n v="386525"/>
    <n v="16.100000000000001"/>
    <x v="1"/>
    <s v="Unknown"/>
    <s v="Unknown"/>
    <s v="Southampton"/>
    <s v="Not Applicable"/>
    <s v="Not Found"/>
    <s v="Not Found"/>
    <s v="Liverpool, England Bedford, OH"/>
  </r>
  <r>
    <x v="2"/>
    <x v="0"/>
    <s v="Mrs. Davison Thomas"/>
    <x v="0"/>
    <n v="28"/>
    <x v="0"/>
    <n v="0"/>
    <n v="1"/>
    <n v="386525"/>
    <n v="16.100000000000001"/>
    <x v="1"/>
    <s v="Unknown"/>
    <s v="Unknown"/>
    <s v="Southampton"/>
    <n v="16"/>
    <s v="Not Found"/>
    <s v="Not Found"/>
    <s v="Liverpool, England Bedford, OH"/>
  </r>
  <r>
    <x v="2"/>
    <x v="0"/>
    <s v="Messemaeker de Mr."/>
    <x v="1"/>
    <n v="37"/>
    <x v="2"/>
    <n v="0"/>
    <n v="1"/>
    <n v="345572"/>
    <n v="17.399999999999999"/>
    <x v="1"/>
    <s v="Unknown"/>
    <s v="Unknown"/>
    <s v="Southampton"/>
    <n v="15"/>
    <s v="Not Found"/>
    <s v="Not Found"/>
    <s v="Tampico, MT"/>
  </r>
  <r>
    <x v="2"/>
    <x v="0"/>
    <s v="Messemaeker de Mrs."/>
    <x v="0"/>
    <n v="36"/>
    <x v="2"/>
    <n v="0"/>
    <n v="1"/>
    <n v="345572"/>
    <n v="17.399999999999999"/>
    <x v="1"/>
    <s v="Unknown"/>
    <s v="Unknown"/>
    <s v="Southampton"/>
    <n v="13"/>
    <s v="Not Found"/>
    <s v="Not Found"/>
    <s v="Tampico, MT"/>
  </r>
  <r>
    <x v="2"/>
    <x v="0"/>
    <s v="Mulder de Mr."/>
    <x v="1"/>
    <n v="30"/>
    <x v="2"/>
    <n v="0"/>
    <n v="0"/>
    <n v="345774"/>
    <n v="9.5"/>
    <x v="2"/>
    <s v="Unknown"/>
    <s v="Unknown"/>
    <s v="Southampton"/>
    <n v="11"/>
    <s v="Not Found"/>
    <s v="Not Found"/>
    <s v="Belgium Detroit, MI"/>
  </r>
  <r>
    <x v="2"/>
    <x v="1"/>
    <s v="Pelsmaeker de Mr."/>
    <x v="1"/>
    <n v="16"/>
    <x v="4"/>
    <n v="0"/>
    <n v="0"/>
    <n v="345778"/>
    <n v="9.5"/>
    <x v="2"/>
    <s v="Unknown"/>
    <s v="Unknown"/>
    <s v="Southampton"/>
    <s v="Not Applicable"/>
    <s v="Not Found"/>
    <s v="Not Found"/>
    <m/>
  </r>
  <r>
    <x v="2"/>
    <x v="0"/>
    <s v="Master. Dean Bertram"/>
    <x v="1"/>
    <n v="1"/>
    <x v="1"/>
    <n v="2"/>
    <n v="1"/>
    <s v="C.A. 2315"/>
    <n v="20.574999999999999"/>
    <x v="1"/>
    <s v="Unknown"/>
    <s v="Unknown"/>
    <s v="Southampton"/>
    <n v="10"/>
    <s v="Not Found"/>
    <s v="Not Found"/>
    <s v="Devon, England Wichita, KS"/>
  </r>
  <r>
    <x v="2"/>
    <x v="0"/>
    <s v="Miss. Dean Elizabeth"/>
    <x v="0"/>
    <n v="1"/>
    <x v="1"/>
    <n v="2"/>
    <n v="1"/>
    <s v="C.A. 2315"/>
    <n v="20.574999999999999"/>
    <x v="1"/>
    <s v="Unknown"/>
    <s v="Unknown"/>
    <s v="Southampton"/>
    <n v="10"/>
    <s v="Not Found"/>
    <s v="Not Found"/>
    <s v="Devon, England Wichita, KS"/>
  </r>
  <r>
    <x v="2"/>
    <x v="1"/>
    <s v="Mr. Dean Bertram"/>
    <x v="1"/>
    <n v="26"/>
    <x v="0"/>
    <n v="2"/>
    <n v="1"/>
    <s v="C.A. 2315"/>
    <n v="20.574999999999999"/>
    <x v="1"/>
    <s v="Unknown"/>
    <s v="Unknown"/>
    <s v="Southampton"/>
    <s v="Not Applicable"/>
    <s v="Not Found"/>
    <s v="Not Found"/>
    <s v="Devon, England Wichita, KS"/>
  </r>
  <r>
    <x v="2"/>
    <x v="0"/>
    <s v="Mrs. Dean Bertram"/>
    <x v="0"/>
    <n v="33"/>
    <x v="2"/>
    <n v="2"/>
    <n v="1"/>
    <s v="C.A. 2315"/>
    <n v="20.574999999999999"/>
    <x v="1"/>
    <s v="Unknown"/>
    <s v="Unknown"/>
    <s v="Southampton"/>
    <n v="10"/>
    <s v="Not Found"/>
    <s v="Not Found"/>
    <s v="Devon, England Wichita, KS"/>
  </r>
  <r>
    <x v="2"/>
    <x v="1"/>
    <s v="Mr. Delalic Redjo"/>
    <x v="1"/>
    <n v="25"/>
    <x v="0"/>
    <n v="0"/>
    <n v="0"/>
    <n v="349250"/>
    <n v="7.8958000000000004"/>
    <x v="2"/>
    <s v="Unknown"/>
    <s v="Unknown"/>
    <s v="Southampton"/>
    <s v="Not Applicable"/>
    <s v="Not Found"/>
    <s v="Not Found"/>
    <m/>
  </r>
  <r>
    <x v="2"/>
    <x v="1"/>
    <s v="Mr. Demetri Marinko"/>
    <x v="1"/>
    <n v="28"/>
    <x v="0"/>
    <n v="0"/>
    <n v="0"/>
    <n v="349238"/>
    <n v="7.8958000000000004"/>
    <x v="2"/>
    <s v="Unknown"/>
    <s v="Unknown"/>
    <s v="Southampton"/>
    <s v="Not Applicable"/>
    <s v="Not Found"/>
    <s v="Not Found"/>
    <m/>
  </r>
  <r>
    <x v="2"/>
    <x v="1"/>
    <s v="Mr. Denkoff Mitto"/>
    <x v="1"/>
    <n v="28"/>
    <x v="0"/>
    <n v="0"/>
    <n v="0"/>
    <n v="349225"/>
    <n v="7.8958000000000004"/>
    <x v="2"/>
    <s v="Unknown"/>
    <s v="Unknown"/>
    <s v="Southampton"/>
    <s v="Not Applicable"/>
    <s v="Not Found"/>
    <s v="Not Found"/>
    <s v="Bulgaria Coon Rapids, IA"/>
  </r>
  <r>
    <x v="2"/>
    <x v="1"/>
    <s v="Mr. Dennis Samuel"/>
    <x v="1"/>
    <n v="22"/>
    <x v="0"/>
    <n v="0"/>
    <n v="0"/>
    <s v="A/5 21172"/>
    <n v="7.25"/>
    <x v="2"/>
    <s v="Unknown"/>
    <s v="Unknown"/>
    <s v="Southampton"/>
    <s v="Not Applicable"/>
    <s v="Not Found"/>
    <s v="Not Found"/>
    <m/>
  </r>
  <r>
    <x v="2"/>
    <x v="1"/>
    <s v="Mr. Dennis William"/>
    <x v="1"/>
    <n v="36"/>
    <x v="2"/>
    <n v="0"/>
    <n v="0"/>
    <s v="A/5 21175"/>
    <n v="7.25"/>
    <x v="2"/>
    <s v="Unknown"/>
    <s v="Unknown"/>
    <s v="Southampton"/>
    <s v="Not Applicable"/>
    <s v="Not Found"/>
    <s v="Not Found"/>
    <m/>
  </r>
  <r>
    <x v="2"/>
    <x v="0"/>
    <s v="Miss. Devaney Margaret"/>
    <x v="0"/>
    <n v="19"/>
    <x v="0"/>
    <n v="0"/>
    <n v="0"/>
    <n v="330958"/>
    <n v="7.8792"/>
    <x v="2"/>
    <s v="Unknown"/>
    <s v="Unknown"/>
    <s v="Queenstown"/>
    <s v="C"/>
    <s v="Not Found"/>
    <s v="Not Found"/>
    <s v="Kilmacowen, Co Sligo, Ireland New York, NY"/>
  </r>
  <r>
    <x v="2"/>
    <x v="1"/>
    <s v="Mr. Dika Mirko"/>
    <x v="1"/>
    <n v="17"/>
    <x v="4"/>
    <n v="0"/>
    <n v="0"/>
    <n v="349232"/>
    <n v="7.8958000000000004"/>
    <x v="2"/>
    <s v="Unknown"/>
    <s v="Unknown"/>
    <s v="Southampton"/>
    <s v="Not Applicable"/>
    <s v="Not Found"/>
    <s v="Not Found"/>
    <m/>
  </r>
  <r>
    <x v="2"/>
    <x v="1"/>
    <s v="Mr. Dimic Jovan"/>
    <x v="1"/>
    <n v="42"/>
    <x v="2"/>
    <n v="0"/>
    <n v="0"/>
    <n v="315088"/>
    <n v="8.6624999999999996"/>
    <x v="2"/>
    <s v="Unknown"/>
    <s v="Unknown"/>
    <s v="Southampton"/>
    <s v="Not Applicable"/>
    <s v="Not Found"/>
    <s v="Not Found"/>
    <m/>
  </r>
  <r>
    <x v="2"/>
    <x v="1"/>
    <s v="Mr. Dintcheff Valtcho"/>
    <x v="1"/>
    <n v="43"/>
    <x v="2"/>
    <n v="0"/>
    <n v="0"/>
    <n v="349226"/>
    <n v="7.8958000000000004"/>
    <x v="2"/>
    <s v="Unknown"/>
    <s v="Unknown"/>
    <s v="Southampton"/>
    <s v="Not Applicable"/>
    <s v="Not Found"/>
    <s v="Not Found"/>
    <m/>
  </r>
  <r>
    <x v="2"/>
    <x v="1"/>
    <s v="Mr. Doharr Tannous"/>
    <x v="1"/>
    <n v="28"/>
    <x v="0"/>
    <n v="0"/>
    <n v="0"/>
    <n v="2686"/>
    <n v="7.2291999999999996"/>
    <x v="2"/>
    <s v="Unknown"/>
    <s v="Unknown"/>
    <s v="Cherbourg"/>
    <s v="Not Applicable"/>
    <s v="Not Found"/>
    <s v="Not Found"/>
    <m/>
  </r>
  <r>
    <x v="2"/>
    <x v="1"/>
    <s v="Mr. Dooley Patrick"/>
    <x v="1"/>
    <n v="32"/>
    <x v="2"/>
    <n v="0"/>
    <n v="0"/>
    <n v="370376"/>
    <n v="7.75"/>
    <x v="2"/>
    <s v="Unknown"/>
    <s v="Unknown"/>
    <s v="Queenstown"/>
    <s v="Not Applicable"/>
    <s v="Not Found"/>
    <s v="Not Found"/>
    <s v="Ireland New York, NY"/>
  </r>
  <r>
    <x v="2"/>
    <x v="0"/>
    <s v="Mr. Dorking Edward"/>
    <x v="1"/>
    <n v="19"/>
    <x v="0"/>
    <n v="0"/>
    <n v="0"/>
    <s v="A/5. 10482"/>
    <n v="8.0500000000000007"/>
    <x v="2"/>
    <s v="Unknown"/>
    <s v="Unknown"/>
    <s v="Southampton"/>
    <s v="B"/>
    <s v="Not Found"/>
    <s v="Not Found"/>
    <s v="England Oglesby, IL"/>
  </r>
  <r>
    <x v="2"/>
    <x v="0"/>
    <s v="Miss. Dowdell Elizabeth"/>
    <x v="0"/>
    <n v="30"/>
    <x v="2"/>
    <n v="0"/>
    <n v="0"/>
    <n v="364516"/>
    <n v="12.475"/>
    <x v="1"/>
    <s v="Unknown"/>
    <s v="Unknown"/>
    <s v="Southampton"/>
    <n v="13"/>
    <s v="Not Found"/>
    <s v="Not Found"/>
    <s v="Union Hill, NJ"/>
  </r>
  <r>
    <x v="2"/>
    <x v="1"/>
    <s v="Miss. Doyle Elizabeth"/>
    <x v="0"/>
    <n v="24"/>
    <x v="0"/>
    <n v="0"/>
    <n v="0"/>
    <n v="368702"/>
    <n v="7.75"/>
    <x v="2"/>
    <s v="Unknown"/>
    <s v="Unknown"/>
    <s v="Queenstown"/>
    <s v="Not Applicable"/>
    <s v="Not Found"/>
    <s v="Not Found"/>
    <s v="Ireland New York, NY"/>
  </r>
  <r>
    <x v="2"/>
    <x v="0"/>
    <s v="Miss. Drapkin Jennie"/>
    <x v="0"/>
    <n v="23"/>
    <x v="0"/>
    <n v="0"/>
    <n v="0"/>
    <s v="SOTON/OQ 392083"/>
    <n v="8.0500000000000007"/>
    <x v="2"/>
    <s v="Unknown"/>
    <s v="Unknown"/>
    <s v="Southampton"/>
    <s v="Not Applicable"/>
    <s v="Not Found"/>
    <s v="Not Found"/>
    <s v="London New York, NY"/>
  </r>
  <r>
    <x v="2"/>
    <x v="1"/>
    <s v="Mr. Drazenoic Jozef"/>
    <x v="1"/>
    <n v="33"/>
    <x v="2"/>
    <n v="0"/>
    <n v="0"/>
    <n v="349241"/>
    <n v="7.8958000000000004"/>
    <x v="2"/>
    <s v="Unknown"/>
    <s v="Unknown"/>
    <s v="Cherbourg"/>
    <s v="Not Applicable"/>
    <n v="51"/>
    <s v="Found"/>
    <s v="Austria Niagara Falls, NY"/>
  </r>
  <r>
    <x v="2"/>
    <x v="1"/>
    <s v="Mr. Duane Frank"/>
    <x v="1"/>
    <n v="65"/>
    <x v="3"/>
    <n v="0"/>
    <n v="0"/>
    <n v="336439"/>
    <n v="7.75"/>
    <x v="2"/>
    <s v="Unknown"/>
    <s v="Unknown"/>
    <s v="Queenstown"/>
    <s v="Not Applicable"/>
    <s v="Not Found"/>
    <s v="Not Found"/>
    <m/>
  </r>
  <r>
    <x v="2"/>
    <x v="0"/>
    <s v="Mr. Duquemin Joseph"/>
    <x v="1"/>
    <n v="24"/>
    <x v="0"/>
    <n v="0"/>
    <n v="0"/>
    <s v="S.O./P.P. 752"/>
    <n v="7.55"/>
    <x v="2"/>
    <s v="Unknown"/>
    <s v="Unknown"/>
    <s v="Southampton"/>
    <s v="D"/>
    <s v="Not Found"/>
    <s v="Not Found"/>
    <s v="England Albion, NY"/>
  </r>
  <r>
    <x v="2"/>
    <x v="1"/>
    <s v="Mr. Dyker Adolf"/>
    <x v="1"/>
    <n v="23"/>
    <x v="0"/>
    <n v="0"/>
    <n v="1"/>
    <n v="347072"/>
    <n v="13.9"/>
    <x v="1"/>
    <s v="Unknown"/>
    <s v="Unknown"/>
    <s v="Southampton"/>
    <s v="Not Applicable"/>
    <s v="Not Found"/>
    <s v="Not Found"/>
    <s v="West Haven, CT"/>
  </r>
  <r>
    <x v="2"/>
    <x v="0"/>
    <s v="Mrs. Dyker Adolf"/>
    <x v="0"/>
    <n v="22"/>
    <x v="0"/>
    <n v="0"/>
    <n v="1"/>
    <n v="347072"/>
    <n v="13.9"/>
    <x v="1"/>
    <s v="Unknown"/>
    <s v="Unknown"/>
    <s v="Southampton"/>
    <n v="16"/>
    <s v="Not Found"/>
    <s v="Not Found"/>
    <s v="West Haven, CT"/>
  </r>
  <r>
    <x v="2"/>
    <x v="1"/>
    <s v="Mr. Edvardsson Gustaf"/>
    <x v="1"/>
    <n v="18"/>
    <x v="0"/>
    <n v="0"/>
    <n v="0"/>
    <n v="349912"/>
    <n v="7.7750000000000004"/>
    <x v="2"/>
    <s v="Unknown"/>
    <s v="Unknown"/>
    <s v="Southampton"/>
    <s v="Not Applicable"/>
    <s v="Not Found"/>
    <s v="Not Found"/>
    <s v="Tofta, Sweden Joliet, IL"/>
  </r>
  <r>
    <x v="2"/>
    <x v="1"/>
    <s v="Mr. Eklund Hans"/>
    <x v="1"/>
    <n v="16"/>
    <x v="4"/>
    <n v="0"/>
    <n v="0"/>
    <n v="347074"/>
    <n v="7.7750000000000004"/>
    <x v="2"/>
    <s v="Unknown"/>
    <s v="Unknown"/>
    <s v="Southampton"/>
    <s v="Not Applicable"/>
    <s v="Not Found"/>
    <s v="Not Found"/>
    <s v="Karberg, Sweden Jerome Junction, AZ"/>
  </r>
  <r>
    <x v="2"/>
    <x v="1"/>
    <s v="Mr. Ekstrom Johan"/>
    <x v="1"/>
    <n v="45"/>
    <x v="2"/>
    <n v="0"/>
    <n v="0"/>
    <n v="347061"/>
    <n v="6.9749999999999996"/>
    <x v="2"/>
    <s v="Unknown"/>
    <s v="Unknown"/>
    <s v="Southampton"/>
    <s v="Not Applicable"/>
    <s v="Not Found"/>
    <s v="Not Found"/>
    <s v="Effington Rut, SD"/>
  </r>
  <r>
    <x v="2"/>
    <x v="1"/>
    <s v="Mr. Elias Dibo"/>
    <x v="1"/>
    <n v="28"/>
    <x v="0"/>
    <n v="0"/>
    <n v="0"/>
    <n v="2674"/>
    <n v="7.2249999999999996"/>
    <x v="2"/>
    <s v="Unknown"/>
    <s v="Unknown"/>
    <s v="Cherbourg"/>
    <s v="Not Applicable"/>
    <s v="Not Found"/>
    <s v="Not Found"/>
    <m/>
  </r>
  <r>
    <x v="2"/>
    <x v="1"/>
    <s v="Mr. Elias Joseph"/>
    <x v="1"/>
    <n v="39"/>
    <x v="2"/>
    <n v="2"/>
    <n v="0"/>
    <n v="2675"/>
    <n v="7.2291999999999996"/>
    <x v="2"/>
    <s v="Unknown"/>
    <s v="Unknown"/>
    <s v="Cherbourg"/>
    <s v="Not Applicable"/>
    <s v="Not Found"/>
    <s v="Not Found"/>
    <s v="Syria Ottawa, ON"/>
  </r>
  <r>
    <x v="2"/>
    <x v="1"/>
    <s v="Mr. Elias Joseph"/>
    <x v="1"/>
    <n v="17"/>
    <x v="4"/>
    <n v="1"/>
    <n v="1"/>
    <n v="2690"/>
    <n v="7.2291999999999996"/>
    <x v="2"/>
    <s v="Unknown"/>
    <s v="Unknown"/>
    <s v="Cherbourg"/>
    <s v="Not Applicable"/>
    <s v="Not Found"/>
    <s v="Not Found"/>
    <m/>
  </r>
  <r>
    <x v="2"/>
    <x v="1"/>
    <s v="Mr. Elias Tannous"/>
    <x v="1"/>
    <n v="15"/>
    <x v="4"/>
    <n v="1"/>
    <n v="1"/>
    <n v="2695"/>
    <n v="7.2291999999999996"/>
    <x v="2"/>
    <s v="Unknown"/>
    <s v="Unknown"/>
    <s v="Cherbourg"/>
    <s v="Not Applicable"/>
    <s v="Not Found"/>
    <s v="Not Found"/>
    <s v="Syria"/>
  </r>
  <r>
    <x v="2"/>
    <x v="1"/>
    <s v="Mr. Elsbury William"/>
    <x v="1"/>
    <n v="47"/>
    <x v="2"/>
    <n v="0"/>
    <n v="0"/>
    <s v="A/5 3902"/>
    <n v="7.25"/>
    <x v="2"/>
    <s v="Unknown"/>
    <s v="Unknown"/>
    <s v="Southampton"/>
    <s v="Not Applicable"/>
    <s v="Not Found"/>
    <s v="Not Found"/>
    <s v="Illinois, USA"/>
  </r>
  <r>
    <x v="2"/>
    <x v="0"/>
    <s v="Miss. Emanuel Virginia"/>
    <x v="0"/>
    <n v="5"/>
    <x v="1"/>
    <n v="0"/>
    <n v="0"/>
    <n v="364516"/>
    <n v="12.475"/>
    <x v="1"/>
    <s v="Unknown"/>
    <s v="Unknown"/>
    <s v="Southampton"/>
    <n v="13"/>
    <s v="Not Found"/>
    <s v="Not Found"/>
    <s v="New York, NY"/>
  </r>
  <r>
    <x v="2"/>
    <x v="1"/>
    <s v="Mr. Emir Farred"/>
    <x v="1"/>
    <n v="28"/>
    <x v="0"/>
    <n v="0"/>
    <n v="0"/>
    <n v="2631"/>
    <n v="7.2249999999999996"/>
    <x v="2"/>
    <s v="Unknown"/>
    <s v="Unknown"/>
    <s v="Cherbourg"/>
    <s v="Not Applicable"/>
    <s v="Not Found"/>
    <s v="Not Found"/>
    <m/>
  </r>
  <r>
    <x v="2"/>
    <x v="1"/>
    <s v="Mr. Everett Thomas"/>
    <x v="1"/>
    <n v="41"/>
    <x v="2"/>
    <n v="0"/>
    <n v="0"/>
    <s v="C.A. 6212"/>
    <n v="15.1"/>
    <x v="1"/>
    <s v="Unknown"/>
    <s v="Unknown"/>
    <s v="Southampton"/>
    <s v="Not Applicable"/>
    <n v="187"/>
    <s v="Found"/>
    <m/>
  </r>
  <r>
    <x v="2"/>
    <x v="1"/>
    <s v="Mr. Farrell James"/>
    <x v="1"/>
    <n v="41"/>
    <x v="2"/>
    <n v="0"/>
    <n v="0"/>
    <n v="367232"/>
    <n v="7.75"/>
    <x v="2"/>
    <s v="Unknown"/>
    <s v="Unknown"/>
    <s v="Queenstown"/>
    <s v="Not Applicable"/>
    <n v="68"/>
    <s v="Found"/>
    <s v="Aughnacliff, Co Longford, Ireland New York, NY"/>
  </r>
  <r>
    <x v="2"/>
    <x v="0"/>
    <s v="Mr. Finoli Luigi"/>
    <x v="1"/>
    <n v="28"/>
    <x v="0"/>
    <n v="0"/>
    <n v="0"/>
    <s v="SOTON/O.Q. 3101308"/>
    <n v="7.05"/>
    <x v="2"/>
    <s v="Unknown"/>
    <s v="Unknown"/>
    <s v="Southampton"/>
    <n v="15"/>
    <s v="Not Found"/>
    <s v="Not Found"/>
    <s v="Italy Philadelphia, PA"/>
  </r>
  <r>
    <x v="2"/>
    <x v="1"/>
    <s v="Mr. Fischer Eberhard"/>
    <x v="1"/>
    <n v="18"/>
    <x v="0"/>
    <n v="0"/>
    <n v="0"/>
    <n v="350036"/>
    <n v="7.7957999999999998"/>
    <x v="2"/>
    <s v="Unknown"/>
    <s v="Unknown"/>
    <s v="Southampton"/>
    <s v="Not Applicable"/>
    <s v="Not Found"/>
    <s v="Not Found"/>
    <m/>
  </r>
  <r>
    <x v="2"/>
    <x v="1"/>
    <s v="Miss. Fleming Honora"/>
    <x v="0"/>
    <n v="28"/>
    <x v="0"/>
    <n v="0"/>
    <n v="0"/>
    <n v="364859"/>
    <n v="7.75"/>
    <x v="2"/>
    <s v="Unknown"/>
    <s v="Unknown"/>
    <s v="Queenstown"/>
    <s v="Not Applicable"/>
    <s v="Not Found"/>
    <s v="Not Found"/>
    <m/>
  </r>
  <r>
    <x v="2"/>
    <x v="1"/>
    <s v="Mr. Flynn James"/>
    <x v="1"/>
    <n v="28"/>
    <x v="0"/>
    <n v="0"/>
    <n v="0"/>
    <n v="364851"/>
    <n v="7.75"/>
    <x v="2"/>
    <s v="Unknown"/>
    <s v="Unknown"/>
    <s v="Queenstown"/>
    <s v="Not Applicable"/>
    <s v="Not Found"/>
    <s v="Not Found"/>
    <m/>
  </r>
  <r>
    <x v="2"/>
    <x v="1"/>
    <s v="Mr. Flynn John"/>
    <x v="1"/>
    <n v="28"/>
    <x v="0"/>
    <n v="0"/>
    <n v="0"/>
    <n v="368323"/>
    <n v="6.95"/>
    <x v="2"/>
    <s v="Unknown"/>
    <s v="Unknown"/>
    <s v="Queenstown"/>
    <s v="Not Applicable"/>
    <s v="Not Found"/>
    <s v="Not Found"/>
    <m/>
  </r>
  <r>
    <x v="2"/>
    <x v="1"/>
    <s v="Mr. Foley Joseph"/>
    <x v="1"/>
    <n v="26"/>
    <x v="0"/>
    <n v="0"/>
    <n v="0"/>
    <n v="330910"/>
    <n v="7.8792"/>
    <x v="2"/>
    <s v="Unknown"/>
    <s v="Unknown"/>
    <s v="Queenstown"/>
    <s v="Not Applicable"/>
    <s v="Not Found"/>
    <s v="Not Found"/>
    <s v="Ireland Chicago, IL"/>
  </r>
  <r>
    <x v="2"/>
    <x v="1"/>
    <s v="Mr. Foley William"/>
    <x v="1"/>
    <n v="28"/>
    <x v="0"/>
    <n v="0"/>
    <n v="0"/>
    <n v="365235"/>
    <n v="7.75"/>
    <x v="2"/>
    <s v="Unknown"/>
    <s v="Unknown"/>
    <s v="Queenstown"/>
    <s v="Not Applicable"/>
    <s v="Not Found"/>
    <s v="Not Found"/>
    <s v="Ireland"/>
  </r>
  <r>
    <x v="2"/>
    <x v="0"/>
    <s v="Mr. Foo Choong"/>
    <x v="1"/>
    <n v="28"/>
    <x v="0"/>
    <n v="0"/>
    <n v="0"/>
    <n v="1601"/>
    <n v="56.495800000000003"/>
    <x v="0"/>
    <s v="Unknown"/>
    <s v="Unknown"/>
    <s v="Southampton"/>
    <n v="13"/>
    <s v="Not Found"/>
    <s v="Not Found"/>
    <s v="Hong Kong New York, NY"/>
  </r>
  <r>
    <x v="2"/>
    <x v="1"/>
    <s v="Miss. Ford Doolina"/>
    <x v="0"/>
    <n v="21"/>
    <x v="0"/>
    <n v="2"/>
    <n v="2"/>
    <s v="W./C. 6608"/>
    <n v="34.375"/>
    <x v="1"/>
    <s v="Unknown"/>
    <s v="Unknown"/>
    <s v="Southampton"/>
    <s v="Not Applicable"/>
    <s v="Not Found"/>
    <s v="Not Found"/>
    <s v="Rotherfield, Sussex, England Essex Co, MA"/>
  </r>
  <r>
    <x v="2"/>
    <x v="1"/>
    <s v="Miss. Ford Robina"/>
    <x v="0"/>
    <n v="9"/>
    <x v="1"/>
    <n v="2"/>
    <n v="2"/>
    <s v="W./C. 6608"/>
    <n v="34.375"/>
    <x v="1"/>
    <s v="Unknown"/>
    <s v="Unknown"/>
    <s v="Southampton"/>
    <s v="Not Applicable"/>
    <s v="Not Found"/>
    <s v="Not Found"/>
    <s v="Rotherfield, Sussex, England Essex Co, MA"/>
  </r>
  <r>
    <x v="2"/>
    <x v="1"/>
    <s v="Mr. Ford Arthur"/>
    <x v="1"/>
    <n v="28"/>
    <x v="0"/>
    <n v="0"/>
    <n v="0"/>
    <s v="A/5 1478"/>
    <n v="8.0500000000000007"/>
    <x v="2"/>
    <s v="Unknown"/>
    <s v="Unknown"/>
    <s v="Southampton"/>
    <s v="Not Applicable"/>
    <s v="Not Found"/>
    <s v="Not Found"/>
    <s v="Bridgwater, Somerset, England"/>
  </r>
  <r>
    <x v="2"/>
    <x v="1"/>
    <s v="Mr. Ford Edward"/>
    <x v="1"/>
    <n v="18"/>
    <x v="0"/>
    <n v="2"/>
    <n v="2"/>
    <s v="W./C. 6608"/>
    <n v="34.375"/>
    <x v="1"/>
    <s v="Unknown"/>
    <s v="Unknown"/>
    <s v="Southampton"/>
    <s v="Not Applicable"/>
    <s v="Not Found"/>
    <s v="Not Found"/>
    <s v="Rotherfield, Sussex, England Essex Co, MA"/>
  </r>
  <r>
    <x v="2"/>
    <x v="1"/>
    <s v="Mr. Ford William"/>
    <x v="1"/>
    <n v="16"/>
    <x v="4"/>
    <n v="3"/>
    <n v="1"/>
    <s v="W./C. 6608"/>
    <n v="34.375"/>
    <x v="1"/>
    <s v="Unknown"/>
    <s v="Unknown"/>
    <s v="Southampton"/>
    <s v="Not Applicable"/>
    <s v="Not Found"/>
    <s v="Not Found"/>
    <s v="Rotherfield, Sussex, England Essex Co, MA"/>
  </r>
  <r>
    <x v="2"/>
    <x v="1"/>
    <s v="Mrs. Ford Edward"/>
    <x v="0"/>
    <n v="48"/>
    <x v="2"/>
    <n v="3"/>
    <n v="1"/>
    <s v="W./C. 6608"/>
    <n v="34.375"/>
    <x v="1"/>
    <s v="Unknown"/>
    <s v="Unknown"/>
    <s v="Southampton"/>
    <s v="Not Applicable"/>
    <s v="Not Found"/>
    <s v="Not Found"/>
    <s v="Rotherfield, Sussex, England Essex Co, MA"/>
  </r>
  <r>
    <x v="2"/>
    <x v="1"/>
    <s v="Mr. Fox Patrick"/>
    <x v="1"/>
    <n v="28"/>
    <x v="0"/>
    <n v="0"/>
    <n v="0"/>
    <n v="368573"/>
    <n v="7.75"/>
    <x v="2"/>
    <s v="Unknown"/>
    <s v="Unknown"/>
    <s v="Queenstown"/>
    <s v="Not Applicable"/>
    <s v="Not Found"/>
    <s v="Not Found"/>
    <s v="Ireland New York, NY"/>
  </r>
  <r>
    <x v="2"/>
    <x v="1"/>
    <s v="Mr. Franklin Charles"/>
    <x v="1"/>
    <n v="28"/>
    <x v="0"/>
    <n v="0"/>
    <n v="0"/>
    <s v="SOTON/O.Q. 3101314"/>
    <n v="7.25"/>
    <x v="2"/>
    <s v="Unknown"/>
    <s v="Unknown"/>
    <s v="Southampton"/>
    <s v="Not Applicable"/>
    <s v="Not Found"/>
    <s v="Not Found"/>
    <m/>
  </r>
  <r>
    <x v="2"/>
    <x v="1"/>
    <s v="Mr. Gallagher Martin"/>
    <x v="1"/>
    <n v="25"/>
    <x v="0"/>
    <n v="0"/>
    <n v="0"/>
    <n v="36864"/>
    <n v="7.7416999999999998"/>
    <x v="2"/>
    <s v="Unknown"/>
    <s v="Unknown"/>
    <s v="Queenstown"/>
    <s v="Not Applicable"/>
    <s v="Not Found"/>
    <s v="Not Found"/>
    <s v="New York, NY"/>
  </r>
  <r>
    <x v="2"/>
    <x v="1"/>
    <s v="Mr. Garfirth John"/>
    <x v="1"/>
    <n v="28"/>
    <x v="0"/>
    <n v="0"/>
    <n v="0"/>
    <n v="358585"/>
    <n v="14.5"/>
    <x v="1"/>
    <s v="Unknown"/>
    <s v="Unknown"/>
    <s v="Southampton"/>
    <s v="Not Applicable"/>
    <s v="Not Found"/>
    <s v="Not Found"/>
    <m/>
  </r>
  <r>
    <x v="2"/>
    <x v="1"/>
    <s v="Mr. Gheorgheff Stanio"/>
    <x v="1"/>
    <n v="28"/>
    <x v="0"/>
    <n v="0"/>
    <n v="0"/>
    <n v="349254"/>
    <n v="7.8958000000000004"/>
    <x v="2"/>
    <s v="Unknown"/>
    <s v="Unknown"/>
    <s v="Cherbourg"/>
    <s v="Not Applicable"/>
    <s v="Not Found"/>
    <s v="Not Found"/>
    <m/>
  </r>
  <r>
    <x v="2"/>
    <x v="1"/>
    <s v="Mr. Gilinski Eliezer"/>
    <x v="1"/>
    <n v="22"/>
    <x v="0"/>
    <n v="0"/>
    <n v="0"/>
    <n v="14973"/>
    <n v="8.0500000000000007"/>
    <x v="2"/>
    <s v="Unknown"/>
    <s v="Unknown"/>
    <s v="Southampton"/>
    <s v="Not Applicable"/>
    <n v="47"/>
    <s v="Found"/>
    <m/>
  </r>
  <r>
    <x v="2"/>
    <x v="0"/>
    <s v="Miss. Gilnagh Katherine"/>
    <x v="0"/>
    <n v="16"/>
    <x v="4"/>
    <n v="0"/>
    <n v="0"/>
    <n v="35851"/>
    <n v="7.7332999999999998"/>
    <x v="2"/>
    <s v="Unknown"/>
    <s v="Unknown"/>
    <s v="Queenstown"/>
    <n v="16"/>
    <s v="Not Found"/>
    <s v="Not Found"/>
    <s v="Co Longford, Ireland New York, NY"/>
  </r>
  <r>
    <x v="2"/>
    <x v="0"/>
    <s v="Miss. Glynn Mary"/>
    <x v="0"/>
    <n v="28"/>
    <x v="0"/>
    <n v="0"/>
    <n v="0"/>
    <n v="335677"/>
    <n v="7.75"/>
    <x v="2"/>
    <s v="Unknown"/>
    <s v="Unknown"/>
    <s v="Queenstown"/>
    <n v="13"/>
    <s v="Not Found"/>
    <s v="Not Found"/>
    <s v="Co Clare, Ireland Washington, DC"/>
  </r>
  <r>
    <x v="2"/>
    <x v="0"/>
    <s v="Master. Goldsmith Frank"/>
    <x v="1"/>
    <n v="9"/>
    <x v="1"/>
    <n v="2"/>
    <n v="0"/>
    <n v="363291"/>
    <n v="20.524999999999999"/>
    <x v="1"/>
    <s v="Unknown"/>
    <s v="Unknown"/>
    <s v="Southampton"/>
    <s v="C D"/>
    <s v="Not Found"/>
    <s v="Not Found"/>
    <s v="Strood, Kent, England Detroit, MI"/>
  </r>
  <r>
    <x v="2"/>
    <x v="1"/>
    <s v="Mr. Goldsmith Frank"/>
    <x v="1"/>
    <n v="33"/>
    <x v="2"/>
    <n v="1"/>
    <n v="1"/>
    <n v="363291"/>
    <n v="20.524999999999999"/>
    <x v="1"/>
    <s v="Unknown"/>
    <s v="Unknown"/>
    <s v="Southampton"/>
    <s v="Not Applicable"/>
    <s v="Not Found"/>
    <s v="Not Found"/>
    <s v="Strood, Kent, England Detroit, MI"/>
  </r>
  <r>
    <x v="2"/>
    <x v="1"/>
    <s v="Mr. Goldsmith Nathan"/>
    <x v="1"/>
    <n v="41"/>
    <x v="2"/>
    <n v="0"/>
    <n v="0"/>
    <s v="SOTON/O.Q. 3101263"/>
    <n v="7.85"/>
    <x v="2"/>
    <s v="Unknown"/>
    <s v="Unknown"/>
    <s v="Southampton"/>
    <s v="Not Applicable"/>
    <s v="Not Found"/>
    <s v="Not Found"/>
    <s v="Philadelphia, PA"/>
  </r>
  <r>
    <x v="2"/>
    <x v="0"/>
    <s v="Mrs. Goldsmith Frank"/>
    <x v="0"/>
    <n v="31"/>
    <x v="2"/>
    <n v="1"/>
    <n v="1"/>
    <n v="363291"/>
    <n v="20.524999999999999"/>
    <x v="1"/>
    <s v="Unknown"/>
    <s v="Unknown"/>
    <s v="Southampton"/>
    <s v="C D"/>
    <s v="Not Found"/>
    <s v="Not Found"/>
    <s v="Strood, Kent, England Detroit, MI"/>
  </r>
  <r>
    <x v="2"/>
    <x v="1"/>
    <s v="Mr. Goncalves Manuel"/>
    <x v="1"/>
    <n v="38"/>
    <x v="2"/>
    <n v="0"/>
    <n v="0"/>
    <s v="SOTON/O.Q. 3101306"/>
    <n v="7.05"/>
    <x v="2"/>
    <s v="Unknown"/>
    <s v="Unknown"/>
    <s v="Southampton"/>
    <s v="Not Applicable"/>
    <s v="Not Found"/>
    <s v="Not Found"/>
    <s v="Portugal"/>
  </r>
  <r>
    <x v="2"/>
    <x v="1"/>
    <s v="Master. Goodwin Harold"/>
    <x v="1"/>
    <n v="9"/>
    <x v="1"/>
    <n v="2"/>
    <n v="5"/>
    <s v="CA 2144"/>
    <n v="46.9"/>
    <x v="1"/>
    <s v="Unknown"/>
    <s v="Unknown"/>
    <s v="Southampton"/>
    <s v="Not Applicable"/>
    <s v="Not Found"/>
    <s v="Not Found"/>
    <s v="Wiltshire, England Niagara Falls, NY"/>
  </r>
  <r>
    <x v="2"/>
    <x v="1"/>
    <s v="Master. Goodwin Sidney"/>
    <x v="1"/>
    <n v="1"/>
    <x v="1"/>
    <n v="2"/>
    <n v="5"/>
    <s v="CA 2144"/>
    <n v="46.9"/>
    <x v="1"/>
    <s v="Unknown"/>
    <s v="Unknown"/>
    <s v="Southampton"/>
    <s v="Not Applicable"/>
    <s v="Not Found"/>
    <s v="Not Found"/>
    <s v="Wiltshire, England Niagara Falls, NY"/>
  </r>
  <r>
    <x v="2"/>
    <x v="1"/>
    <s v="Master. Goodwin William"/>
    <x v="1"/>
    <n v="11"/>
    <x v="4"/>
    <n v="2"/>
    <n v="5"/>
    <s v="CA 2144"/>
    <n v="46.9"/>
    <x v="1"/>
    <s v="Unknown"/>
    <s v="Unknown"/>
    <s v="Southampton"/>
    <s v="Not Applicable"/>
    <s v="Not Found"/>
    <s v="Not Found"/>
    <s v="Wiltshire, England Niagara Falls, NY"/>
  </r>
  <r>
    <x v="2"/>
    <x v="1"/>
    <s v="Miss. Goodwin Jessie"/>
    <x v="0"/>
    <n v="10"/>
    <x v="4"/>
    <n v="2"/>
    <n v="5"/>
    <s v="CA 2144"/>
    <n v="46.9"/>
    <x v="1"/>
    <s v="Unknown"/>
    <s v="Unknown"/>
    <s v="Southampton"/>
    <s v="Not Applicable"/>
    <s v="Not Found"/>
    <s v="Not Found"/>
    <s v="Wiltshire, England Niagara Falls, NY"/>
  </r>
  <r>
    <x v="2"/>
    <x v="1"/>
    <s v="Miss. Goodwin Lillian"/>
    <x v="0"/>
    <n v="16"/>
    <x v="4"/>
    <n v="2"/>
    <n v="5"/>
    <s v="CA 2144"/>
    <n v="46.9"/>
    <x v="1"/>
    <s v="Unknown"/>
    <s v="Unknown"/>
    <s v="Southampton"/>
    <s v="Not Applicable"/>
    <s v="Not Found"/>
    <s v="Not Found"/>
    <s v="Wiltshire, England Niagara Falls, NY"/>
  </r>
  <r>
    <x v="2"/>
    <x v="1"/>
    <s v="Mr. Goodwin Charles"/>
    <x v="1"/>
    <n v="14"/>
    <x v="4"/>
    <n v="2"/>
    <n v="5"/>
    <s v="CA 2144"/>
    <n v="46.9"/>
    <x v="1"/>
    <s v="Unknown"/>
    <s v="Unknown"/>
    <s v="Southampton"/>
    <s v="Not Applicable"/>
    <s v="Not Found"/>
    <s v="Not Found"/>
    <s v="Wiltshire, England Niagara Falls, NY"/>
  </r>
  <r>
    <x v="2"/>
    <x v="1"/>
    <s v="Mr. Goodwin Charles"/>
    <x v="1"/>
    <n v="40"/>
    <x v="2"/>
    <n v="6"/>
    <n v="1"/>
    <s v="CA 2144"/>
    <n v="46.9"/>
    <x v="1"/>
    <s v="Unknown"/>
    <s v="Unknown"/>
    <s v="Southampton"/>
    <s v="Not Applicable"/>
    <s v="Not Found"/>
    <s v="Not Found"/>
    <s v="Wiltshire, England Niagara Falls, NY"/>
  </r>
  <r>
    <x v="2"/>
    <x v="1"/>
    <s v="Mrs. Goodwin Frederick"/>
    <x v="0"/>
    <n v="43"/>
    <x v="2"/>
    <n v="6"/>
    <n v="1"/>
    <s v="CA 2144"/>
    <n v="46.9"/>
    <x v="1"/>
    <s v="Unknown"/>
    <s v="Unknown"/>
    <s v="Southampton"/>
    <s v="Not Applicable"/>
    <s v="Not Found"/>
    <s v="Not Found"/>
    <s v="Wiltshire, England Niagara Falls, NY"/>
  </r>
  <r>
    <x v="2"/>
    <x v="1"/>
    <s v="Mr. Green George"/>
    <x v="1"/>
    <n v="51"/>
    <x v="2"/>
    <n v="0"/>
    <n v="0"/>
    <n v="21440"/>
    <n v="8.0500000000000007"/>
    <x v="2"/>
    <s v="Unknown"/>
    <s v="Unknown"/>
    <s v="Southampton"/>
    <s v="Not Applicable"/>
    <s v="Not Found"/>
    <s v="Not Found"/>
    <s v="Dorking, Surrey, England"/>
  </r>
  <r>
    <x v="2"/>
    <x v="1"/>
    <s v="Mr. Gronnestad Daniel"/>
    <x v="1"/>
    <n v="32"/>
    <x v="2"/>
    <n v="0"/>
    <n v="0"/>
    <n v="8471"/>
    <n v="8.3625000000000007"/>
    <x v="2"/>
    <s v="Unknown"/>
    <s v="Unknown"/>
    <s v="Southampton"/>
    <s v="Not Applicable"/>
    <s v="Not Found"/>
    <s v="Not Found"/>
    <s v="Foresvik, Norway Portland, ND"/>
  </r>
  <r>
    <x v="2"/>
    <x v="1"/>
    <s v="Mr. Guest Robert"/>
    <x v="1"/>
    <n v="28"/>
    <x v="0"/>
    <n v="0"/>
    <n v="0"/>
    <n v="376563"/>
    <n v="8.0500000000000007"/>
    <x v="2"/>
    <s v="Unknown"/>
    <s v="Unknown"/>
    <s v="Southampton"/>
    <s v="Not Applicable"/>
    <s v="Not Found"/>
    <s v="Not Found"/>
    <m/>
  </r>
  <r>
    <x v="2"/>
    <x v="1"/>
    <s v="Mr. Gustafsson Alfred"/>
    <x v="1"/>
    <n v="20"/>
    <x v="0"/>
    <n v="0"/>
    <n v="0"/>
    <n v="7534"/>
    <n v="9.8458000000000006"/>
    <x v="2"/>
    <s v="Unknown"/>
    <s v="Unknown"/>
    <s v="Southampton"/>
    <s v="Not Applicable"/>
    <s v="Not Found"/>
    <s v="Not Found"/>
    <s v="Waukegan, Chicago, IL"/>
  </r>
  <r>
    <x v="2"/>
    <x v="1"/>
    <s v="Mr. Gustafsson Anders"/>
    <x v="1"/>
    <n v="37"/>
    <x v="2"/>
    <n v="0"/>
    <n v="2"/>
    <n v="3101276"/>
    <n v="7.9249999999999998"/>
    <x v="2"/>
    <s v="Unknown"/>
    <s v="Unknown"/>
    <s v="Southampton"/>
    <s v="Not Applicable"/>
    <n v="98"/>
    <s v="Found"/>
    <s v="Ruotsinphytaa, Finland New York, NY"/>
  </r>
  <r>
    <x v="2"/>
    <x v="1"/>
    <s v="Mr. Gustafsson Johan"/>
    <x v="1"/>
    <n v="28"/>
    <x v="0"/>
    <n v="0"/>
    <n v="2"/>
    <n v="3101277"/>
    <n v="7.9249999999999998"/>
    <x v="2"/>
    <s v="Unknown"/>
    <s v="Unknown"/>
    <s v="Southampton"/>
    <s v="Not Applicable"/>
    <s v="Not Found"/>
    <s v="Not Found"/>
    <s v="Ruotsinphytaa, Finland New York, NY"/>
  </r>
  <r>
    <x v="2"/>
    <x v="1"/>
    <s v="Mr. Gustafsson Karl"/>
    <x v="1"/>
    <n v="19"/>
    <x v="0"/>
    <n v="0"/>
    <n v="0"/>
    <n v="347069"/>
    <n v="7.7750000000000004"/>
    <x v="2"/>
    <s v="Unknown"/>
    <s v="Unknown"/>
    <s v="Southampton"/>
    <s v="Not Applicable"/>
    <s v="Not Found"/>
    <s v="Not Found"/>
    <s v="Myren, Sweden New York, NY"/>
  </r>
  <r>
    <x v="2"/>
    <x v="1"/>
    <s v="Miss. Haas Aloisia"/>
    <x v="0"/>
    <n v="24"/>
    <x v="0"/>
    <n v="0"/>
    <n v="0"/>
    <n v="349236"/>
    <n v="8.85"/>
    <x v="2"/>
    <s v="Unknown"/>
    <s v="Unknown"/>
    <s v="Southampton"/>
    <s v="Not Applicable"/>
    <s v="Not Found"/>
    <s v="Not Found"/>
    <m/>
  </r>
  <r>
    <x v="2"/>
    <x v="1"/>
    <s v="Miss. Hagardon Kate"/>
    <x v="0"/>
    <n v="17"/>
    <x v="4"/>
    <n v="0"/>
    <n v="0"/>
    <s v="AQ/3. 30631"/>
    <n v="7.7332999999999998"/>
    <x v="2"/>
    <s v="Unknown"/>
    <s v="Unknown"/>
    <s v="Queenstown"/>
    <s v="Not Applicable"/>
    <s v="Not Found"/>
    <s v="Not Found"/>
    <m/>
  </r>
  <r>
    <x v="2"/>
    <x v="1"/>
    <s v="Mr. Hagland Ingvald"/>
    <x v="1"/>
    <n v="28"/>
    <x v="0"/>
    <n v="0"/>
    <n v="1"/>
    <n v="65303"/>
    <n v="19.966699999999999"/>
    <x v="1"/>
    <s v="Unknown"/>
    <s v="Unknown"/>
    <s v="Southampton"/>
    <s v="Not Applicable"/>
    <s v="Not Found"/>
    <s v="Not Found"/>
    <m/>
  </r>
  <r>
    <x v="2"/>
    <x v="1"/>
    <s v="Mr. Hagland Konrad"/>
    <x v="1"/>
    <n v="28"/>
    <x v="0"/>
    <n v="0"/>
    <n v="1"/>
    <n v="65304"/>
    <n v="19.966699999999999"/>
    <x v="1"/>
    <s v="Unknown"/>
    <s v="Unknown"/>
    <s v="Southampton"/>
    <s v="Not Applicable"/>
    <s v="Not Found"/>
    <s v="Not Found"/>
    <m/>
  </r>
  <r>
    <x v="2"/>
    <x v="1"/>
    <s v="Mr. Hakkarainen Pekka"/>
    <x v="1"/>
    <n v="28"/>
    <x v="0"/>
    <n v="0"/>
    <n v="1"/>
    <s v="STON/O2. 3101279"/>
    <n v="15.85"/>
    <x v="1"/>
    <s v="Unknown"/>
    <s v="Unknown"/>
    <s v="Southampton"/>
    <s v="Not Applicable"/>
    <s v="Not Found"/>
    <s v="Not Found"/>
    <m/>
  </r>
  <r>
    <x v="2"/>
    <x v="0"/>
    <s v="Mrs. Hakkarainen Pekka"/>
    <x v="0"/>
    <n v="24"/>
    <x v="0"/>
    <n v="0"/>
    <n v="1"/>
    <s v="STON/O2. 3101279"/>
    <n v="15.85"/>
    <x v="1"/>
    <s v="Unknown"/>
    <s v="Unknown"/>
    <s v="Southampton"/>
    <n v="15"/>
    <s v="Not Found"/>
    <s v="Not Found"/>
    <m/>
  </r>
  <r>
    <x v="2"/>
    <x v="1"/>
    <s v="Mr. Hampe Leon"/>
    <x v="1"/>
    <n v="20"/>
    <x v="0"/>
    <n v="0"/>
    <n v="0"/>
    <n v="345769"/>
    <n v="9.5"/>
    <x v="2"/>
    <s v="Unknown"/>
    <s v="Unknown"/>
    <s v="Southampton"/>
    <s v="Not Applicable"/>
    <s v="Not Found"/>
    <s v="Not Found"/>
    <m/>
  </r>
  <r>
    <x v="2"/>
    <x v="1"/>
    <s v="Mr. Hanna Mansour"/>
    <x v="1"/>
    <n v="24"/>
    <x v="0"/>
    <n v="0"/>
    <n v="0"/>
    <n v="2693"/>
    <n v="7.2291999999999996"/>
    <x v="2"/>
    <s v="Unknown"/>
    <s v="Unknown"/>
    <s v="Cherbourg"/>
    <s v="Not Applicable"/>
    <n v="188"/>
    <s v="Found"/>
    <m/>
  </r>
  <r>
    <x v="2"/>
    <x v="1"/>
    <s v="Mr. Hansen Claus"/>
    <x v="1"/>
    <n v="41"/>
    <x v="2"/>
    <n v="0"/>
    <n v="2"/>
    <n v="350026"/>
    <n v="14.1083"/>
    <x v="1"/>
    <s v="Unknown"/>
    <s v="Unknown"/>
    <s v="Southampton"/>
    <s v="Not Applicable"/>
    <s v="Not Found"/>
    <s v="Not Found"/>
    <m/>
  </r>
  <r>
    <x v="2"/>
    <x v="1"/>
    <s v="Mr. Hansen Henrik"/>
    <x v="1"/>
    <n v="26"/>
    <x v="0"/>
    <n v="0"/>
    <n v="1"/>
    <n v="350025"/>
    <n v="7.8541999999999996"/>
    <x v="2"/>
    <s v="Unknown"/>
    <s v="Unknown"/>
    <s v="Southampton"/>
    <s v="Not Applicable"/>
    <s v="Not Found"/>
    <s v="Not Found"/>
    <m/>
  </r>
  <r>
    <x v="2"/>
    <x v="1"/>
    <s v="Mr. Hansen Henry"/>
    <x v="1"/>
    <n v="21"/>
    <x v="0"/>
    <n v="0"/>
    <n v="0"/>
    <n v="350029"/>
    <n v="7.8541999999999996"/>
    <x v="2"/>
    <s v="Unknown"/>
    <s v="Unknown"/>
    <s v="Southampton"/>
    <s v="Not Applicable"/>
    <n v="69"/>
    <s v="Found"/>
    <m/>
  </r>
  <r>
    <x v="2"/>
    <x v="0"/>
    <s v="Mrs. Hansen Claus"/>
    <x v="0"/>
    <n v="45"/>
    <x v="2"/>
    <n v="0"/>
    <n v="1"/>
    <n v="350026"/>
    <n v="14.1083"/>
    <x v="1"/>
    <s v="Unknown"/>
    <s v="Unknown"/>
    <s v="Southampton"/>
    <n v="11"/>
    <s v="Not Found"/>
    <s v="Not Found"/>
    <m/>
  </r>
  <r>
    <x v="2"/>
    <x v="1"/>
    <s v="Miss. Harknett Alice"/>
    <x v="0"/>
    <n v="28"/>
    <x v="0"/>
    <n v="0"/>
    <n v="0"/>
    <s v="W./C. 6609"/>
    <n v="7.55"/>
    <x v="2"/>
    <s v="Unknown"/>
    <s v="Unknown"/>
    <s v="Southampton"/>
    <s v="Not Applicable"/>
    <s v="Not Found"/>
    <s v="Not Found"/>
    <m/>
  </r>
  <r>
    <x v="2"/>
    <x v="1"/>
    <s v="Mr. Harmer Abraham"/>
    <x v="1"/>
    <n v="25"/>
    <x v="0"/>
    <n v="0"/>
    <n v="0"/>
    <n v="374887"/>
    <n v="7.25"/>
    <x v="2"/>
    <s v="Unknown"/>
    <s v="Unknown"/>
    <s v="Southampton"/>
    <s v="B"/>
    <s v="Not Found"/>
    <s v="Not Found"/>
    <m/>
  </r>
  <r>
    <x v="2"/>
    <x v="1"/>
    <s v="Mr. Hart Henry"/>
    <x v="1"/>
    <n v="28"/>
    <x v="0"/>
    <n v="0"/>
    <n v="0"/>
    <n v="394140"/>
    <n v="6.8582999999999998"/>
    <x v="2"/>
    <s v="Unknown"/>
    <s v="Unknown"/>
    <s v="Queenstown"/>
    <s v="Not Applicable"/>
    <s v="Not Found"/>
    <s v="Not Found"/>
    <m/>
  </r>
  <r>
    <x v="2"/>
    <x v="1"/>
    <s v="Mr. Hassan Houssein"/>
    <x v="1"/>
    <n v="11"/>
    <x v="4"/>
    <n v="0"/>
    <n v="0"/>
    <n v="2699"/>
    <n v="18.787500000000001"/>
    <x v="1"/>
    <s v="Unknown"/>
    <s v="Unknown"/>
    <s v="Cherbourg"/>
    <s v="Not Applicable"/>
    <s v="Not Found"/>
    <s v="Not Found"/>
    <m/>
  </r>
  <r>
    <x v="2"/>
    <x v="0"/>
    <s v="Miss. Healy Hanora"/>
    <x v="0"/>
    <n v="28"/>
    <x v="0"/>
    <n v="0"/>
    <n v="0"/>
    <n v="370375"/>
    <n v="7.75"/>
    <x v="2"/>
    <s v="Unknown"/>
    <s v="Unknown"/>
    <s v="Queenstown"/>
    <n v="16"/>
    <s v="Not Found"/>
    <s v="Not Found"/>
    <m/>
  </r>
  <r>
    <x v="2"/>
    <x v="0"/>
    <s v="Mr. Hedman Oskar"/>
    <x v="1"/>
    <n v="27"/>
    <x v="0"/>
    <n v="0"/>
    <n v="0"/>
    <n v="347089"/>
    <n v="6.9749999999999996"/>
    <x v="2"/>
    <s v="Unknown"/>
    <s v="Unknown"/>
    <s v="Southampton"/>
    <n v="15"/>
    <s v="Not Found"/>
    <s v="Not Found"/>
    <m/>
  </r>
  <r>
    <x v="2"/>
    <x v="0"/>
    <s v="Mr. Hee Ling"/>
    <x v="1"/>
    <n v="28"/>
    <x v="0"/>
    <n v="0"/>
    <n v="0"/>
    <n v="1601"/>
    <n v="56.495800000000003"/>
    <x v="0"/>
    <s v="Unknown"/>
    <s v="Unknown"/>
    <s v="Southampton"/>
    <s v="C"/>
    <s v="Not Found"/>
    <s v="Not Found"/>
    <m/>
  </r>
  <r>
    <x v="2"/>
    <x v="1"/>
    <s v="Miss. Hegarty Hanora"/>
    <x v="0"/>
    <n v="18"/>
    <x v="0"/>
    <n v="0"/>
    <n v="0"/>
    <n v="365226"/>
    <n v="6.75"/>
    <x v="2"/>
    <s v="Unknown"/>
    <s v="Unknown"/>
    <s v="Queenstown"/>
    <s v="Not Applicable"/>
    <s v="Not Found"/>
    <s v="Not Found"/>
    <m/>
  </r>
  <r>
    <x v="2"/>
    <x v="0"/>
    <s v="Miss. Heikkinen Laina"/>
    <x v="0"/>
    <n v="26"/>
    <x v="0"/>
    <n v="0"/>
    <n v="0"/>
    <s v="STON/O2. 3101282"/>
    <n v="7.9249999999999998"/>
    <x v="2"/>
    <s v="Unknown"/>
    <s v="Unknown"/>
    <s v="Southampton"/>
    <s v="Not Applicable"/>
    <s v="Not Found"/>
    <s v="Not Found"/>
    <m/>
  </r>
  <r>
    <x v="2"/>
    <x v="1"/>
    <s v="Miss. Heininen Wendla"/>
    <x v="0"/>
    <n v="23"/>
    <x v="0"/>
    <n v="0"/>
    <n v="0"/>
    <s v="STON/O2. 3101290"/>
    <n v="7.9249999999999998"/>
    <x v="2"/>
    <s v="Unknown"/>
    <s v="Unknown"/>
    <s v="Southampton"/>
    <s v="Not Applicable"/>
    <s v="Not Found"/>
    <s v="Not Found"/>
    <m/>
  </r>
  <r>
    <x v="2"/>
    <x v="0"/>
    <s v="Miss. Hellstrom Hilda"/>
    <x v="0"/>
    <n v="22"/>
    <x v="0"/>
    <n v="0"/>
    <n v="0"/>
    <n v="7548"/>
    <n v="8.9625000000000004"/>
    <x v="2"/>
    <s v="Unknown"/>
    <s v="Unknown"/>
    <s v="Southampton"/>
    <s v="C"/>
    <s v="Not Found"/>
    <s v="Not Found"/>
    <m/>
  </r>
  <r>
    <x v="2"/>
    <x v="1"/>
    <s v="Mr. Hendekovic Ignjac"/>
    <x v="1"/>
    <n v="28"/>
    <x v="0"/>
    <n v="0"/>
    <n v="0"/>
    <n v="349243"/>
    <n v="7.8958000000000004"/>
    <x v="2"/>
    <s v="Unknown"/>
    <s v="Unknown"/>
    <s v="Southampton"/>
    <s v="Not Applicable"/>
    <n v="306"/>
    <s v="Found"/>
    <m/>
  </r>
  <r>
    <x v="2"/>
    <x v="1"/>
    <s v="Miss. Henriksson Jenny"/>
    <x v="0"/>
    <n v="28"/>
    <x v="0"/>
    <n v="0"/>
    <n v="0"/>
    <n v="347086"/>
    <n v="7.7750000000000004"/>
    <x v="2"/>
    <s v="Unknown"/>
    <s v="Unknown"/>
    <s v="Southampton"/>
    <s v="Not Applicable"/>
    <s v="Not Found"/>
    <s v="Not Found"/>
    <m/>
  </r>
  <r>
    <x v="2"/>
    <x v="1"/>
    <s v="Miss. Henry Delia"/>
    <x v="0"/>
    <n v="28"/>
    <x v="0"/>
    <n v="0"/>
    <n v="0"/>
    <n v="382649"/>
    <n v="7.75"/>
    <x v="2"/>
    <s v="Unknown"/>
    <s v="Unknown"/>
    <s v="Queenstown"/>
    <s v="Not Applicable"/>
    <s v="Not Found"/>
    <s v="Not Found"/>
    <m/>
  </r>
  <r>
    <x v="2"/>
    <x v="0"/>
    <s v="Miss. Hirvonen Hildur"/>
    <x v="0"/>
    <n v="2"/>
    <x v="1"/>
    <n v="1"/>
    <n v="0"/>
    <n v="3101298"/>
    <n v="12.2875"/>
    <x v="1"/>
    <s v="Unknown"/>
    <s v="Unknown"/>
    <s v="Southampton"/>
    <n v="15"/>
    <s v="Not Found"/>
    <s v="Not Found"/>
    <m/>
  </r>
  <r>
    <x v="2"/>
    <x v="0"/>
    <s v="Mrs. Hirvonen Alexander"/>
    <x v="0"/>
    <n v="22"/>
    <x v="0"/>
    <n v="1"/>
    <n v="1"/>
    <n v="3101298"/>
    <n v="12.2875"/>
    <x v="1"/>
    <s v="Unknown"/>
    <s v="Unknown"/>
    <s v="Southampton"/>
    <n v="15"/>
    <s v="Not Found"/>
    <s v="Not Found"/>
    <m/>
  </r>
  <r>
    <x v="2"/>
    <x v="1"/>
    <s v="Mr. Holm John"/>
    <x v="1"/>
    <n v="43"/>
    <x v="2"/>
    <n v="0"/>
    <n v="0"/>
    <s v="C 7075"/>
    <n v="6.45"/>
    <x v="2"/>
    <s v="Unknown"/>
    <s v="Unknown"/>
    <s v="Southampton"/>
    <s v="Not Applicable"/>
    <s v="Not Found"/>
    <s v="Not Found"/>
    <m/>
  </r>
  <r>
    <x v="2"/>
    <x v="1"/>
    <s v="Mr. Holthen Johan"/>
    <x v="1"/>
    <n v="28"/>
    <x v="0"/>
    <n v="0"/>
    <n v="0"/>
    <s v="C 4001"/>
    <n v="22.524999999999999"/>
    <x v="1"/>
    <s v="Unknown"/>
    <s v="Unknown"/>
    <s v="Southampton"/>
    <s v="Not Applicable"/>
    <s v="Not Found"/>
    <s v="Not Found"/>
    <m/>
  </r>
  <r>
    <x v="2"/>
    <x v="0"/>
    <s v="Miss. Honkanen Eliina"/>
    <x v="0"/>
    <n v="27"/>
    <x v="0"/>
    <n v="0"/>
    <n v="0"/>
    <s v="STON/O2. 3101283"/>
    <n v="7.9249999999999998"/>
    <x v="2"/>
    <s v="Unknown"/>
    <s v="Unknown"/>
    <s v="Southampton"/>
    <s v="Not Applicable"/>
    <s v="Not Found"/>
    <s v="Not Found"/>
    <m/>
  </r>
  <r>
    <x v="2"/>
    <x v="1"/>
    <s v="Mr. Horgan John"/>
    <x v="1"/>
    <n v="28"/>
    <x v="0"/>
    <n v="0"/>
    <n v="0"/>
    <n v="370377"/>
    <n v="7.75"/>
    <x v="2"/>
    <s v="Unknown"/>
    <s v="Unknown"/>
    <s v="Queenstown"/>
    <s v="Not Applicable"/>
    <s v="Not Found"/>
    <s v="Not Found"/>
    <m/>
  </r>
  <r>
    <x v="2"/>
    <x v="0"/>
    <s v="Miss. Howard May"/>
    <x v="0"/>
    <n v="28"/>
    <x v="0"/>
    <n v="0"/>
    <n v="0"/>
    <s v="A. 2. 39186"/>
    <n v="8.0500000000000007"/>
    <x v="2"/>
    <s v="Unknown"/>
    <s v="Unknown"/>
    <s v="Southampton"/>
    <s v="C"/>
    <s v="Not Found"/>
    <s v="Not Found"/>
    <m/>
  </r>
  <r>
    <x v="2"/>
    <x v="1"/>
    <s v="Mr. Humblen Adolf"/>
    <x v="1"/>
    <n v="42"/>
    <x v="2"/>
    <n v="0"/>
    <n v="0"/>
    <n v="348121"/>
    <n v="7.65"/>
    <x v="2"/>
    <s v="F G63"/>
    <s v="F"/>
    <s v="Southampton"/>
    <s v="Not Applicable"/>
    <n v="120"/>
    <s v="Found"/>
    <m/>
  </r>
  <r>
    <x v="2"/>
    <x v="0"/>
    <s v="Mr. Hyman Abraham"/>
    <x v="1"/>
    <n v="28"/>
    <x v="0"/>
    <n v="0"/>
    <n v="0"/>
    <n v="3470"/>
    <n v="7.8875000000000002"/>
    <x v="2"/>
    <s v="Unknown"/>
    <s v="Unknown"/>
    <s v="Southampton"/>
    <s v="C"/>
    <s v="Not Found"/>
    <s v="Not Found"/>
    <m/>
  </r>
  <r>
    <x v="2"/>
    <x v="1"/>
    <s v="Shawah Ibrahim Mr."/>
    <x v="1"/>
    <n v="30"/>
    <x v="2"/>
    <n v="0"/>
    <n v="0"/>
    <n v="2685"/>
    <n v="7.2291999999999996"/>
    <x v="2"/>
    <s v="Unknown"/>
    <s v="Unknown"/>
    <s v="Cherbourg"/>
    <s v="Not Applicable"/>
    <s v="Not Found"/>
    <s v="Not Found"/>
    <m/>
  </r>
  <r>
    <x v="2"/>
    <x v="1"/>
    <s v="Mr. Ilieff Ylio"/>
    <x v="1"/>
    <n v="28"/>
    <x v="0"/>
    <n v="0"/>
    <n v="0"/>
    <n v="349220"/>
    <n v="7.8958000000000004"/>
    <x v="2"/>
    <s v="Unknown"/>
    <s v="Unknown"/>
    <s v="Southampton"/>
    <s v="Not Applicable"/>
    <s v="Not Found"/>
    <s v="Not Found"/>
    <m/>
  </r>
  <r>
    <x v="2"/>
    <x v="1"/>
    <s v="Miss. Ilmakangas Ida"/>
    <x v="0"/>
    <n v="27"/>
    <x v="0"/>
    <n v="0"/>
    <n v="1"/>
    <s v="STON/O2. 3101270"/>
    <n v="7.9249999999999998"/>
    <x v="2"/>
    <s v="Unknown"/>
    <s v="Unknown"/>
    <s v="Southampton"/>
    <s v="Not Applicable"/>
    <s v="Not Found"/>
    <s v="Not Found"/>
    <m/>
  </r>
  <r>
    <x v="2"/>
    <x v="1"/>
    <s v="Miss. Ilmakangas Pieta"/>
    <x v="0"/>
    <n v="25"/>
    <x v="0"/>
    <n v="0"/>
    <n v="1"/>
    <s v="STON/O2. 3101271"/>
    <n v="7.9249999999999998"/>
    <x v="2"/>
    <s v="Unknown"/>
    <s v="Unknown"/>
    <s v="Southampton"/>
    <s v="Not Applicable"/>
    <s v="Not Found"/>
    <s v="Not Found"/>
    <m/>
  </r>
  <r>
    <x v="2"/>
    <x v="1"/>
    <s v="Mr. Ivanoff Kanio"/>
    <x v="1"/>
    <n v="28"/>
    <x v="0"/>
    <n v="0"/>
    <n v="0"/>
    <n v="349201"/>
    <n v="7.8958000000000004"/>
    <x v="2"/>
    <s v="Unknown"/>
    <s v="Unknown"/>
    <s v="Southampton"/>
    <s v="Not Applicable"/>
    <s v="Not Found"/>
    <s v="Not Found"/>
    <m/>
  </r>
  <r>
    <x v="2"/>
    <x v="0"/>
    <s v="Mr. Jalsevac Ivan"/>
    <x v="1"/>
    <n v="29"/>
    <x v="0"/>
    <n v="0"/>
    <n v="0"/>
    <n v="349240"/>
    <n v="7.8958000000000004"/>
    <x v="2"/>
    <s v="Unknown"/>
    <s v="Unknown"/>
    <s v="Cherbourg"/>
    <n v="15"/>
    <s v="Not Found"/>
    <s v="Not Found"/>
    <m/>
  </r>
  <r>
    <x v="2"/>
    <x v="0"/>
    <s v="Mr. Jansson Carl"/>
    <x v="1"/>
    <n v="21"/>
    <x v="0"/>
    <n v="0"/>
    <n v="0"/>
    <n v="350034"/>
    <n v="7.7957999999999998"/>
    <x v="2"/>
    <s v="Unknown"/>
    <s v="Unknown"/>
    <s v="Southampton"/>
    <s v="A"/>
    <s v="Not Found"/>
    <s v="Not Found"/>
    <m/>
  </r>
  <r>
    <x v="2"/>
    <x v="1"/>
    <s v="Mr. Jardin Jose"/>
    <x v="1"/>
    <n v="28"/>
    <x v="0"/>
    <n v="0"/>
    <n v="0"/>
    <s v="SOTON/O.Q. 3101305"/>
    <n v="7.05"/>
    <x v="2"/>
    <s v="Unknown"/>
    <s v="Unknown"/>
    <s v="Southampton"/>
    <s v="Not Applicable"/>
    <s v="Not Found"/>
    <s v="Not Found"/>
    <m/>
  </r>
  <r>
    <x v="2"/>
    <x v="1"/>
    <s v="Mr. Jensen Hans"/>
    <x v="1"/>
    <n v="20"/>
    <x v="0"/>
    <n v="0"/>
    <n v="0"/>
    <n v="350050"/>
    <n v="7.8541999999999996"/>
    <x v="2"/>
    <s v="Unknown"/>
    <s v="Unknown"/>
    <s v="Southampton"/>
    <s v="Not Applicable"/>
    <s v="Not Found"/>
    <s v="Not Found"/>
    <m/>
  </r>
  <r>
    <x v="2"/>
    <x v="1"/>
    <s v="Mr. Jensen Niels"/>
    <x v="1"/>
    <n v="48"/>
    <x v="2"/>
    <n v="0"/>
    <n v="0"/>
    <n v="350047"/>
    <n v="7.8541999999999996"/>
    <x v="2"/>
    <s v="Unknown"/>
    <s v="Unknown"/>
    <s v="Southampton"/>
    <s v="Not Applicable"/>
    <s v="Not Found"/>
    <s v="Not Found"/>
    <m/>
  </r>
  <r>
    <x v="2"/>
    <x v="1"/>
    <s v="Mr. Jensen Svend"/>
    <x v="1"/>
    <n v="17"/>
    <x v="4"/>
    <n v="0"/>
    <n v="1"/>
    <n v="350048"/>
    <n v="7.0541999999999998"/>
    <x v="2"/>
    <s v="Unknown"/>
    <s v="Unknown"/>
    <s v="Southampton"/>
    <s v="Not Applicable"/>
    <s v="Not Found"/>
    <s v="Not Found"/>
    <m/>
  </r>
  <r>
    <x v="2"/>
    <x v="0"/>
    <s v="Miss. Jermyn Annie"/>
    <x v="0"/>
    <n v="28"/>
    <x v="0"/>
    <n v="0"/>
    <n v="0"/>
    <n v="14313"/>
    <n v="7.75"/>
    <x v="2"/>
    <s v="Unknown"/>
    <s v="Unknown"/>
    <s v="Queenstown"/>
    <s v="D"/>
    <s v="Not Found"/>
    <s v="Not Found"/>
    <m/>
  </r>
  <r>
    <x v="2"/>
    <x v="0"/>
    <s v="Mr. Johannesen-Bratthammer Bernt"/>
    <x v="1"/>
    <n v="28"/>
    <x v="0"/>
    <n v="0"/>
    <n v="0"/>
    <n v="65306"/>
    <n v="8.1125000000000007"/>
    <x v="2"/>
    <s v="Unknown"/>
    <s v="Unknown"/>
    <s v="Southampton"/>
    <n v="13"/>
    <s v="Not Found"/>
    <s v="Not Found"/>
    <m/>
  </r>
  <r>
    <x v="2"/>
    <x v="1"/>
    <s v="Mr. Johanson Jakob"/>
    <x v="1"/>
    <n v="34"/>
    <x v="2"/>
    <n v="0"/>
    <n v="0"/>
    <n v="3101264"/>
    <n v="6.4958"/>
    <x v="2"/>
    <s v="Unknown"/>
    <s v="Unknown"/>
    <s v="Southampton"/>
    <s v="Not Applicable"/>
    <n v="143"/>
    <s v="Found"/>
    <m/>
  </r>
  <r>
    <x v="2"/>
    <x v="0"/>
    <s v="Palmquist Johansson Mr."/>
    <x v="1"/>
    <n v="26"/>
    <x v="0"/>
    <n v="0"/>
    <n v="0"/>
    <n v="347070"/>
    <n v="7.7750000000000004"/>
    <x v="2"/>
    <s v="Unknown"/>
    <s v="Unknown"/>
    <s v="Southampton"/>
    <n v="15"/>
    <s v="Not Found"/>
    <s v="Not Found"/>
    <m/>
  </r>
  <r>
    <x v="2"/>
    <x v="1"/>
    <s v="Mr. Johansson Erik"/>
    <x v="1"/>
    <n v="22"/>
    <x v="0"/>
    <n v="0"/>
    <n v="0"/>
    <n v="350052"/>
    <n v="7.7957999999999998"/>
    <x v="2"/>
    <s v="Unknown"/>
    <s v="Unknown"/>
    <s v="Southampton"/>
    <s v="Not Applicable"/>
    <n v="156"/>
    <s v="Found"/>
    <m/>
  </r>
  <r>
    <x v="2"/>
    <x v="1"/>
    <s v="Mr. Johansson Gustaf"/>
    <x v="1"/>
    <n v="33"/>
    <x v="2"/>
    <n v="0"/>
    <n v="0"/>
    <n v="7540"/>
    <n v="8.6541999999999994"/>
    <x v="2"/>
    <s v="Unknown"/>
    <s v="Unknown"/>
    <s v="Southampton"/>
    <s v="Not Applicable"/>
    <n v="285"/>
    <s v="Found"/>
    <m/>
  </r>
  <r>
    <x v="2"/>
    <x v="1"/>
    <s v="Mr. Johansson Karl"/>
    <x v="1"/>
    <n v="31"/>
    <x v="2"/>
    <n v="0"/>
    <n v="0"/>
    <n v="347063"/>
    <n v="7.7750000000000004"/>
    <x v="2"/>
    <s v="Unknown"/>
    <s v="Unknown"/>
    <s v="Southampton"/>
    <s v="Not Applicable"/>
    <s v="Not Found"/>
    <s v="Not Found"/>
    <m/>
  </r>
  <r>
    <x v="2"/>
    <x v="1"/>
    <s v="Mr. Johansson Nils"/>
    <x v="1"/>
    <n v="29"/>
    <x v="0"/>
    <n v="0"/>
    <n v="0"/>
    <n v="347467"/>
    <n v="7.8541999999999996"/>
    <x v="2"/>
    <s v="Unknown"/>
    <s v="Unknown"/>
    <s v="Southampton"/>
    <s v="Not Applicable"/>
    <s v="Not Found"/>
    <s v="Not Found"/>
    <m/>
  </r>
  <r>
    <x v="2"/>
    <x v="0"/>
    <s v="Master. Johnson Harold"/>
    <x v="1"/>
    <n v="4"/>
    <x v="1"/>
    <n v="1"/>
    <n v="1"/>
    <n v="347742"/>
    <n v="11.1333"/>
    <x v="1"/>
    <s v="Unknown"/>
    <s v="Unknown"/>
    <s v="Southampton"/>
    <n v="15"/>
    <s v="Not Found"/>
    <s v="Not Found"/>
    <m/>
  </r>
  <r>
    <x v="2"/>
    <x v="0"/>
    <s v="Miss. Johnson Eleanor"/>
    <x v="0"/>
    <n v="1"/>
    <x v="1"/>
    <n v="1"/>
    <n v="1"/>
    <n v="347742"/>
    <n v="11.1333"/>
    <x v="1"/>
    <s v="Unknown"/>
    <s v="Unknown"/>
    <s v="Southampton"/>
    <n v="15"/>
    <s v="Not Found"/>
    <s v="Not Found"/>
    <m/>
  </r>
  <r>
    <x v="2"/>
    <x v="1"/>
    <s v="Mr. Johnson Alfred"/>
    <x v="1"/>
    <n v="49"/>
    <x v="2"/>
    <n v="0"/>
    <n v="0"/>
    <s v="LINE"/>
    <n v="0"/>
    <x v="2"/>
    <s v="Unknown"/>
    <s v="Unknown"/>
    <s v="Southampton"/>
    <s v="Not Applicable"/>
    <s v="Not Found"/>
    <s v="Not Found"/>
    <m/>
  </r>
  <r>
    <x v="2"/>
    <x v="1"/>
    <s v="Mr. Johnson Malkolm"/>
    <x v="1"/>
    <n v="33"/>
    <x v="2"/>
    <n v="0"/>
    <n v="0"/>
    <n v="347062"/>
    <n v="7.7750000000000004"/>
    <x v="2"/>
    <s v="Unknown"/>
    <s v="Unknown"/>
    <s v="Southampton"/>
    <s v="Not Applicable"/>
    <n v="37"/>
    <s v="Found"/>
    <m/>
  </r>
  <r>
    <x v="2"/>
    <x v="1"/>
    <s v="Mr. Johnson William"/>
    <x v="1"/>
    <n v="19"/>
    <x v="0"/>
    <n v="0"/>
    <n v="0"/>
    <s v="LINE"/>
    <n v="0"/>
    <x v="2"/>
    <s v="Unknown"/>
    <s v="Unknown"/>
    <s v="Southampton"/>
    <s v="Not Applicable"/>
    <s v="Not Found"/>
    <s v="Not Found"/>
    <m/>
  </r>
  <r>
    <x v="2"/>
    <x v="0"/>
    <s v="Mrs. Johnson Oscar"/>
    <x v="0"/>
    <n v="27"/>
    <x v="0"/>
    <n v="2"/>
    <n v="0"/>
    <n v="347742"/>
    <n v="11.1333"/>
    <x v="1"/>
    <s v="Unknown"/>
    <s v="Unknown"/>
    <s v="Southampton"/>
    <n v="15"/>
    <s v="Not Found"/>
    <s v="Not Found"/>
    <m/>
  </r>
  <r>
    <x v="2"/>
    <x v="1"/>
    <s v="Master. Johnston William"/>
    <x v="1"/>
    <n v="28"/>
    <x v="0"/>
    <n v="2"/>
    <n v="1"/>
    <s v="W./C. 6607"/>
    <n v="23.45"/>
    <x v="1"/>
    <s v="Unknown"/>
    <s v="Unknown"/>
    <s v="Southampton"/>
    <s v="Not Applicable"/>
    <s v="Not Found"/>
    <s v="Not Found"/>
    <m/>
  </r>
  <r>
    <x v="2"/>
    <x v="1"/>
    <s v="Miss. Johnston Catherine"/>
    <x v="0"/>
    <n v="28"/>
    <x v="0"/>
    <n v="2"/>
    <n v="1"/>
    <s v="W./C. 6607"/>
    <n v="23.45"/>
    <x v="1"/>
    <s v="Unknown"/>
    <s v="Unknown"/>
    <s v="Southampton"/>
    <s v="Not Applicable"/>
    <s v="Not Found"/>
    <s v="Not Found"/>
    <m/>
  </r>
  <r>
    <x v="2"/>
    <x v="1"/>
    <s v="Mr. Johnston Andrew"/>
    <x v="1"/>
    <n v="28"/>
    <x v="0"/>
    <n v="2"/>
    <n v="1"/>
    <s v="W./C. 6607"/>
    <n v="23.45"/>
    <x v="1"/>
    <s v="Unknown"/>
    <s v="Unknown"/>
    <s v="Southampton"/>
    <s v="Not Applicable"/>
    <s v="Not Found"/>
    <s v="Not Found"/>
    <m/>
  </r>
  <r>
    <x v="2"/>
    <x v="1"/>
    <s v="Mrs. Johnston Andrew"/>
    <x v="0"/>
    <n v="28"/>
    <x v="0"/>
    <n v="2"/>
    <n v="1"/>
    <s v="W./C. 6607"/>
    <n v="23.45"/>
    <x v="1"/>
    <s v="Unknown"/>
    <s v="Unknown"/>
    <s v="Southampton"/>
    <s v="Not Applicable"/>
    <s v="Not Found"/>
    <s v="Not Found"/>
    <m/>
  </r>
  <r>
    <x v="2"/>
    <x v="1"/>
    <s v="Mr. Jonkoff Lalio"/>
    <x v="1"/>
    <n v="23"/>
    <x v="0"/>
    <n v="0"/>
    <n v="0"/>
    <n v="349204"/>
    <n v="7.8958000000000004"/>
    <x v="2"/>
    <s v="Unknown"/>
    <s v="Unknown"/>
    <s v="Southampton"/>
    <s v="Not Applicable"/>
    <s v="Not Found"/>
    <s v="Not Found"/>
    <m/>
  </r>
  <r>
    <x v="2"/>
    <x v="0"/>
    <s v="Mr. Jonsson Carl"/>
    <x v="1"/>
    <n v="32"/>
    <x v="2"/>
    <n v="0"/>
    <n v="0"/>
    <n v="350417"/>
    <n v="7.8541999999999996"/>
    <x v="2"/>
    <s v="Unknown"/>
    <s v="Unknown"/>
    <s v="Southampton"/>
    <n v="15"/>
    <s v="Not Found"/>
    <s v="Not Found"/>
    <m/>
  </r>
  <r>
    <x v="2"/>
    <x v="1"/>
    <s v="Mr. Jonsson Nils"/>
    <x v="1"/>
    <n v="27"/>
    <x v="0"/>
    <n v="0"/>
    <n v="0"/>
    <n v="350408"/>
    <n v="7.8541999999999996"/>
    <x v="2"/>
    <s v="Unknown"/>
    <s v="Unknown"/>
    <s v="Southampton"/>
    <s v="Not Applicable"/>
    <s v="Not Found"/>
    <s v="Not Found"/>
    <m/>
  </r>
  <r>
    <x v="2"/>
    <x v="1"/>
    <s v="Miss. Jussila Katriina"/>
    <x v="0"/>
    <n v="20"/>
    <x v="0"/>
    <n v="0"/>
    <n v="1"/>
    <n v="4136"/>
    <n v="9.8249999999999993"/>
    <x v="2"/>
    <s v="Unknown"/>
    <s v="Unknown"/>
    <s v="Southampton"/>
    <s v="Not Applicable"/>
    <s v="Not Found"/>
    <s v="Not Found"/>
    <m/>
  </r>
  <r>
    <x v="2"/>
    <x v="1"/>
    <s v="Miss. Jussila Mari"/>
    <x v="0"/>
    <n v="21"/>
    <x v="0"/>
    <n v="0"/>
    <n v="1"/>
    <n v="4137"/>
    <n v="9.8249999999999993"/>
    <x v="2"/>
    <s v="Unknown"/>
    <s v="Unknown"/>
    <s v="Southampton"/>
    <s v="Not Applicable"/>
    <s v="Not Found"/>
    <s v="Not Found"/>
    <m/>
  </r>
  <r>
    <x v="2"/>
    <x v="0"/>
    <s v="Mr. Jussila Eiriik"/>
    <x v="1"/>
    <n v="32"/>
    <x v="2"/>
    <n v="0"/>
    <n v="0"/>
    <s v="STON/O 2. 3101286"/>
    <n v="7.9249999999999998"/>
    <x v="2"/>
    <s v="Unknown"/>
    <s v="Unknown"/>
    <s v="Southampton"/>
    <n v="15"/>
    <s v="Not Found"/>
    <s v="Not Found"/>
    <m/>
  </r>
  <r>
    <x v="2"/>
    <x v="1"/>
    <s v="Mr. Kallio Nikolai"/>
    <x v="1"/>
    <n v="17"/>
    <x v="4"/>
    <n v="0"/>
    <n v="0"/>
    <s v="STON/O 2. 3101274"/>
    <n v="7.125"/>
    <x v="2"/>
    <s v="Unknown"/>
    <s v="Unknown"/>
    <s v="Southampton"/>
    <s v="Not Applicable"/>
    <s v="Not Found"/>
    <s v="Not Found"/>
    <m/>
  </r>
  <r>
    <x v="2"/>
    <x v="1"/>
    <s v="Mr. Kalvik Johannes"/>
    <x v="1"/>
    <n v="21"/>
    <x v="0"/>
    <n v="0"/>
    <n v="0"/>
    <n v="8475"/>
    <n v="8.4332999999999991"/>
    <x v="2"/>
    <s v="Unknown"/>
    <s v="Unknown"/>
    <s v="Southampton"/>
    <s v="Not Applicable"/>
    <s v="Not Found"/>
    <s v="Not Found"/>
    <m/>
  </r>
  <r>
    <x v="2"/>
    <x v="1"/>
    <s v="Mr. Karaic Milan"/>
    <x v="1"/>
    <n v="30"/>
    <x v="2"/>
    <n v="0"/>
    <n v="0"/>
    <n v="349246"/>
    <n v="7.8958000000000004"/>
    <x v="2"/>
    <s v="Unknown"/>
    <s v="Unknown"/>
    <s v="Southampton"/>
    <s v="Not Applicable"/>
    <s v="Not Found"/>
    <s v="Not Found"/>
    <m/>
  </r>
  <r>
    <x v="2"/>
    <x v="0"/>
    <s v="Mr. Karlsson Einar"/>
    <x v="1"/>
    <n v="21"/>
    <x v="0"/>
    <n v="0"/>
    <n v="0"/>
    <n v="350053"/>
    <n v="7.7957999999999998"/>
    <x v="2"/>
    <s v="Unknown"/>
    <s v="Unknown"/>
    <s v="Southampton"/>
    <n v="13"/>
    <s v="Not Found"/>
    <s v="Not Found"/>
    <m/>
  </r>
  <r>
    <x v="2"/>
    <x v="1"/>
    <s v="Mr. Karlsson Julius"/>
    <x v="1"/>
    <n v="33"/>
    <x v="2"/>
    <n v="0"/>
    <n v="0"/>
    <n v="347465"/>
    <n v="7.8541999999999996"/>
    <x v="2"/>
    <s v="Unknown"/>
    <s v="Unknown"/>
    <s v="Southampton"/>
    <s v="Not Applicable"/>
    <s v="Not Found"/>
    <s v="Not Found"/>
    <m/>
  </r>
  <r>
    <x v="2"/>
    <x v="1"/>
    <s v="Mr. Karlsson Nils"/>
    <x v="1"/>
    <n v="22"/>
    <x v="0"/>
    <n v="0"/>
    <n v="0"/>
    <n v="350060"/>
    <n v="7.5208000000000004"/>
    <x v="2"/>
    <s v="Unknown"/>
    <s v="Unknown"/>
    <s v="Southampton"/>
    <s v="Not Applicable"/>
    <s v="Not Found"/>
    <s v="Not Found"/>
    <m/>
  </r>
  <r>
    <x v="2"/>
    <x v="0"/>
    <s v="Miss. Karun Manca"/>
    <x v="0"/>
    <n v="4"/>
    <x v="1"/>
    <n v="1"/>
    <n v="0"/>
    <n v="349256"/>
    <n v="13.416700000000001"/>
    <x v="1"/>
    <s v="Unknown"/>
    <s v="Unknown"/>
    <s v="Cherbourg"/>
    <n v="15"/>
    <s v="Not Found"/>
    <s v="Not Found"/>
    <m/>
  </r>
  <r>
    <x v="2"/>
    <x v="0"/>
    <s v="Mr. Karun Franz"/>
    <x v="1"/>
    <n v="39"/>
    <x v="2"/>
    <n v="1"/>
    <n v="0"/>
    <n v="349256"/>
    <n v="13.416700000000001"/>
    <x v="1"/>
    <s v="Unknown"/>
    <s v="Unknown"/>
    <s v="Cherbourg"/>
    <n v="15"/>
    <s v="Not Found"/>
    <s v="Not Found"/>
    <m/>
  </r>
  <r>
    <x v="2"/>
    <x v="1"/>
    <s v="Mr. Kassem Fared"/>
    <x v="1"/>
    <n v="28"/>
    <x v="0"/>
    <n v="0"/>
    <n v="0"/>
    <n v="2700"/>
    <n v="7.2291999999999996"/>
    <x v="2"/>
    <s v="Unknown"/>
    <s v="Unknown"/>
    <s v="Cherbourg"/>
    <s v="Not Applicable"/>
    <s v="Not Found"/>
    <s v="Not Found"/>
    <m/>
  </r>
  <r>
    <x v="2"/>
    <x v="1"/>
    <s v="Mr. Katavelas Vassilios"/>
    <x v="1"/>
    <n v="19"/>
    <x v="0"/>
    <n v="0"/>
    <n v="0"/>
    <n v="2682"/>
    <n v="7.2291999999999996"/>
    <x v="2"/>
    <s v="Unknown"/>
    <s v="Unknown"/>
    <s v="Cherbourg"/>
    <s v="Not Applicable"/>
    <n v="58"/>
    <s v="Found"/>
    <m/>
  </r>
  <r>
    <x v="2"/>
    <x v="1"/>
    <s v="Mr. Keane Andrew"/>
    <x v="1"/>
    <n v="28"/>
    <x v="0"/>
    <n v="0"/>
    <n v="0"/>
    <n v="12460"/>
    <n v="7.75"/>
    <x v="2"/>
    <s v="Unknown"/>
    <s v="Unknown"/>
    <s v="Queenstown"/>
    <s v="Not Applicable"/>
    <s v="Not Found"/>
    <s v="Not Found"/>
    <m/>
  </r>
  <r>
    <x v="2"/>
    <x v="1"/>
    <s v="Mr. Keefe Arthur"/>
    <x v="1"/>
    <n v="28"/>
    <x v="0"/>
    <n v="0"/>
    <n v="0"/>
    <n v="323592"/>
    <n v="7.25"/>
    <x v="2"/>
    <s v="Unknown"/>
    <s v="Unknown"/>
    <s v="Southampton"/>
    <s v="A"/>
    <s v="Not Found"/>
    <s v="Not Found"/>
    <m/>
  </r>
  <r>
    <x v="2"/>
    <x v="0"/>
    <s v="Miss. Kelly Anna"/>
    <x v="0"/>
    <n v="28"/>
    <x v="0"/>
    <n v="0"/>
    <n v="0"/>
    <n v="9234"/>
    <n v="7.75"/>
    <x v="2"/>
    <s v="Unknown"/>
    <s v="Unknown"/>
    <s v="Queenstown"/>
    <n v="16"/>
    <s v="Not Found"/>
    <s v="Not Found"/>
    <m/>
  </r>
  <r>
    <x v="2"/>
    <x v="0"/>
    <s v="Miss. Kelly Mary"/>
    <x v="0"/>
    <n v="28"/>
    <x v="0"/>
    <n v="0"/>
    <n v="0"/>
    <n v="14312"/>
    <n v="7.75"/>
    <x v="2"/>
    <s v="Unknown"/>
    <s v="Unknown"/>
    <s v="Queenstown"/>
    <s v="D"/>
    <s v="Not Found"/>
    <s v="Not Found"/>
    <m/>
  </r>
  <r>
    <x v="2"/>
    <x v="1"/>
    <s v="Mr. Kelly James"/>
    <x v="1"/>
    <n v="35"/>
    <x v="2"/>
    <n v="0"/>
    <n v="0"/>
    <n v="330911"/>
    <n v="7.8292000000000002"/>
    <x v="2"/>
    <s v="Unknown"/>
    <s v="Unknown"/>
    <s v="Queenstown"/>
    <s v="Not Applicable"/>
    <n v="70"/>
    <s v="Found"/>
    <m/>
  </r>
  <r>
    <x v="2"/>
    <x v="1"/>
    <s v="Mr. Kelly James"/>
    <x v="1"/>
    <n v="44"/>
    <x v="2"/>
    <n v="0"/>
    <n v="0"/>
    <n v="363592"/>
    <n v="8.0500000000000007"/>
    <x v="2"/>
    <s v="Unknown"/>
    <s v="Unknown"/>
    <s v="Southampton"/>
    <s v="Not Applicable"/>
    <s v="Not Found"/>
    <s v="Not Found"/>
    <m/>
  </r>
  <r>
    <x v="2"/>
    <x v="0"/>
    <s v="Mr. Kennedy John"/>
    <x v="1"/>
    <n v="28"/>
    <x v="0"/>
    <n v="0"/>
    <n v="0"/>
    <n v="368783"/>
    <n v="7.75"/>
    <x v="2"/>
    <s v="Unknown"/>
    <s v="Unknown"/>
    <s v="Queenstown"/>
    <s v="Not Applicable"/>
    <s v="Not Found"/>
    <s v="Not Found"/>
    <m/>
  </r>
  <r>
    <x v="2"/>
    <x v="1"/>
    <s v="Mr. Khalil Betros"/>
    <x v="1"/>
    <n v="28"/>
    <x v="0"/>
    <n v="0"/>
    <n v="1"/>
    <n v="2660"/>
    <n v="14.4542"/>
    <x v="1"/>
    <s v="Unknown"/>
    <s v="Unknown"/>
    <s v="Cherbourg"/>
    <s v="Not Applicable"/>
    <s v="Not Found"/>
    <s v="Not Found"/>
    <m/>
  </r>
  <r>
    <x v="2"/>
    <x v="1"/>
    <s v="Mrs. Khalil Betros"/>
    <x v="0"/>
    <n v="28"/>
    <x v="0"/>
    <n v="0"/>
    <n v="1"/>
    <n v="2660"/>
    <n v="14.4542"/>
    <x v="1"/>
    <s v="Unknown"/>
    <s v="Unknown"/>
    <s v="Cherbourg"/>
    <s v="Not Applicable"/>
    <s v="Not Found"/>
    <s v="Not Found"/>
    <m/>
  </r>
  <r>
    <x v="2"/>
    <x v="1"/>
    <s v="Mr. Kiernan John"/>
    <x v="1"/>
    <n v="28"/>
    <x v="0"/>
    <n v="0"/>
    <n v="1"/>
    <n v="367227"/>
    <n v="7.75"/>
    <x v="2"/>
    <s v="Unknown"/>
    <s v="Unknown"/>
    <s v="Queenstown"/>
    <s v="Not Applicable"/>
    <s v="Not Found"/>
    <s v="Not Found"/>
    <m/>
  </r>
  <r>
    <x v="2"/>
    <x v="1"/>
    <s v="Mr. Kiernan Philip"/>
    <x v="1"/>
    <n v="28"/>
    <x v="0"/>
    <n v="0"/>
    <n v="1"/>
    <n v="367229"/>
    <n v="7.75"/>
    <x v="2"/>
    <s v="Unknown"/>
    <s v="Unknown"/>
    <s v="Queenstown"/>
    <s v="Not Applicable"/>
    <s v="Not Found"/>
    <s v="Not Found"/>
    <m/>
  </r>
  <r>
    <x v="2"/>
    <x v="1"/>
    <s v="Mr. Kilgannon Thomas"/>
    <x v="1"/>
    <n v="28"/>
    <x v="0"/>
    <n v="0"/>
    <n v="0"/>
    <n v="36865"/>
    <n v="7.7374999999999998"/>
    <x v="2"/>
    <s v="Unknown"/>
    <s v="Unknown"/>
    <s v="Queenstown"/>
    <s v="Not Applicable"/>
    <s v="Not Found"/>
    <s v="Not Found"/>
    <m/>
  </r>
  <r>
    <x v="2"/>
    <x v="1"/>
    <s v="Miss. Kink Maria"/>
    <x v="0"/>
    <n v="22"/>
    <x v="0"/>
    <n v="0"/>
    <n v="2"/>
    <n v="315152"/>
    <n v="8.6624999999999996"/>
    <x v="2"/>
    <s v="Unknown"/>
    <s v="Unknown"/>
    <s v="Southampton"/>
    <s v="Not Applicable"/>
    <s v="Not Found"/>
    <s v="Not Found"/>
    <m/>
  </r>
  <r>
    <x v="2"/>
    <x v="1"/>
    <s v="Mr. Kink Vincenz"/>
    <x v="1"/>
    <n v="26"/>
    <x v="0"/>
    <n v="0"/>
    <n v="2"/>
    <n v="315151"/>
    <n v="8.6624999999999996"/>
    <x v="2"/>
    <s v="Unknown"/>
    <s v="Unknown"/>
    <s v="Southampton"/>
    <s v="Not Applicable"/>
    <s v="Not Found"/>
    <s v="Not Found"/>
    <m/>
  </r>
  <r>
    <x v="2"/>
    <x v="0"/>
    <s v="Miss. Kink-Heilmann Luise"/>
    <x v="0"/>
    <n v="4"/>
    <x v="1"/>
    <n v="2"/>
    <n v="0"/>
    <n v="315153"/>
    <n v="22.024999999999999"/>
    <x v="1"/>
    <s v="Unknown"/>
    <s v="Unknown"/>
    <s v="Southampton"/>
    <n v="2"/>
    <s v="Not Found"/>
    <s v="Not Found"/>
    <m/>
  </r>
  <r>
    <x v="2"/>
    <x v="0"/>
    <s v="Mr. Kink-Heilmann Anton"/>
    <x v="1"/>
    <n v="29"/>
    <x v="0"/>
    <n v="1"/>
    <n v="3"/>
    <n v="315153"/>
    <n v="22.024999999999999"/>
    <x v="1"/>
    <s v="Unknown"/>
    <s v="Unknown"/>
    <s v="Southampton"/>
    <n v="2"/>
    <s v="Not Found"/>
    <s v="Not Found"/>
    <m/>
  </r>
  <r>
    <x v="2"/>
    <x v="0"/>
    <s v="Mrs. Kink-Heilmann Anton"/>
    <x v="0"/>
    <n v="26"/>
    <x v="0"/>
    <n v="1"/>
    <n v="1"/>
    <n v="315153"/>
    <n v="22.024999999999999"/>
    <x v="1"/>
    <s v="Unknown"/>
    <s v="Unknown"/>
    <s v="Southampton"/>
    <n v="2"/>
    <s v="Not Found"/>
    <s v="Not Found"/>
    <m/>
  </r>
  <r>
    <x v="2"/>
    <x v="1"/>
    <s v="Miss. Klasen Gertrud"/>
    <x v="0"/>
    <n v="1"/>
    <x v="1"/>
    <n v="1"/>
    <n v="1"/>
    <n v="350405"/>
    <n v="12.183299999999999"/>
    <x v="1"/>
    <s v="Unknown"/>
    <s v="Unknown"/>
    <s v="Southampton"/>
    <s v="Not Applicable"/>
    <s v="Not Found"/>
    <s v="Not Found"/>
    <m/>
  </r>
  <r>
    <x v="2"/>
    <x v="1"/>
    <s v="Mr. Klasen Klas"/>
    <x v="1"/>
    <n v="18"/>
    <x v="0"/>
    <n v="1"/>
    <n v="1"/>
    <n v="350404"/>
    <n v="7.8541999999999996"/>
    <x v="2"/>
    <s v="Unknown"/>
    <s v="Unknown"/>
    <s v="Southampton"/>
    <s v="Not Applicable"/>
    <s v="Not Found"/>
    <s v="Not Found"/>
    <m/>
  </r>
  <r>
    <x v="2"/>
    <x v="1"/>
    <s v="Mrs. Klasen (Hulda"/>
    <x v="0"/>
    <n v="36"/>
    <x v="2"/>
    <n v="2"/>
    <n v="0"/>
    <n v="350405"/>
    <n v="12.183299999999999"/>
    <x v="1"/>
    <s v="Unknown"/>
    <s v="Unknown"/>
    <s v="Southampton"/>
    <s v="Not Applicable"/>
    <s v="Not Found"/>
    <s v="Not Found"/>
    <m/>
  </r>
  <r>
    <x v="2"/>
    <x v="1"/>
    <s v="Mr. Kraeff Theodor"/>
    <x v="1"/>
    <n v="28"/>
    <x v="0"/>
    <n v="0"/>
    <n v="0"/>
    <n v="349253"/>
    <n v="7.8958000000000004"/>
    <x v="2"/>
    <s v="Unknown"/>
    <s v="Unknown"/>
    <s v="Cherbourg"/>
    <s v="Not Applicable"/>
    <s v="Not Found"/>
    <s v="Not Found"/>
    <m/>
  </r>
  <r>
    <x v="2"/>
    <x v="0"/>
    <s v="Mr. Krekorian Neshan"/>
    <x v="1"/>
    <n v="25"/>
    <x v="0"/>
    <n v="0"/>
    <n v="0"/>
    <n v="2654"/>
    <n v="7.2291999999999996"/>
    <x v="2"/>
    <s v="F E57"/>
    <s v="F"/>
    <s v="Cherbourg"/>
    <n v="10"/>
    <s v="Not Found"/>
    <s v="Not Found"/>
    <m/>
  </r>
  <r>
    <x v="2"/>
    <x v="1"/>
    <s v="Mr. Lahoud Sarkis"/>
    <x v="1"/>
    <n v="28"/>
    <x v="0"/>
    <n v="0"/>
    <n v="0"/>
    <n v="2624"/>
    <n v="7.2249999999999996"/>
    <x v="2"/>
    <s v="Unknown"/>
    <s v="Unknown"/>
    <s v="Cherbourg"/>
    <s v="Not Applicable"/>
    <s v="Not Found"/>
    <s v="Not Found"/>
    <m/>
  </r>
  <r>
    <x v="2"/>
    <x v="1"/>
    <s v="Miss. Laitinen Kristina"/>
    <x v="0"/>
    <n v="37"/>
    <x v="2"/>
    <n v="0"/>
    <n v="0"/>
    <n v="4135"/>
    <n v="9.5875000000000004"/>
    <x v="2"/>
    <s v="Unknown"/>
    <s v="Unknown"/>
    <s v="Southampton"/>
    <s v="Not Applicable"/>
    <s v="Not Found"/>
    <s v="Not Found"/>
    <m/>
  </r>
  <r>
    <x v="2"/>
    <x v="1"/>
    <s v="Mr. Laleff Kristo"/>
    <x v="1"/>
    <n v="28"/>
    <x v="0"/>
    <n v="0"/>
    <n v="0"/>
    <n v="349217"/>
    <n v="7.8958000000000004"/>
    <x v="2"/>
    <s v="Unknown"/>
    <s v="Unknown"/>
    <s v="Southampton"/>
    <s v="Not Applicable"/>
    <s v="Not Found"/>
    <s v="Not Found"/>
    <m/>
  </r>
  <r>
    <x v="2"/>
    <x v="0"/>
    <s v="Mr. Lam Ali"/>
    <x v="1"/>
    <n v="28"/>
    <x v="0"/>
    <n v="0"/>
    <n v="0"/>
    <n v="1601"/>
    <n v="56.495800000000003"/>
    <x v="0"/>
    <s v="Unknown"/>
    <s v="Unknown"/>
    <s v="Southampton"/>
    <s v="C"/>
    <s v="Not Found"/>
    <s v="Not Found"/>
    <m/>
  </r>
  <r>
    <x v="2"/>
    <x v="1"/>
    <s v="Mr. Lam Len"/>
    <x v="1"/>
    <n v="28"/>
    <x v="0"/>
    <n v="0"/>
    <n v="0"/>
    <n v="1601"/>
    <n v="56.495800000000003"/>
    <x v="0"/>
    <s v="Unknown"/>
    <s v="Unknown"/>
    <s v="Southampton"/>
    <s v="Not Applicable"/>
    <s v="Not Found"/>
    <s v="Not Found"/>
    <m/>
  </r>
  <r>
    <x v="2"/>
    <x v="0"/>
    <s v="Miss. Landergren Aurora"/>
    <x v="0"/>
    <n v="22"/>
    <x v="0"/>
    <n v="0"/>
    <n v="0"/>
    <s v="C 7077"/>
    <n v="7.25"/>
    <x v="2"/>
    <s v="Unknown"/>
    <s v="Unknown"/>
    <s v="Southampton"/>
    <n v="13"/>
    <s v="Not Found"/>
    <s v="Not Found"/>
    <m/>
  </r>
  <r>
    <x v="2"/>
    <x v="1"/>
    <s v="Mr. Lane Patrick"/>
    <x v="1"/>
    <n v="28"/>
    <x v="0"/>
    <n v="0"/>
    <n v="0"/>
    <n v="7935"/>
    <n v="7.75"/>
    <x v="2"/>
    <s v="Unknown"/>
    <s v="Unknown"/>
    <s v="Queenstown"/>
    <s v="Not Applicable"/>
    <s v="Not Found"/>
    <s v="Not Found"/>
    <m/>
  </r>
  <r>
    <x v="2"/>
    <x v="0"/>
    <s v="Mr. Lang Fang"/>
    <x v="1"/>
    <n v="26"/>
    <x v="0"/>
    <n v="0"/>
    <n v="0"/>
    <n v="1601"/>
    <n v="56.495800000000003"/>
    <x v="0"/>
    <s v="Unknown"/>
    <s v="Unknown"/>
    <s v="Southampton"/>
    <n v="14"/>
    <s v="Not Found"/>
    <s v="Not Found"/>
    <m/>
  </r>
  <r>
    <x v="2"/>
    <x v="1"/>
    <s v="Mr. Larsson August"/>
    <x v="1"/>
    <n v="29"/>
    <x v="0"/>
    <n v="0"/>
    <n v="0"/>
    <n v="7545"/>
    <n v="9.4832999999999998"/>
    <x v="2"/>
    <s v="Unknown"/>
    <s v="Unknown"/>
    <s v="Southampton"/>
    <s v="Not Applicable"/>
    <s v="Not Found"/>
    <s v="Not Found"/>
    <m/>
  </r>
  <r>
    <x v="2"/>
    <x v="1"/>
    <s v="Mr. Larsson Bengt"/>
    <x v="1"/>
    <n v="29"/>
    <x v="0"/>
    <n v="0"/>
    <n v="0"/>
    <n v="347067"/>
    <n v="7.7750000000000004"/>
    <x v="2"/>
    <s v="Unknown"/>
    <s v="Unknown"/>
    <s v="Southampton"/>
    <s v="Not Applicable"/>
    <s v="Not Found"/>
    <s v="Not Found"/>
    <m/>
  </r>
  <r>
    <x v="2"/>
    <x v="1"/>
    <s v="Mr. Larsson-Rondberg Edvard"/>
    <x v="1"/>
    <n v="22"/>
    <x v="0"/>
    <n v="0"/>
    <n v="0"/>
    <n v="347065"/>
    <n v="7.7750000000000004"/>
    <x v="2"/>
    <s v="Unknown"/>
    <s v="Unknown"/>
    <s v="Southampton"/>
    <s v="Not Applicable"/>
    <s v="Not Found"/>
    <s v="Not Found"/>
    <m/>
  </r>
  <r>
    <x v="2"/>
    <x v="0"/>
    <s v="Mr. Leeni Fahim"/>
    <x v="1"/>
    <n v="22"/>
    <x v="0"/>
    <n v="0"/>
    <n v="0"/>
    <n v="2620"/>
    <n v="7.2249999999999996"/>
    <x v="2"/>
    <s v="Unknown"/>
    <s v="Unknown"/>
    <s v="Cherbourg"/>
    <n v="6"/>
    <s v="Not Found"/>
    <s v="Not Found"/>
    <m/>
  </r>
  <r>
    <x v="2"/>
    <x v="1"/>
    <s v="Master. Lefebre Henry"/>
    <x v="1"/>
    <n v="28"/>
    <x v="0"/>
    <n v="1"/>
    <n v="3"/>
    <n v="4133"/>
    <n v="25.466699999999999"/>
    <x v="1"/>
    <s v="Unknown"/>
    <s v="Unknown"/>
    <s v="Southampton"/>
    <s v="Not Applicable"/>
    <s v="Not Found"/>
    <s v="Not Found"/>
    <m/>
  </r>
  <r>
    <x v="2"/>
    <x v="1"/>
    <s v="Miss. Lefebre Ida"/>
    <x v="0"/>
    <n v="28"/>
    <x v="0"/>
    <n v="1"/>
    <n v="3"/>
    <n v="4133"/>
    <n v="25.466699999999999"/>
    <x v="1"/>
    <s v="Unknown"/>
    <s v="Unknown"/>
    <s v="Southampton"/>
    <s v="Not Applicable"/>
    <s v="Not Found"/>
    <s v="Not Found"/>
    <m/>
  </r>
  <r>
    <x v="2"/>
    <x v="1"/>
    <s v="Miss. Lefebre Jeannie"/>
    <x v="0"/>
    <n v="28"/>
    <x v="0"/>
    <n v="1"/>
    <n v="3"/>
    <n v="4133"/>
    <n v="25.466699999999999"/>
    <x v="1"/>
    <s v="Unknown"/>
    <s v="Unknown"/>
    <s v="Southampton"/>
    <s v="Not Applicable"/>
    <s v="Not Found"/>
    <s v="Not Found"/>
    <m/>
  </r>
  <r>
    <x v="2"/>
    <x v="1"/>
    <s v="Miss. Lefebre Mathilde"/>
    <x v="0"/>
    <n v="28"/>
    <x v="0"/>
    <n v="1"/>
    <n v="3"/>
    <n v="4133"/>
    <n v="25.466699999999999"/>
    <x v="1"/>
    <s v="Unknown"/>
    <s v="Unknown"/>
    <s v="Southampton"/>
    <s v="Not Applicable"/>
    <s v="Not Found"/>
    <s v="Not Found"/>
    <m/>
  </r>
  <r>
    <x v="2"/>
    <x v="1"/>
    <s v="Mrs. Lefebre Frank"/>
    <x v="0"/>
    <n v="28"/>
    <x v="0"/>
    <n v="4"/>
    <n v="0"/>
    <n v="4133"/>
    <n v="25.466699999999999"/>
    <x v="1"/>
    <s v="Unknown"/>
    <s v="Unknown"/>
    <s v="Southampton"/>
    <s v="Not Applicable"/>
    <s v="Not Found"/>
    <s v="Not Found"/>
    <m/>
  </r>
  <r>
    <x v="2"/>
    <x v="1"/>
    <s v="Mr. Leinonen Antti"/>
    <x v="1"/>
    <n v="32"/>
    <x v="2"/>
    <n v="0"/>
    <n v="0"/>
    <s v="STON/O 2. 3101292"/>
    <n v="7.9249999999999998"/>
    <x v="2"/>
    <s v="Unknown"/>
    <s v="Unknown"/>
    <s v="Southampton"/>
    <s v="Not Applicable"/>
    <s v="Not Found"/>
    <s v="Not Found"/>
    <m/>
  </r>
  <r>
    <x v="2"/>
    <x v="1"/>
    <s v="Mr. Lemberopolous Peter"/>
    <x v="1"/>
    <n v="35"/>
    <x v="2"/>
    <n v="0"/>
    <n v="0"/>
    <n v="2683"/>
    <n v="6.4375"/>
    <x v="2"/>
    <s v="Unknown"/>
    <s v="Unknown"/>
    <s v="Cherbourg"/>
    <s v="Not Applicable"/>
    <n v="196"/>
    <s v="Found"/>
    <m/>
  </r>
  <r>
    <x v="2"/>
    <x v="1"/>
    <s v="Miss. Lennon Mary"/>
    <x v="0"/>
    <n v="28"/>
    <x v="0"/>
    <n v="0"/>
    <n v="1"/>
    <n v="370371"/>
    <n v="15.5"/>
    <x v="1"/>
    <s v="Unknown"/>
    <s v="Unknown"/>
    <s v="Queenstown"/>
    <s v="Not Applicable"/>
    <s v="Not Found"/>
    <s v="Not Found"/>
    <m/>
  </r>
  <r>
    <x v="2"/>
    <x v="1"/>
    <s v="Mr. Lennon Denis"/>
    <x v="1"/>
    <n v="28"/>
    <x v="0"/>
    <n v="0"/>
    <n v="1"/>
    <n v="370371"/>
    <n v="15.5"/>
    <x v="1"/>
    <s v="Unknown"/>
    <s v="Unknown"/>
    <s v="Queenstown"/>
    <s v="Not Applicable"/>
    <s v="Not Found"/>
    <s v="Not Found"/>
    <m/>
  </r>
  <r>
    <x v="2"/>
    <x v="1"/>
    <s v="Mr. Leonard Lionel"/>
    <x v="1"/>
    <n v="36"/>
    <x v="2"/>
    <n v="0"/>
    <n v="0"/>
    <s v="LINE"/>
    <n v="0"/>
    <x v="2"/>
    <s v="Unknown"/>
    <s v="Unknown"/>
    <s v="Southampton"/>
    <s v="Not Applicable"/>
    <s v="Not Found"/>
    <s v="Not Found"/>
    <m/>
  </r>
  <r>
    <x v="2"/>
    <x v="1"/>
    <s v="Mr. Lester James"/>
    <x v="1"/>
    <n v="39"/>
    <x v="2"/>
    <n v="0"/>
    <n v="0"/>
    <s v="A/4 48871"/>
    <n v="24.15"/>
    <x v="1"/>
    <s v="Unknown"/>
    <s v="Unknown"/>
    <s v="Southampton"/>
    <s v="Not Applicable"/>
    <s v="Not Found"/>
    <s v="Not Found"/>
    <m/>
  </r>
  <r>
    <x v="2"/>
    <x v="1"/>
    <s v="Mr. Lievens Rene"/>
    <x v="1"/>
    <n v="24"/>
    <x v="0"/>
    <n v="0"/>
    <n v="0"/>
    <n v="345781"/>
    <n v="9.5"/>
    <x v="2"/>
    <s v="Unknown"/>
    <s v="Unknown"/>
    <s v="Southampton"/>
    <s v="Not Applicable"/>
    <s v="Not Found"/>
    <s v="Not Found"/>
    <m/>
  </r>
  <r>
    <x v="2"/>
    <x v="1"/>
    <s v="Miss. Lindahl Agda"/>
    <x v="0"/>
    <n v="25"/>
    <x v="0"/>
    <n v="0"/>
    <n v="0"/>
    <n v="347071"/>
    <n v="7.7750000000000004"/>
    <x v="2"/>
    <s v="Unknown"/>
    <s v="Unknown"/>
    <s v="Southampton"/>
    <s v="Not Applicable"/>
    <s v="Not Found"/>
    <s v="Not Found"/>
    <m/>
  </r>
  <r>
    <x v="2"/>
    <x v="1"/>
    <s v="Miss. Lindblom Augusta"/>
    <x v="0"/>
    <n v="45"/>
    <x v="2"/>
    <n v="0"/>
    <n v="0"/>
    <n v="347073"/>
    <n v="7.75"/>
    <x v="2"/>
    <s v="Unknown"/>
    <s v="Unknown"/>
    <s v="Southampton"/>
    <s v="Not Applicable"/>
    <s v="Not Found"/>
    <s v="Not Found"/>
    <m/>
  </r>
  <r>
    <x v="2"/>
    <x v="1"/>
    <s v="Mr. Lindell Edvard"/>
    <x v="1"/>
    <n v="36"/>
    <x v="2"/>
    <n v="0"/>
    <n v="1"/>
    <n v="349910"/>
    <n v="15.55"/>
    <x v="1"/>
    <s v="Unknown"/>
    <s v="Unknown"/>
    <s v="Southampton"/>
    <s v="A"/>
    <s v="Not Found"/>
    <s v="Not Found"/>
    <m/>
  </r>
  <r>
    <x v="2"/>
    <x v="1"/>
    <s v="Mrs. Lindell Edvard"/>
    <x v="0"/>
    <n v="30"/>
    <x v="2"/>
    <n v="0"/>
    <n v="1"/>
    <n v="349910"/>
    <n v="15.55"/>
    <x v="1"/>
    <s v="Unknown"/>
    <s v="Unknown"/>
    <s v="Southampton"/>
    <s v="A"/>
    <s v="Not Found"/>
    <s v="Not Found"/>
    <m/>
  </r>
  <r>
    <x v="2"/>
    <x v="0"/>
    <s v="Mr. Lindqvist Eino"/>
    <x v="1"/>
    <n v="20"/>
    <x v="0"/>
    <n v="0"/>
    <n v="1"/>
    <s v="STON/O 2. 3101285"/>
    <n v="7.9249999999999998"/>
    <x v="2"/>
    <s v="Unknown"/>
    <s v="Unknown"/>
    <s v="Southampton"/>
    <n v="15"/>
    <s v="Not Found"/>
    <s v="Not Found"/>
    <m/>
  </r>
  <r>
    <x v="2"/>
    <x v="1"/>
    <s v="Mr. Linehan Michael"/>
    <x v="1"/>
    <n v="28"/>
    <x v="0"/>
    <n v="0"/>
    <n v="0"/>
    <n v="330971"/>
    <n v="7.8792"/>
    <x v="2"/>
    <s v="Unknown"/>
    <s v="Unknown"/>
    <s v="Queenstown"/>
    <s v="Not Applicable"/>
    <s v="Not Found"/>
    <s v="Not Found"/>
    <m/>
  </r>
  <r>
    <x v="2"/>
    <x v="1"/>
    <s v="Mr. Ling Lee"/>
    <x v="1"/>
    <n v="28"/>
    <x v="0"/>
    <n v="0"/>
    <n v="0"/>
    <n v="1601"/>
    <n v="56.495800000000003"/>
    <x v="0"/>
    <s v="Unknown"/>
    <s v="Unknown"/>
    <s v="Southampton"/>
    <s v="Not Applicable"/>
    <s v="Not Found"/>
    <s v="Not Found"/>
    <m/>
  </r>
  <r>
    <x v="2"/>
    <x v="1"/>
    <s v="Mr. Lithman Simon"/>
    <x v="1"/>
    <n v="28"/>
    <x v="0"/>
    <n v="0"/>
    <n v="0"/>
    <s v="S.O./P.P. 251"/>
    <n v="7.55"/>
    <x v="2"/>
    <s v="Unknown"/>
    <s v="Unknown"/>
    <s v="Southampton"/>
    <s v="Not Applicable"/>
    <s v="Not Found"/>
    <s v="Not Found"/>
    <m/>
  </r>
  <r>
    <x v="2"/>
    <x v="1"/>
    <s v="Mr. Lobb William"/>
    <x v="1"/>
    <n v="30"/>
    <x v="2"/>
    <n v="0"/>
    <n v="1"/>
    <s v="A/5. 3336"/>
    <n v="16.100000000000001"/>
    <x v="1"/>
    <s v="Unknown"/>
    <s v="Unknown"/>
    <s v="Southampton"/>
    <s v="Not Applicable"/>
    <s v="Not Found"/>
    <s v="Not Found"/>
    <m/>
  </r>
  <r>
    <x v="2"/>
    <x v="1"/>
    <s v="Mrs. Lobb William"/>
    <x v="0"/>
    <n v="26"/>
    <x v="0"/>
    <n v="0"/>
    <n v="1"/>
    <s v="A/5. 3336"/>
    <n v="16.100000000000001"/>
    <x v="1"/>
    <s v="Unknown"/>
    <s v="Unknown"/>
    <s v="Southampton"/>
    <s v="Not Applicable"/>
    <s v="Not Found"/>
    <s v="Not Found"/>
    <m/>
  </r>
  <r>
    <x v="2"/>
    <x v="1"/>
    <s v="Mr. Lockyer Edward"/>
    <x v="1"/>
    <n v="28"/>
    <x v="0"/>
    <n v="0"/>
    <n v="0"/>
    <n v="1222"/>
    <n v="7.8792"/>
    <x v="2"/>
    <s v="Unknown"/>
    <s v="Unknown"/>
    <s v="Southampton"/>
    <s v="Not Applicable"/>
    <n v="153"/>
    <s v="Found"/>
    <m/>
  </r>
  <r>
    <x v="2"/>
    <x v="1"/>
    <s v="Mr. Lovell John"/>
    <x v="1"/>
    <n v="21"/>
    <x v="0"/>
    <n v="0"/>
    <n v="0"/>
    <s v="A/5 21173"/>
    <n v="7.25"/>
    <x v="2"/>
    <s v="Unknown"/>
    <s v="Unknown"/>
    <s v="Southampton"/>
    <s v="Not Applicable"/>
    <s v="Not Found"/>
    <s v="Not Found"/>
    <m/>
  </r>
  <r>
    <x v="2"/>
    <x v="0"/>
    <s v="Mr. Lulic Nikola"/>
    <x v="1"/>
    <n v="27"/>
    <x v="0"/>
    <n v="0"/>
    <n v="0"/>
    <n v="315098"/>
    <n v="8.6624999999999996"/>
    <x v="2"/>
    <s v="Unknown"/>
    <s v="Unknown"/>
    <s v="Southampton"/>
    <n v="15"/>
    <s v="Not Found"/>
    <s v="Not Found"/>
    <m/>
  </r>
  <r>
    <x v="2"/>
    <x v="1"/>
    <s v="Mr. Lundahl Johan"/>
    <x v="1"/>
    <n v="51"/>
    <x v="2"/>
    <n v="0"/>
    <n v="0"/>
    <n v="347743"/>
    <n v="7.0541999999999998"/>
    <x v="2"/>
    <s v="Unknown"/>
    <s v="Unknown"/>
    <s v="Southampton"/>
    <s v="Not Applicable"/>
    <s v="Not Found"/>
    <s v="Not Found"/>
    <m/>
  </r>
  <r>
    <x v="2"/>
    <x v="0"/>
    <s v="Miss. Lundin Olga"/>
    <x v="0"/>
    <n v="23"/>
    <x v="0"/>
    <n v="0"/>
    <n v="0"/>
    <n v="347469"/>
    <n v="7.8541999999999996"/>
    <x v="2"/>
    <s v="Unknown"/>
    <s v="Unknown"/>
    <s v="Southampton"/>
    <n v="10"/>
    <s v="Not Found"/>
    <s v="Not Found"/>
    <m/>
  </r>
  <r>
    <x v="2"/>
    <x v="0"/>
    <s v="Mr. Lundstrom Thure"/>
    <x v="1"/>
    <n v="32"/>
    <x v="2"/>
    <n v="0"/>
    <n v="0"/>
    <n v="350403"/>
    <n v="7.5792000000000002"/>
    <x v="2"/>
    <s v="Unknown"/>
    <s v="Unknown"/>
    <s v="Southampton"/>
    <n v="15"/>
    <s v="Not Found"/>
    <s v="Not Found"/>
    <m/>
  </r>
  <r>
    <x v="2"/>
    <x v="1"/>
    <s v="Mr. Lyntakoff Stanko"/>
    <x v="1"/>
    <n v="28"/>
    <x v="0"/>
    <n v="0"/>
    <n v="0"/>
    <n v="349235"/>
    <n v="7.8958000000000004"/>
    <x v="2"/>
    <s v="Unknown"/>
    <s v="Unknown"/>
    <s v="Southampton"/>
    <s v="Not Applicable"/>
    <s v="Not Found"/>
    <s v="Not Found"/>
    <m/>
  </r>
  <r>
    <x v="2"/>
    <x v="1"/>
    <s v="Mr. MacKay George"/>
    <x v="1"/>
    <n v="28"/>
    <x v="0"/>
    <n v="0"/>
    <n v="0"/>
    <s v="C.A. 42795"/>
    <n v="7.55"/>
    <x v="2"/>
    <s v="Unknown"/>
    <s v="Unknown"/>
    <s v="Southampton"/>
    <s v="Not Applicable"/>
    <s v="Not Found"/>
    <s v="Not Found"/>
    <m/>
  </r>
  <r>
    <x v="2"/>
    <x v="0"/>
    <s v="Miss. Madigan Margaret"/>
    <x v="0"/>
    <n v="28"/>
    <x v="0"/>
    <n v="0"/>
    <n v="0"/>
    <n v="370370"/>
    <n v="7.75"/>
    <x v="2"/>
    <s v="Unknown"/>
    <s v="Unknown"/>
    <s v="Queenstown"/>
    <n v="15"/>
    <s v="Not Found"/>
    <s v="Not Found"/>
    <m/>
  </r>
  <r>
    <x v="2"/>
    <x v="0"/>
    <s v="Mr. Madsen Fridtjof"/>
    <x v="1"/>
    <n v="24"/>
    <x v="0"/>
    <n v="0"/>
    <n v="0"/>
    <s v="C 17369"/>
    <n v="7.1417000000000002"/>
    <x v="2"/>
    <s v="Unknown"/>
    <s v="Unknown"/>
    <s v="Southampton"/>
    <n v="13"/>
    <s v="Not Found"/>
    <s v="Not Found"/>
    <m/>
  </r>
  <r>
    <x v="2"/>
    <x v="1"/>
    <s v="Mr. Maenpaa Matti"/>
    <x v="1"/>
    <n v="22"/>
    <x v="0"/>
    <n v="0"/>
    <n v="0"/>
    <s v="STON/O 2. 3101275"/>
    <n v="7.125"/>
    <x v="2"/>
    <s v="Unknown"/>
    <s v="Unknown"/>
    <s v="Southampton"/>
    <s v="Not Applicable"/>
    <s v="Not Found"/>
    <s v="Not Found"/>
    <m/>
  </r>
  <r>
    <x v="2"/>
    <x v="1"/>
    <s v="Miss. Mahon Bridget"/>
    <x v="0"/>
    <n v="28"/>
    <x v="0"/>
    <n v="0"/>
    <n v="0"/>
    <n v="330924"/>
    <n v="7.8792"/>
    <x v="2"/>
    <s v="Unknown"/>
    <s v="Unknown"/>
    <s v="Queenstown"/>
    <s v="Not Applicable"/>
    <s v="Not Found"/>
    <s v="Not Found"/>
    <m/>
  </r>
  <r>
    <x v="2"/>
    <x v="1"/>
    <s v="Mr. Mahon John"/>
    <x v="1"/>
    <n v="28"/>
    <x v="0"/>
    <n v="0"/>
    <n v="0"/>
    <s v="AQ/4 3130"/>
    <n v="7.75"/>
    <x v="2"/>
    <s v="Unknown"/>
    <s v="Unknown"/>
    <s v="Queenstown"/>
    <s v="Not Applicable"/>
    <s v="Not Found"/>
    <s v="Not Found"/>
    <m/>
  </r>
  <r>
    <x v="2"/>
    <x v="1"/>
    <s v="Mr. Maisner Simon"/>
    <x v="1"/>
    <n v="28"/>
    <x v="0"/>
    <n v="0"/>
    <n v="0"/>
    <s v="A/S 2816"/>
    <n v="8.0500000000000007"/>
    <x v="2"/>
    <s v="Unknown"/>
    <s v="Unknown"/>
    <s v="Southampton"/>
    <s v="Not Applicable"/>
    <s v="Not Found"/>
    <s v="Not Found"/>
    <m/>
  </r>
  <r>
    <x v="2"/>
    <x v="1"/>
    <s v="Mr. Makinen Kalle"/>
    <x v="1"/>
    <n v="29"/>
    <x v="0"/>
    <n v="0"/>
    <n v="0"/>
    <s v="STON/O 2. 3101268"/>
    <n v="7.9249999999999998"/>
    <x v="2"/>
    <s v="Unknown"/>
    <s v="Unknown"/>
    <s v="Southampton"/>
    <s v="Not Applicable"/>
    <s v="Not Found"/>
    <s v="Not Found"/>
    <m/>
  </r>
  <r>
    <x v="2"/>
    <x v="0"/>
    <s v="Mr. Mamee Hanna"/>
    <x v="1"/>
    <n v="28"/>
    <x v="0"/>
    <n v="0"/>
    <n v="0"/>
    <n v="2677"/>
    <n v="7.2291999999999996"/>
    <x v="2"/>
    <s v="Unknown"/>
    <s v="Unknown"/>
    <s v="Cherbourg"/>
    <n v="15"/>
    <s v="Not Found"/>
    <s v="Not Found"/>
    <m/>
  </r>
  <r>
    <x v="2"/>
    <x v="1"/>
    <s v="Miss. Mangan Mary"/>
    <x v="0"/>
    <n v="31"/>
    <x v="2"/>
    <n v="0"/>
    <n v="0"/>
    <n v="364850"/>
    <n v="7.75"/>
    <x v="2"/>
    <s v="Unknown"/>
    <s v="Unknown"/>
    <s v="Queenstown"/>
    <s v="Not Applicable"/>
    <n v="61"/>
    <s v="Found"/>
    <m/>
  </r>
  <r>
    <x v="2"/>
    <x v="0"/>
    <s v="Miss. Mannion Margareth"/>
    <x v="0"/>
    <n v="28"/>
    <x v="0"/>
    <n v="0"/>
    <n v="0"/>
    <n v="36866"/>
    <n v="7.7374999999999998"/>
    <x v="2"/>
    <s v="Unknown"/>
    <s v="Unknown"/>
    <s v="Queenstown"/>
    <n v="16"/>
    <s v="Not Found"/>
    <s v="Not Found"/>
    <m/>
  </r>
  <r>
    <x v="2"/>
    <x v="1"/>
    <s v="Mr. Mardirosian Sarkis"/>
    <x v="1"/>
    <n v="28"/>
    <x v="0"/>
    <n v="0"/>
    <n v="0"/>
    <n v="2655"/>
    <n v="7.2291999999999996"/>
    <x v="2"/>
    <s v="F E46"/>
    <s v="F"/>
    <s v="Cherbourg"/>
    <s v="Not Applicable"/>
    <s v="Not Found"/>
    <s v="Not Found"/>
    <m/>
  </r>
  <r>
    <x v="2"/>
    <x v="1"/>
    <s v="Mr. Markoff Marin"/>
    <x v="1"/>
    <n v="35"/>
    <x v="2"/>
    <n v="0"/>
    <n v="0"/>
    <n v="349213"/>
    <n v="7.8958000000000004"/>
    <x v="2"/>
    <s v="Unknown"/>
    <s v="Unknown"/>
    <s v="Cherbourg"/>
    <s v="Not Applicable"/>
    <s v="Not Found"/>
    <s v="Not Found"/>
    <m/>
  </r>
  <r>
    <x v="2"/>
    <x v="1"/>
    <s v="Mr. Markun Johann"/>
    <x v="1"/>
    <n v="33"/>
    <x v="2"/>
    <n v="0"/>
    <n v="0"/>
    <n v="349257"/>
    <n v="7.8958000000000004"/>
    <x v="2"/>
    <s v="Unknown"/>
    <s v="Unknown"/>
    <s v="Southampton"/>
    <s v="Not Applicable"/>
    <s v="Not Found"/>
    <s v="Not Found"/>
    <m/>
  </r>
  <r>
    <x v="2"/>
    <x v="0"/>
    <s v="Mrs. Masselmani Fatima"/>
    <x v="0"/>
    <n v="28"/>
    <x v="0"/>
    <n v="0"/>
    <n v="0"/>
    <n v="2649"/>
    <n v="7.2249999999999996"/>
    <x v="2"/>
    <s v="Unknown"/>
    <s v="Unknown"/>
    <s v="Cherbourg"/>
    <s v="C"/>
    <s v="Not Found"/>
    <s v="Not Found"/>
    <m/>
  </r>
  <r>
    <x v="2"/>
    <x v="1"/>
    <s v="Mr. Matinoff Nicola"/>
    <x v="1"/>
    <n v="28"/>
    <x v="0"/>
    <n v="0"/>
    <n v="0"/>
    <n v="349255"/>
    <n v="7.8958000000000004"/>
    <x v="2"/>
    <s v="Unknown"/>
    <s v="Unknown"/>
    <s v="Cherbourg"/>
    <s v="Not Applicable"/>
    <s v="Not Found"/>
    <s v="Not Found"/>
    <m/>
  </r>
  <r>
    <x v="2"/>
    <x v="0"/>
    <s v="Miss. McCarthy Catherine"/>
    <x v="0"/>
    <n v="28"/>
    <x v="0"/>
    <n v="0"/>
    <n v="0"/>
    <n v="383123"/>
    <n v="7.75"/>
    <x v="2"/>
    <s v="Unknown"/>
    <s v="Unknown"/>
    <s v="Queenstown"/>
    <s v="15 16"/>
    <s v="Not Found"/>
    <s v="Not Found"/>
    <m/>
  </r>
  <r>
    <x v="2"/>
    <x v="0"/>
    <s v="Mr. McCormack Thomas"/>
    <x v="1"/>
    <n v="28"/>
    <x v="0"/>
    <n v="0"/>
    <n v="0"/>
    <n v="367228"/>
    <n v="7.75"/>
    <x v="2"/>
    <s v="Unknown"/>
    <s v="Unknown"/>
    <s v="Queenstown"/>
    <s v="Not Applicable"/>
    <s v="Not Found"/>
    <s v="Not Found"/>
    <m/>
  </r>
  <r>
    <x v="2"/>
    <x v="0"/>
    <s v="Miss. McCoy Agnes"/>
    <x v="0"/>
    <n v="28"/>
    <x v="0"/>
    <n v="0"/>
    <n v="2"/>
    <n v="367226"/>
    <n v="23.25"/>
    <x v="1"/>
    <s v="Unknown"/>
    <s v="Unknown"/>
    <s v="Queenstown"/>
    <n v="16"/>
    <s v="Not Found"/>
    <s v="Not Found"/>
    <m/>
  </r>
  <r>
    <x v="2"/>
    <x v="0"/>
    <s v="Miss. McCoy Alicia"/>
    <x v="0"/>
    <n v="28"/>
    <x v="0"/>
    <n v="0"/>
    <n v="2"/>
    <n v="367226"/>
    <n v="23.25"/>
    <x v="1"/>
    <s v="Unknown"/>
    <s v="Unknown"/>
    <s v="Queenstown"/>
    <n v="16"/>
    <s v="Not Found"/>
    <s v="Not Found"/>
    <m/>
  </r>
  <r>
    <x v="2"/>
    <x v="0"/>
    <s v="Mr. McCoy Bernard"/>
    <x v="1"/>
    <n v="28"/>
    <x v="0"/>
    <n v="0"/>
    <n v="2"/>
    <n v="367226"/>
    <n v="23.25"/>
    <x v="1"/>
    <s v="Unknown"/>
    <s v="Unknown"/>
    <s v="Queenstown"/>
    <n v="16"/>
    <s v="Not Found"/>
    <s v="Not Found"/>
    <m/>
  </r>
  <r>
    <x v="2"/>
    <x v="0"/>
    <s v="Miss. McDermott Brigdet"/>
    <x v="0"/>
    <n v="28"/>
    <x v="0"/>
    <n v="0"/>
    <n v="0"/>
    <n v="330932"/>
    <n v="7.7874999999999996"/>
    <x v="2"/>
    <s v="Unknown"/>
    <s v="Unknown"/>
    <s v="Queenstown"/>
    <n v="13"/>
    <s v="Not Found"/>
    <s v="Not Found"/>
    <m/>
  </r>
  <r>
    <x v="2"/>
    <x v="1"/>
    <s v="Mr. McEvoy Michael"/>
    <x v="1"/>
    <n v="28"/>
    <x v="0"/>
    <n v="0"/>
    <n v="0"/>
    <n v="36568"/>
    <n v="15.5"/>
    <x v="1"/>
    <s v="Unknown"/>
    <s v="Unknown"/>
    <s v="Queenstown"/>
    <s v="Not Applicable"/>
    <s v="Not Found"/>
    <s v="Not Found"/>
    <m/>
  </r>
  <r>
    <x v="2"/>
    <x v="0"/>
    <s v="Miss. McGovern Mary"/>
    <x v="0"/>
    <n v="28"/>
    <x v="0"/>
    <n v="0"/>
    <n v="0"/>
    <n v="330931"/>
    <n v="7.8792"/>
    <x v="2"/>
    <s v="Unknown"/>
    <s v="Unknown"/>
    <s v="Queenstown"/>
    <n v="13"/>
    <s v="Not Found"/>
    <s v="Not Found"/>
    <m/>
  </r>
  <r>
    <x v="2"/>
    <x v="0"/>
    <s v="Miss. McGowan Anna"/>
    <x v="0"/>
    <n v="15"/>
    <x v="4"/>
    <n v="0"/>
    <n v="0"/>
    <n v="330923"/>
    <n v="8.0291999999999994"/>
    <x v="2"/>
    <s v="Unknown"/>
    <s v="Unknown"/>
    <s v="Queenstown"/>
    <s v="Not Applicable"/>
    <s v="Not Found"/>
    <s v="Not Found"/>
    <m/>
  </r>
  <r>
    <x v="2"/>
    <x v="1"/>
    <s v="Miss. McGowan Katherine"/>
    <x v="0"/>
    <n v="35"/>
    <x v="2"/>
    <n v="0"/>
    <n v="0"/>
    <n v="9232"/>
    <n v="7.75"/>
    <x v="2"/>
    <s v="Unknown"/>
    <s v="Unknown"/>
    <s v="Queenstown"/>
    <s v="Not Applicable"/>
    <s v="Not Found"/>
    <s v="Not Found"/>
    <m/>
  </r>
  <r>
    <x v="2"/>
    <x v="1"/>
    <s v="Mr. McMahon Martin"/>
    <x v="1"/>
    <n v="28"/>
    <x v="0"/>
    <n v="0"/>
    <n v="0"/>
    <n v="370372"/>
    <n v="7.75"/>
    <x v="2"/>
    <s v="Unknown"/>
    <s v="Unknown"/>
    <s v="Queenstown"/>
    <s v="Not Applicable"/>
    <s v="Not Found"/>
    <s v="Not Found"/>
    <m/>
  </r>
  <r>
    <x v="2"/>
    <x v="1"/>
    <s v="Mr. McNamee Neal"/>
    <x v="1"/>
    <n v="24"/>
    <x v="0"/>
    <n v="0"/>
    <n v="1"/>
    <n v="376566"/>
    <n v="16.100000000000001"/>
    <x v="1"/>
    <s v="Unknown"/>
    <s v="Unknown"/>
    <s v="Southampton"/>
    <s v="Not Applicable"/>
    <s v="Not Found"/>
    <s v="Not Found"/>
    <m/>
  </r>
  <r>
    <x v="2"/>
    <x v="1"/>
    <s v="Mrs. McNamee Neal"/>
    <x v="0"/>
    <n v="19"/>
    <x v="0"/>
    <n v="0"/>
    <n v="1"/>
    <n v="376566"/>
    <n v="16.100000000000001"/>
    <x v="1"/>
    <s v="Unknown"/>
    <s v="Unknown"/>
    <s v="Southampton"/>
    <s v="Not Applicable"/>
    <n v="53"/>
    <s v="Found"/>
    <m/>
  </r>
  <r>
    <x v="2"/>
    <x v="1"/>
    <s v="Miss. McNeill Bridget"/>
    <x v="0"/>
    <n v="28"/>
    <x v="0"/>
    <n v="0"/>
    <n v="0"/>
    <n v="370368"/>
    <n v="7.75"/>
    <x v="2"/>
    <s v="Unknown"/>
    <s v="Unknown"/>
    <s v="Queenstown"/>
    <s v="Not Applicable"/>
    <s v="Not Found"/>
    <s v="Not Found"/>
    <m/>
  </r>
  <r>
    <x v="2"/>
    <x v="1"/>
    <s v="Miss. Meanwell (Marion"/>
    <x v="0"/>
    <n v="28"/>
    <x v="0"/>
    <n v="0"/>
    <n v="0"/>
    <s v="SOTON/O.Q. 392087"/>
    <n v="8.0500000000000007"/>
    <x v="2"/>
    <s v="Unknown"/>
    <s v="Unknown"/>
    <s v="Southampton"/>
    <s v="Not Applicable"/>
    <s v="Not Found"/>
    <s v="Not Found"/>
    <m/>
  </r>
  <r>
    <x v="2"/>
    <x v="1"/>
    <s v="Mrs. Meek Thomas"/>
    <x v="0"/>
    <n v="28"/>
    <x v="0"/>
    <n v="0"/>
    <n v="0"/>
    <n v="343095"/>
    <n v="8.0500000000000007"/>
    <x v="2"/>
    <s v="Unknown"/>
    <s v="Unknown"/>
    <s v="Southampton"/>
    <s v="Not Applicable"/>
    <s v="Not Found"/>
    <s v="Not Found"/>
    <m/>
  </r>
  <r>
    <x v="2"/>
    <x v="1"/>
    <s v="Mr. Meo Alfonzo"/>
    <x v="1"/>
    <n v="56"/>
    <x v="2"/>
    <n v="0"/>
    <n v="0"/>
    <s v="A.5. 11206"/>
    <n v="8.0500000000000007"/>
    <x v="2"/>
    <s v="Unknown"/>
    <s v="Unknown"/>
    <s v="Southampton"/>
    <s v="Not Applicable"/>
    <n v="201"/>
    <s v="Found"/>
    <m/>
  </r>
  <r>
    <x v="2"/>
    <x v="1"/>
    <s v="Mr. Mernagh Robert"/>
    <x v="1"/>
    <n v="28"/>
    <x v="0"/>
    <n v="0"/>
    <n v="0"/>
    <n v="368703"/>
    <n v="7.75"/>
    <x v="2"/>
    <s v="Unknown"/>
    <s v="Unknown"/>
    <s v="Queenstown"/>
    <s v="Not Applicable"/>
    <s v="Not Found"/>
    <s v="Not Found"/>
    <m/>
  </r>
  <r>
    <x v="2"/>
    <x v="0"/>
    <s v="Mr. Midtsjo Karl"/>
    <x v="1"/>
    <n v="21"/>
    <x v="0"/>
    <n v="0"/>
    <n v="0"/>
    <n v="345501"/>
    <n v="7.7750000000000004"/>
    <x v="2"/>
    <s v="Unknown"/>
    <s v="Unknown"/>
    <s v="Southampton"/>
    <n v="15"/>
    <s v="Not Found"/>
    <s v="Not Found"/>
    <m/>
  </r>
  <r>
    <x v="2"/>
    <x v="1"/>
    <s v="Mr. Miles Frank"/>
    <x v="1"/>
    <n v="28"/>
    <x v="0"/>
    <n v="0"/>
    <n v="0"/>
    <n v="359306"/>
    <n v="8.0500000000000007"/>
    <x v="2"/>
    <s v="Unknown"/>
    <s v="Unknown"/>
    <s v="Southampton"/>
    <s v="Not Applicable"/>
    <s v="Not Found"/>
    <s v="Not Found"/>
    <m/>
  </r>
  <r>
    <x v="2"/>
    <x v="1"/>
    <s v="Mr. Mineff Ivan"/>
    <x v="1"/>
    <n v="24"/>
    <x v="0"/>
    <n v="0"/>
    <n v="0"/>
    <n v="349233"/>
    <n v="7.8958000000000004"/>
    <x v="2"/>
    <s v="Unknown"/>
    <s v="Unknown"/>
    <s v="Southampton"/>
    <s v="Not Applicable"/>
    <s v="Not Found"/>
    <s v="Not Found"/>
    <m/>
  </r>
  <r>
    <x v="2"/>
    <x v="1"/>
    <s v="Mr. Minkoff Lazar"/>
    <x v="1"/>
    <n v="21"/>
    <x v="0"/>
    <n v="0"/>
    <n v="0"/>
    <n v="349211"/>
    <n v="7.8958000000000004"/>
    <x v="2"/>
    <s v="Unknown"/>
    <s v="Unknown"/>
    <s v="Southampton"/>
    <s v="Not Applicable"/>
    <s v="Not Found"/>
    <s v="Not Found"/>
    <m/>
  </r>
  <r>
    <x v="2"/>
    <x v="1"/>
    <s v="Mr. Mionoff Stoytcho"/>
    <x v="1"/>
    <n v="28"/>
    <x v="0"/>
    <n v="0"/>
    <n v="0"/>
    <n v="349207"/>
    <n v="7.8958000000000004"/>
    <x v="2"/>
    <s v="Unknown"/>
    <s v="Unknown"/>
    <s v="Southampton"/>
    <s v="Not Applicable"/>
    <s v="Not Found"/>
    <s v="Not Found"/>
    <m/>
  </r>
  <r>
    <x v="2"/>
    <x v="1"/>
    <s v="Mr. Mitkoff Mito"/>
    <x v="1"/>
    <n v="28"/>
    <x v="0"/>
    <n v="0"/>
    <n v="0"/>
    <n v="349221"/>
    <n v="7.8958000000000004"/>
    <x v="2"/>
    <s v="Unknown"/>
    <s v="Unknown"/>
    <s v="Southampton"/>
    <s v="Not Applicable"/>
    <s v="Not Found"/>
    <s v="Not Found"/>
    <m/>
  </r>
  <r>
    <x v="2"/>
    <x v="0"/>
    <s v="Miss. Mockler Helen"/>
    <x v="0"/>
    <n v="28"/>
    <x v="0"/>
    <n v="0"/>
    <n v="0"/>
    <n v="330980"/>
    <n v="7.8792"/>
    <x v="2"/>
    <s v="Unknown"/>
    <s v="Unknown"/>
    <s v="Queenstown"/>
    <n v="16"/>
    <s v="Not Found"/>
    <s v="Not Found"/>
    <m/>
  </r>
  <r>
    <x v="2"/>
    <x v="1"/>
    <s v="Mr. Moen Sigurd"/>
    <x v="1"/>
    <n v="25"/>
    <x v="0"/>
    <n v="0"/>
    <n v="0"/>
    <n v="348123"/>
    <n v="7.65"/>
    <x v="2"/>
    <s v="F G73"/>
    <s v="F"/>
    <s v="Southampton"/>
    <s v="Not Applicable"/>
    <n v="309"/>
    <s v="Found"/>
    <m/>
  </r>
  <r>
    <x v="2"/>
    <x v="0"/>
    <s v="Master. Moor Meier"/>
    <x v="1"/>
    <n v="6"/>
    <x v="1"/>
    <n v="1"/>
    <n v="0"/>
    <n v="392096"/>
    <n v="12.475"/>
    <x v="1"/>
    <s v="E121"/>
    <s v="E"/>
    <s v="Southampton"/>
    <n v="14"/>
    <s v="Not Found"/>
    <s v="Not Found"/>
    <m/>
  </r>
  <r>
    <x v="2"/>
    <x v="0"/>
    <s v="Mrs. Moor (Beila)"/>
    <x v="0"/>
    <n v="27"/>
    <x v="0"/>
    <n v="1"/>
    <n v="0"/>
    <n v="392096"/>
    <n v="12.475"/>
    <x v="1"/>
    <s v="E121"/>
    <s v="E"/>
    <s v="Southampton"/>
    <n v="14"/>
    <s v="Not Found"/>
    <s v="Not Found"/>
    <m/>
  </r>
  <r>
    <x v="2"/>
    <x v="1"/>
    <s v="Mr. Moore Leonard"/>
    <x v="1"/>
    <n v="28"/>
    <x v="0"/>
    <n v="0"/>
    <n v="0"/>
    <s v="A4. 54510"/>
    <n v="8.0500000000000007"/>
    <x v="2"/>
    <s v="Unknown"/>
    <s v="Unknown"/>
    <s v="Southampton"/>
    <s v="Not Applicable"/>
    <s v="Not Found"/>
    <s v="Not Found"/>
    <m/>
  </r>
  <r>
    <x v="2"/>
    <x v="0"/>
    <s v="Miss. Moran Bertha"/>
    <x v="0"/>
    <n v="28"/>
    <x v="0"/>
    <n v="0"/>
    <n v="1"/>
    <n v="371110"/>
    <n v="24.15"/>
    <x v="1"/>
    <s v="Unknown"/>
    <s v="Unknown"/>
    <s v="Queenstown"/>
    <n v="16"/>
    <s v="Not Found"/>
    <s v="Not Found"/>
    <m/>
  </r>
  <r>
    <x v="2"/>
    <x v="1"/>
    <s v="Mr. Moran Daniel"/>
    <x v="1"/>
    <n v="28"/>
    <x v="0"/>
    <n v="0"/>
    <n v="1"/>
    <n v="371110"/>
    <n v="24.15"/>
    <x v="1"/>
    <s v="Unknown"/>
    <s v="Unknown"/>
    <s v="Queenstown"/>
    <s v="Not Applicable"/>
    <s v="Not Found"/>
    <s v="Not Found"/>
    <m/>
  </r>
  <r>
    <x v="2"/>
    <x v="1"/>
    <s v="Mr. Moran James"/>
    <x v="1"/>
    <n v="28"/>
    <x v="0"/>
    <n v="0"/>
    <n v="0"/>
    <n v="330877"/>
    <n v="8.4582999999999995"/>
    <x v="2"/>
    <s v="Unknown"/>
    <s v="Unknown"/>
    <s v="Queenstown"/>
    <s v="Not Applicable"/>
    <s v="Not Found"/>
    <s v="Not Found"/>
    <m/>
  </r>
  <r>
    <x v="2"/>
    <x v="1"/>
    <s v="Mr. Morley William"/>
    <x v="1"/>
    <n v="34"/>
    <x v="2"/>
    <n v="0"/>
    <n v="0"/>
    <n v="364506"/>
    <n v="8.0500000000000007"/>
    <x v="2"/>
    <s v="Unknown"/>
    <s v="Unknown"/>
    <s v="Southampton"/>
    <s v="Not Applicable"/>
    <s v="Not Found"/>
    <s v="Not Found"/>
    <m/>
  </r>
  <r>
    <x v="2"/>
    <x v="1"/>
    <s v="Mr. Morrow Thomas"/>
    <x v="1"/>
    <n v="28"/>
    <x v="0"/>
    <n v="0"/>
    <n v="0"/>
    <n v="372622"/>
    <n v="7.75"/>
    <x v="2"/>
    <s v="Unknown"/>
    <s v="Unknown"/>
    <s v="Queenstown"/>
    <s v="Not Applicable"/>
    <s v="Not Found"/>
    <s v="Not Found"/>
    <m/>
  </r>
  <r>
    <x v="2"/>
    <x v="0"/>
    <s v="Mr. Moss Albert"/>
    <x v="1"/>
    <n v="28"/>
    <x v="0"/>
    <n v="0"/>
    <n v="0"/>
    <n v="312991"/>
    <n v="7.7750000000000004"/>
    <x v="2"/>
    <s v="Unknown"/>
    <s v="Unknown"/>
    <s v="Southampton"/>
    <s v="B"/>
    <s v="Not Found"/>
    <s v="Not Found"/>
    <m/>
  </r>
  <r>
    <x v="2"/>
    <x v="0"/>
    <s v="Master. Moubarek Gerios"/>
    <x v="1"/>
    <n v="28"/>
    <x v="0"/>
    <n v="1"/>
    <n v="1"/>
    <n v="2661"/>
    <n v="15.245799999999999"/>
    <x v="1"/>
    <s v="Unknown"/>
    <s v="Unknown"/>
    <s v="Cherbourg"/>
    <s v="C"/>
    <s v="Not Found"/>
    <s v="Not Found"/>
    <m/>
  </r>
  <r>
    <x v="2"/>
    <x v="0"/>
    <s v="Master. Moubarek Halim"/>
    <x v="1"/>
    <n v="28"/>
    <x v="0"/>
    <n v="1"/>
    <n v="1"/>
    <n v="2661"/>
    <n v="15.245799999999999"/>
    <x v="1"/>
    <s v="Unknown"/>
    <s v="Unknown"/>
    <s v="Cherbourg"/>
    <s v="C"/>
    <s v="Not Found"/>
    <s v="Not Found"/>
    <m/>
  </r>
  <r>
    <x v="2"/>
    <x v="0"/>
    <s v="Mrs. Moubarek George"/>
    <x v="0"/>
    <n v="28"/>
    <x v="0"/>
    <n v="2"/>
    <n v="0"/>
    <n v="2661"/>
    <n v="15.245799999999999"/>
    <x v="1"/>
    <s v="Unknown"/>
    <s v="Unknown"/>
    <s v="Cherbourg"/>
    <s v="C"/>
    <s v="Not Found"/>
    <s v="Not Found"/>
    <m/>
  </r>
  <r>
    <x v="2"/>
    <x v="0"/>
    <s v="Mrs. Moussa (Mantoura"/>
    <x v="0"/>
    <n v="28"/>
    <x v="0"/>
    <n v="0"/>
    <n v="0"/>
    <n v="2626"/>
    <n v="7.2291999999999996"/>
    <x v="2"/>
    <s v="Unknown"/>
    <s v="Unknown"/>
    <s v="Cherbourg"/>
    <s v="Not Applicable"/>
    <s v="Not Found"/>
    <s v="Not Found"/>
    <m/>
  </r>
  <r>
    <x v="2"/>
    <x v="1"/>
    <s v="Mr. Moutal Rahamin"/>
    <x v="1"/>
    <n v="28"/>
    <x v="0"/>
    <n v="0"/>
    <n v="0"/>
    <n v="374746"/>
    <n v="8.0500000000000007"/>
    <x v="2"/>
    <s v="Unknown"/>
    <s v="Unknown"/>
    <s v="Southampton"/>
    <s v="Not Applicable"/>
    <s v="Not Found"/>
    <s v="Not Found"/>
    <m/>
  </r>
  <r>
    <x v="2"/>
    <x v="0"/>
    <s v="Miss. Mullens Katherine"/>
    <x v="0"/>
    <n v="28"/>
    <x v="0"/>
    <n v="0"/>
    <n v="0"/>
    <n v="35852"/>
    <n v="7.7332999999999998"/>
    <x v="2"/>
    <s v="Unknown"/>
    <s v="Unknown"/>
    <s v="Queenstown"/>
    <n v="16"/>
    <s v="Not Found"/>
    <s v="Not Found"/>
    <m/>
  </r>
  <r>
    <x v="2"/>
    <x v="0"/>
    <s v="Miss. Mulvihill Bertha"/>
    <x v="0"/>
    <n v="24"/>
    <x v="0"/>
    <n v="0"/>
    <n v="0"/>
    <n v="382653"/>
    <n v="7.75"/>
    <x v="2"/>
    <s v="Unknown"/>
    <s v="Unknown"/>
    <s v="Queenstown"/>
    <n v="15"/>
    <s v="Not Found"/>
    <s v="Not Found"/>
    <m/>
  </r>
  <r>
    <x v="2"/>
    <x v="1"/>
    <s v="Mr. Murdlin Joseph"/>
    <x v="1"/>
    <n v="28"/>
    <x v="0"/>
    <n v="0"/>
    <n v="0"/>
    <s v="A./5. 3235"/>
    <n v="8.0500000000000007"/>
    <x v="2"/>
    <s v="Unknown"/>
    <s v="Unknown"/>
    <s v="Southampton"/>
    <s v="Not Applicable"/>
    <s v="Not Found"/>
    <s v="Not Found"/>
    <m/>
  </r>
  <r>
    <x v="2"/>
    <x v="0"/>
    <s v="Miss. Murphy Katherine"/>
    <x v="0"/>
    <n v="28"/>
    <x v="0"/>
    <n v="0"/>
    <n v="1"/>
    <n v="367230"/>
    <n v="15.5"/>
    <x v="1"/>
    <s v="Unknown"/>
    <s v="Unknown"/>
    <s v="Queenstown"/>
    <n v="16"/>
    <s v="Not Found"/>
    <s v="Not Found"/>
    <m/>
  </r>
  <r>
    <x v="2"/>
    <x v="0"/>
    <s v="Miss. Murphy Margaret"/>
    <x v="0"/>
    <n v="28"/>
    <x v="0"/>
    <n v="0"/>
    <n v="1"/>
    <n v="367230"/>
    <n v="15.5"/>
    <x v="1"/>
    <s v="Unknown"/>
    <s v="Unknown"/>
    <s v="Queenstown"/>
    <n v="16"/>
    <s v="Not Found"/>
    <s v="Not Found"/>
    <m/>
  </r>
  <r>
    <x v="2"/>
    <x v="0"/>
    <s v="Miss. Murphy Nora"/>
    <x v="0"/>
    <n v="28"/>
    <x v="0"/>
    <n v="0"/>
    <n v="0"/>
    <n v="36568"/>
    <n v="15.5"/>
    <x v="1"/>
    <s v="Unknown"/>
    <s v="Unknown"/>
    <s v="Queenstown"/>
    <n v="16"/>
    <s v="Not Found"/>
    <s v="Not Found"/>
    <m/>
  </r>
  <r>
    <x v="2"/>
    <x v="1"/>
    <s v="Mr. Myhrman Pehr"/>
    <x v="1"/>
    <n v="18"/>
    <x v="0"/>
    <n v="0"/>
    <n v="0"/>
    <n v="347078"/>
    <n v="7.75"/>
    <x v="2"/>
    <s v="Unknown"/>
    <s v="Unknown"/>
    <s v="Southampton"/>
    <s v="Not Applicable"/>
    <s v="Not Found"/>
    <s v="Not Found"/>
    <m/>
  </r>
  <r>
    <x v="2"/>
    <x v="1"/>
    <s v="Mr. Naidenoff Penko"/>
    <x v="1"/>
    <n v="22"/>
    <x v="0"/>
    <n v="0"/>
    <n v="0"/>
    <n v="349206"/>
    <n v="7.8958000000000004"/>
    <x v="2"/>
    <s v="Unknown"/>
    <s v="Unknown"/>
    <s v="Southampton"/>
    <s v="Not Applicable"/>
    <s v="Not Found"/>
    <s v="Not Found"/>
    <m/>
  </r>
  <r>
    <x v="2"/>
    <x v="0"/>
    <s v="Miss. Najib Adele"/>
    <x v="0"/>
    <n v="15"/>
    <x v="4"/>
    <n v="0"/>
    <n v="0"/>
    <n v="2667"/>
    <n v="7.2249999999999996"/>
    <x v="2"/>
    <s v="Unknown"/>
    <s v="Unknown"/>
    <s v="Cherbourg"/>
    <s v="C"/>
    <s v="Not Found"/>
    <s v="Not Found"/>
    <m/>
  </r>
  <r>
    <x v="2"/>
    <x v="0"/>
    <s v="Miss. Nakid Maria"/>
    <x v="0"/>
    <n v="1"/>
    <x v="1"/>
    <n v="2"/>
    <n v="0"/>
    <n v="2653"/>
    <n v="15.7417"/>
    <x v="1"/>
    <s v="Unknown"/>
    <s v="Unknown"/>
    <s v="Cherbourg"/>
    <s v="C"/>
    <s v="Not Found"/>
    <s v="Not Found"/>
    <m/>
  </r>
  <r>
    <x v="2"/>
    <x v="0"/>
    <s v="Mr. Nakid Sahid"/>
    <x v="1"/>
    <n v="20"/>
    <x v="0"/>
    <n v="1"/>
    <n v="1"/>
    <n v="2653"/>
    <n v="15.7417"/>
    <x v="1"/>
    <s v="Unknown"/>
    <s v="Unknown"/>
    <s v="Cherbourg"/>
    <s v="C"/>
    <s v="Not Found"/>
    <s v="Not Found"/>
    <m/>
  </r>
  <r>
    <x v="2"/>
    <x v="0"/>
    <s v="Mrs. Nakid Said"/>
    <x v="0"/>
    <n v="19"/>
    <x v="0"/>
    <n v="1"/>
    <n v="1"/>
    <n v="2653"/>
    <n v="15.7417"/>
    <x v="1"/>
    <s v="Unknown"/>
    <s v="Unknown"/>
    <s v="Cherbourg"/>
    <s v="C"/>
    <s v="Not Found"/>
    <s v="Not Found"/>
    <m/>
  </r>
  <r>
    <x v="2"/>
    <x v="1"/>
    <s v="Mr. Nancarrow William"/>
    <x v="1"/>
    <n v="33"/>
    <x v="2"/>
    <n v="0"/>
    <n v="0"/>
    <s v="A./5. 3338"/>
    <n v="8.0500000000000007"/>
    <x v="2"/>
    <s v="Unknown"/>
    <s v="Unknown"/>
    <s v="Southampton"/>
    <s v="Not Applicable"/>
    <s v="Not Found"/>
    <s v="Not Found"/>
    <m/>
  </r>
  <r>
    <x v="2"/>
    <x v="1"/>
    <s v="Mr. Nankoff Minko"/>
    <x v="1"/>
    <n v="28"/>
    <x v="0"/>
    <n v="0"/>
    <n v="0"/>
    <n v="349218"/>
    <n v="7.8958000000000004"/>
    <x v="2"/>
    <s v="Unknown"/>
    <s v="Unknown"/>
    <s v="Southampton"/>
    <s v="Not Applicable"/>
    <s v="Not Found"/>
    <s v="Not Found"/>
    <m/>
  </r>
  <r>
    <x v="2"/>
    <x v="1"/>
    <s v="Mr. Nasr Mustafa"/>
    <x v="1"/>
    <n v="28"/>
    <x v="0"/>
    <n v="0"/>
    <n v="0"/>
    <n v="2652"/>
    <n v="7.2291999999999996"/>
    <x v="2"/>
    <s v="Unknown"/>
    <s v="Unknown"/>
    <s v="Cherbourg"/>
    <s v="Not Applicable"/>
    <s v="Not Found"/>
    <s v="Not Found"/>
    <m/>
  </r>
  <r>
    <x v="2"/>
    <x v="1"/>
    <s v="Miss. Naughton Hannah"/>
    <x v="0"/>
    <n v="28"/>
    <x v="0"/>
    <n v="0"/>
    <n v="0"/>
    <n v="365237"/>
    <n v="7.75"/>
    <x v="2"/>
    <s v="Unknown"/>
    <s v="Unknown"/>
    <s v="Queenstown"/>
    <s v="Not Applicable"/>
    <s v="Not Found"/>
    <s v="Not Found"/>
    <m/>
  </r>
  <r>
    <x v="2"/>
    <x v="1"/>
    <s v="Mr. Nenkoff Christo"/>
    <x v="1"/>
    <n v="28"/>
    <x v="0"/>
    <n v="0"/>
    <n v="0"/>
    <n v="349234"/>
    <n v="7.8958000000000004"/>
    <x v="2"/>
    <s v="Unknown"/>
    <s v="Unknown"/>
    <s v="Southampton"/>
    <s v="Not Applicable"/>
    <s v="Not Found"/>
    <s v="Not Found"/>
    <m/>
  </r>
  <r>
    <x v="2"/>
    <x v="0"/>
    <s v="Master. Nicola-Yarred Elias"/>
    <x v="1"/>
    <n v="12"/>
    <x v="4"/>
    <n v="0"/>
    <n v="1"/>
    <n v="2651"/>
    <n v="11.2417"/>
    <x v="1"/>
    <s v="Unknown"/>
    <s v="Unknown"/>
    <s v="Cherbourg"/>
    <s v="C"/>
    <s v="Not Found"/>
    <s v="Not Found"/>
    <m/>
  </r>
  <r>
    <x v="2"/>
    <x v="0"/>
    <s v="Miss. Nicola-Yarred Jamila"/>
    <x v="0"/>
    <n v="14"/>
    <x v="4"/>
    <n v="0"/>
    <n v="1"/>
    <n v="2651"/>
    <n v="11.2417"/>
    <x v="1"/>
    <s v="Unknown"/>
    <s v="Unknown"/>
    <s v="Cherbourg"/>
    <s v="C"/>
    <s v="Not Found"/>
    <s v="Not Found"/>
    <m/>
  </r>
  <r>
    <x v="2"/>
    <x v="1"/>
    <s v="Miss. Nieminen Manta"/>
    <x v="0"/>
    <n v="29"/>
    <x v="0"/>
    <n v="0"/>
    <n v="0"/>
    <n v="3101297"/>
    <n v="7.9249999999999998"/>
    <x v="2"/>
    <s v="Unknown"/>
    <s v="Unknown"/>
    <s v="Southampton"/>
    <s v="Not Applicable"/>
    <s v="Not Found"/>
    <s v="Not Found"/>
    <m/>
  </r>
  <r>
    <x v="2"/>
    <x v="1"/>
    <s v="Mr. Niklasson Samuel"/>
    <x v="1"/>
    <n v="28"/>
    <x v="0"/>
    <n v="0"/>
    <n v="0"/>
    <n v="363611"/>
    <n v="8.0500000000000007"/>
    <x v="2"/>
    <s v="Unknown"/>
    <s v="Unknown"/>
    <s v="Southampton"/>
    <s v="Not Applicable"/>
    <s v="Not Found"/>
    <s v="Not Found"/>
    <m/>
  </r>
  <r>
    <x v="2"/>
    <x v="0"/>
    <s v="Miss. Nilsson Berta"/>
    <x v="0"/>
    <n v="18"/>
    <x v="0"/>
    <n v="0"/>
    <n v="0"/>
    <n v="347066"/>
    <n v="7.7750000000000004"/>
    <x v="2"/>
    <s v="Unknown"/>
    <s v="Unknown"/>
    <s v="Southampton"/>
    <s v="D"/>
    <s v="Not Found"/>
    <s v="Not Found"/>
    <m/>
  </r>
  <r>
    <x v="2"/>
    <x v="0"/>
    <s v="Miss. Nilsson Helmina"/>
    <x v="0"/>
    <n v="26"/>
    <x v="0"/>
    <n v="0"/>
    <n v="0"/>
    <n v="347470"/>
    <n v="7.8541999999999996"/>
    <x v="2"/>
    <s v="Unknown"/>
    <s v="Unknown"/>
    <s v="Southampton"/>
    <n v="13"/>
    <s v="Not Found"/>
    <s v="Not Found"/>
    <m/>
  </r>
  <r>
    <x v="2"/>
    <x v="1"/>
    <s v="Mr. Nilsson August"/>
    <x v="1"/>
    <n v="21"/>
    <x v="0"/>
    <n v="0"/>
    <n v="0"/>
    <n v="350410"/>
    <n v="7.8541999999999996"/>
    <x v="2"/>
    <s v="Unknown"/>
    <s v="Unknown"/>
    <s v="Southampton"/>
    <s v="Not Applicable"/>
    <s v="Not Found"/>
    <s v="Not Found"/>
    <m/>
  </r>
  <r>
    <x v="2"/>
    <x v="1"/>
    <s v="Mr. Nirva Iisakki"/>
    <x v="1"/>
    <n v="41"/>
    <x v="2"/>
    <n v="0"/>
    <n v="0"/>
    <s v="SOTON/O2 3101272"/>
    <n v="7.125"/>
    <x v="2"/>
    <s v="Unknown"/>
    <s v="Unknown"/>
    <s v="Southampton"/>
    <s v="Not Applicable"/>
    <s v="Not Found"/>
    <s v="Not Found"/>
    <s v="Finland Sudbury, ON"/>
  </r>
  <r>
    <x v="2"/>
    <x v="0"/>
    <s v="Mr. Niskanen Juha"/>
    <x v="1"/>
    <n v="39"/>
    <x v="2"/>
    <n v="0"/>
    <n v="0"/>
    <s v="STON/O 2. 3101289"/>
    <n v="7.9249999999999998"/>
    <x v="2"/>
    <s v="Unknown"/>
    <s v="Unknown"/>
    <s v="Southampton"/>
    <n v="9"/>
    <s v="Not Found"/>
    <s v="Not Found"/>
    <m/>
  </r>
  <r>
    <x v="2"/>
    <x v="1"/>
    <s v="Mr. Nosworthy Richard"/>
    <x v="1"/>
    <n v="21"/>
    <x v="0"/>
    <n v="0"/>
    <n v="0"/>
    <s v="A/4. 39886"/>
    <n v="7.8"/>
    <x v="2"/>
    <s v="Unknown"/>
    <s v="Unknown"/>
    <s v="Southampton"/>
    <s v="Not Applicable"/>
    <s v="Not Found"/>
    <s v="Not Found"/>
    <m/>
  </r>
  <r>
    <x v="2"/>
    <x v="1"/>
    <s v="Mr. Novel Mansouer"/>
    <x v="1"/>
    <n v="29"/>
    <x v="0"/>
    <n v="0"/>
    <n v="0"/>
    <n v="2697"/>
    <n v="7.2291999999999996"/>
    <x v="2"/>
    <s v="Unknown"/>
    <s v="Unknown"/>
    <s v="Cherbourg"/>
    <s v="Not Applicable"/>
    <n v="181"/>
    <s v="Found"/>
    <m/>
  </r>
  <r>
    <x v="2"/>
    <x v="0"/>
    <s v="Miss. Nysten Anna"/>
    <x v="0"/>
    <n v="22"/>
    <x v="0"/>
    <n v="0"/>
    <n v="0"/>
    <n v="347081"/>
    <n v="7.75"/>
    <x v="2"/>
    <s v="Unknown"/>
    <s v="Unknown"/>
    <s v="Southampton"/>
    <n v="13"/>
    <s v="Not Found"/>
    <s v="Not Found"/>
    <m/>
  </r>
  <r>
    <x v="2"/>
    <x v="1"/>
    <s v="Mr. Nysveen Johan"/>
    <x v="1"/>
    <n v="61"/>
    <x v="3"/>
    <n v="0"/>
    <n v="0"/>
    <n v="345364"/>
    <n v="6.2374999999999998"/>
    <x v="2"/>
    <s v="Unknown"/>
    <s v="Unknown"/>
    <s v="Southampton"/>
    <s v="Not Applicable"/>
    <s v="Not Found"/>
    <s v="Not Found"/>
    <m/>
  </r>
  <r>
    <x v="2"/>
    <x v="1"/>
    <s v="Mr. O'Brien Thomas"/>
    <x v="1"/>
    <n v="28"/>
    <x v="0"/>
    <n v="0"/>
    <n v="1"/>
    <n v="370365"/>
    <n v="15.5"/>
    <x v="1"/>
    <s v="Unknown"/>
    <s v="Unknown"/>
    <s v="Queenstown"/>
    <s v="Not Applicable"/>
    <s v="Not Found"/>
    <s v="Not Found"/>
    <m/>
  </r>
  <r>
    <x v="2"/>
    <x v="1"/>
    <s v="Mr. O'Brien Timothy"/>
    <x v="1"/>
    <n v="28"/>
    <x v="0"/>
    <n v="0"/>
    <n v="0"/>
    <n v="330979"/>
    <n v="7.8292000000000002"/>
    <x v="2"/>
    <s v="Unknown"/>
    <s v="Unknown"/>
    <s v="Queenstown"/>
    <s v="Not Applicable"/>
    <s v="Not Found"/>
    <s v="Not Found"/>
    <m/>
  </r>
  <r>
    <x v="2"/>
    <x v="0"/>
    <s v="Mrs. O'Brien Thomas"/>
    <x v="0"/>
    <n v="28"/>
    <x v="0"/>
    <n v="0"/>
    <n v="1"/>
    <n v="370365"/>
    <n v="15.5"/>
    <x v="1"/>
    <s v="Unknown"/>
    <s v="Unknown"/>
    <s v="Queenstown"/>
    <s v="Not Applicable"/>
    <s v="Not Found"/>
    <s v="Not Found"/>
    <m/>
  </r>
  <r>
    <x v="2"/>
    <x v="1"/>
    <s v="Mr. O'Connell Patrick"/>
    <x v="1"/>
    <n v="28"/>
    <x v="0"/>
    <n v="0"/>
    <n v="0"/>
    <n v="334912"/>
    <n v="7.7332999999999998"/>
    <x v="2"/>
    <s v="Unknown"/>
    <s v="Unknown"/>
    <s v="Queenstown"/>
    <s v="Not Applicable"/>
    <s v="Not Found"/>
    <s v="Not Found"/>
    <m/>
  </r>
  <r>
    <x v="2"/>
    <x v="1"/>
    <s v="Mr. O'Connor Maurice"/>
    <x v="1"/>
    <n v="28"/>
    <x v="0"/>
    <n v="0"/>
    <n v="0"/>
    <n v="371060"/>
    <n v="7.75"/>
    <x v="2"/>
    <s v="Unknown"/>
    <s v="Unknown"/>
    <s v="Queenstown"/>
    <s v="Not Applicable"/>
    <s v="Not Found"/>
    <s v="Not Found"/>
    <m/>
  </r>
  <r>
    <x v="2"/>
    <x v="1"/>
    <s v="Mr. O'Connor Patrick"/>
    <x v="1"/>
    <n v="28"/>
    <x v="0"/>
    <n v="0"/>
    <n v="0"/>
    <n v="366713"/>
    <n v="7.75"/>
    <x v="2"/>
    <s v="Unknown"/>
    <s v="Unknown"/>
    <s v="Queenstown"/>
    <s v="Not Applicable"/>
    <s v="Not Found"/>
    <s v="Not Found"/>
    <m/>
  </r>
  <r>
    <x v="2"/>
    <x v="1"/>
    <s v="Mr. Odahl Nils"/>
    <x v="1"/>
    <n v="23"/>
    <x v="0"/>
    <n v="0"/>
    <n v="0"/>
    <n v="7267"/>
    <n v="9.2249999999999996"/>
    <x v="2"/>
    <s v="Unknown"/>
    <s v="Unknown"/>
    <s v="Southampton"/>
    <s v="Not Applicable"/>
    <s v="Not Found"/>
    <s v="Not Found"/>
    <m/>
  </r>
  <r>
    <x v="2"/>
    <x v="1"/>
    <s v="Ms. O'Donoghue Bridget"/>
    <x v="0"/>
    <n v="28"/>
    <x v="0"/>
    <n v="0"/>
    <n v="0"/>
    <n v="364856"/>
    <n v="7.75"/>
    <x v="2"/>
    <s v="Unknown"/>
    <s v="Unknown"/>
    <s v="Queenstown"/>
    <s v="Not Applicable"/>
    <s v="Not Found"/>
    <s v="Not Found"/>
    <m/>
  </r>
  <r>
    <x v="2"/>
    <x v="0"/>
    <s v="Miss. O'Driscoll Bridget"/>
    <x v="0"/>
    <n v="28"/>
    <x v="0"/>
    <n v="0"/>
    <n v="0"/>
    <n v="14311"/>
    <n v="7.75"/>
    <x v="2"/>
    <s v="Unknown"/>
    <s v="Unknown"/>
    <s v="Queenstown"/>
    <s v="D"/>
    <s v="Not Found"/>
    <s v="Not Found"/>
    <m/>
  </r>
  <r>
    <x v="2"/>
    <x v="0"/>
    <s v="Miss. O'Dwyer Ellen"/>
    <x v="0"/>
    <n v="28"/>
    <x v="0"/>
    <n v="0"/>
    <n v="0"/>
    <n v="330959"/>
    <n v="7.8792"/>
    <x v="2"/>
    <s v="Unknown"/>
    <s v="Unknown"/>
    <s v="Queenstown"/>
    <s v="Not Applicable"/>
    <s v="Not Found"/>
    <s v="Not Found"/>
    <m/>
  </r>
  <r>
    <x v="2"/>
    <x v="0"/>
    <s v="Miss. Ohman Velin"/>
    <x v="0"/>
    <n v="22"/>
    <x v="0"/>
    <n v="0"/>
    <n v="0"/>
    <n v="347085"/>
    <n v="7.7750000000000004"/>
    <x v="2"/>
    <s v="Unknown"/>
    <s v="Unknown"/>
    <s v="Southampton"/>
    <s v="C"/>
    <s v="Not Found"/>
    <s v="Not Found"/>
    <m/>
  </r>
  <r>
    <x v="2"/>
    <x v="0"/>
    <s v="Mr. O'Keefe Patrick"/>
    <x v="1"/>
    <n v="28"/>
    <x v="0"/>
    <n v="0"/>
    <n v="0"/>
    <n v="368402"/>
    <n v="7.75"/>
    <x v="2"/>
    <s v="Unknown"/>
    <s v="Unknown"/>
    <s v="Queenstown"/>
    <s v="B"/>
    <s v="Not Found"/>
    <s v="Not Found"/>
    <m/>
  </r>
  <r>
    <x v="2"/>
    <x v="0"/>
    <s v="Miss. O'Leary Hanora"/>
    <x v="0"/>
    <n v="28"/>
    <x v="0"/>
    <n v="0"/>
    <n v="0"/>
    <n v="330919"/>
    <n v="7.8292000000000002"/>
    <x v="2"/>
    <s v="Unknown"/>
    <s v="Unknown"/>
    <s v="Queenstown"/>
    <n v="13"/>
    <s v="Not Found"/>
    <s v="Not Found"/>
    <m/>
  </r>
  <r>
    <x v="2"/>
    <x v="0"/>
    <s v="Master. Olsen Artur"/>
    <x v="1"/>
    <n v="9"/>
    <x v="1"/>
    <n v="1"/>
    <n v="0"/>
    <s v="C 17368"/>
    <n v="3.1707999999999998"/>
    <x v="2"/>
    <s v="Unknown"/>
    <s v="Unknown"/>
    <s v="Southampton"/>
    <n v="13"/>
    <s v="Not Found"/>
    <s v="Not Found"/>
    <m/>
  </r>
  <r>
    <x v="2"/>
    <x v="1"/>
    <s v="Mr. Olsen Henry"/>
    <x v="1"/>
    <n v="28"/>
    <x v="0"/>
    <n v="0"/>
    <n v="0"/>
    <s v="C 4001"/>
    <n v="22.524999999999999"/>
    <x v="1"/>
    <s v="Unknown"/>
    <s v="Unknown"/>
    <s v="Southampton"/>
    <s v="Not Applicable"/>
    <n v="173"/>
    <s v="Found"/>
    <m/>
  </r>
  <r>
    <x v="2"/>
    <x v="1"/>
    <s v="Mr. Olsen Karl"/>
    <x v="1"/>
    <n v="42"/>
    <x v="2"/>
    <n v="1"/>
    <n v="0"/>
    <n v="4579"/>
    <n v="8.4041999999999994"/>
    <x v="2"/>
    <s v="Unknown"/>
    <s v="Unknown"/>
    <s v="Southampton"/>
    <s v="Not Applicable"/>
    <s v="Not Found"/>
    <s v="Not Found"/>
    <m/>
  </r>
  <r>
    <x v="2"/>
    <x v="1"/>
    <s v="Mr. Olsen Ole"/>
    <x v="1"/>
    <n v="28"/>
    <x v="0"/>
    <n v="0"/>
    <n v="0"/>
    <s v="Fa 265302"/>
    <n v="7.3125"/>
    <x v="2"/>
    <s v="Unknown"/>
    <s v="Unknown"/>
    <s v="Southampton"/>
    <s v="Not Applicable"/>
    <s v="Not Found"/>
    <s v="Not Found"/>
    <m/>
  </r>
  <r>
    <x v="2"/>
    <x v="1"/>
    <s v="Miss. Olsson Elina"/>
    <x v="0"/>
    <n v="31"/>
    <x v="2"/>
    <n v="0"/>
    <n v="0"/>
    <n v="350407"/>
    <n v="7.8541999999999996"/>
    <x v="2"/>
    <s v="Unknown"/>
    <s v="Unknown"/>
    <s v="Southampton"/>
    <s v="Not Applicable"/>
    <s v="Not Found"/>
    <s v="Not Found"/>
    <m/>
  </r>
  <r>
    <x v="2"/>
    <x v="1"/>
    <s v="Mr. Olsson Nils"/>
    <x v="1"/>
    <n v="28"/>
    <x v="0"/>
    <n v="0"/>
    <n v="0"/>
    <n v="347464"/>
    <n v="7.8541999999999996"/>
    <x v="2"/>
    <s v="Unknown"/>
    <s v="Unknown"/>
    <s v="Southampton"/>
    <s v="Not Applicable"/>
    <s v="Not Found"/>
    <s v="Not Found"/>
    <m/>
  </r>
  <r>
    <x v="2"/>
    <x v="0"/>
    <s v="Mr. Olsson Oscar"/>
    <x v="1"/>
    <n v="32"/>
    <x v="2"/>
    <n v="0"/>
    <n v="0"/>
    <n v="347079"/>
    <n v="7.7750000000000004"/>
    <x v="2"/>
    <s v="Unknown"/>
    <s v="Unknown"/>
    <s v="Southampton"/>
    <s v="A"/>
    <s v="Not Found"/>
    <s v="Not Found"/>
    <m/>
  </r>
  <r>
    <x v="2"/>
    <x v="1"/>
    <s v="Mr. Olsvigen Thor"/>
    <x v="1"/>
    <n v="20"/>
    <x v="0"/>
    <n v="0"/>
    <n v="0"/>
    <n v="6563"/>
    <n v="9.2249999999999996"/>
    <x v="2"/>
    <s v="Unknown"/>
    <s v="Unknown"/>
    <s v="Southampton"/>
    <s v="Not Applicable"/>
    <n v="89"/>
    <s v="Found"/>
    <s v="Oslo, Norway Cameron, WI"/>
  </r>
  <r>
    <x v="2"/>
    <x v="1"/>
    <s v="Miss. Oreskovic Jelka"/>
    <x v="0"/>
    <n v="23"/>
    <x v="0"/>
    <n v="0"/>
    <n v="0"/>
    <n v="315085"/>
    <n v="8.6624999999999996"/>
    <x v="2"/>
    <s v="Unknown"/>
    <s v="Unknown"/>
    <s v="Southampton"/>
    <s v="Not Applicable"/>
    <s v="Not Found"/>
    <s v="Not Found"/>
    <m/>
  </r>
  <r>
    <x v="2"/>
    <x v="1"/>
    <s v="Miss. Oreskovic Marija"/>
    <x v="0"/>
    <n v="20"/>
    <x v="0"/>
    <n v="0"/>
    <n v="0"/>
    <n v="315096"/>
    <n v="8.6624999999999996"/>
    <x v="2"/>
    <s v="Unknown"/>
    <s v="Unknown"/>
    <s v="Southampton"/>
    <s v="Not Applicable"/>
    <s v="Not Found"/>
    <s v="Not Found"/>
    <m/>
  </r>
  <r>
    <x v="2"/>
    <x v="1"/>
    <s v="Mr. Oreskovic Luka"/>
    <x v="1"/>
    <n v="20"/>
    <x v="0"/>
    <n v="0"/>
    <n v="0"/>
    <n v="315094"/>
    <n v="8.6624999999999996"/>
    <x v="2"/>
    <s v="Unknown"/>
    <s v="Unknown"/>
    <s v="Southampton"/>
    <s v="Not Applicable"/>
    <s v="Not Found"/>
    <s v="Not Found"/>
    <m/>
  </r>
  <r>
    <x v="2"/>
    <x v="1"/>
    <s v="Mr. Osen Olaf"/>
    <x v="1"/>
    <n v="16"/>
    <x v="4"/>
    <n v="0"/>
    <n v="0"/>
    <n v="7534"/>
    <n v="9.2166999999999994"/>
    <x v="2"/>
    <s v="Unknown"/>
    <s v="Unknown"/>
    <s v="Southampton"/>
    <s v="Not Applicable"/>
    <s v="Not Found"/>
    <s v="Not Found"/>
    <m/>
  </r>
  <r>
    <x v="2"/>
    <x v="0"/>
    <s v="Mrs. Osman Mara"/>
    <x v="0"/>
    <n v="31"/>
    <x v="2"/>
    <n v="0"/>
    <n v="0"/>
    <n v="349244"/>
    <n v="8.6832999999999991"/>
    <x v="2"/>
    <s v="Unknown"/>
    <s v="Unknown"/>
    <s v="Southampton"/>
    <s v="Not Applicable"/>
    <s v="Not Found"/>
    <s v="Not Found"/>
    <m/>
  </r>
  <r>
    <x v="2"/>
    <x v="1"/>
    <s v="Miss. O'Sullivan Bridget"/>
    <x v="0"/>
    <n v="28"/>
    <x v="0"/>
    <n v="0"/>
    <n v="0"/>
    <n v="330909"/>
    <n v="7.6292"/>
    <x v="2"/>
    <s v="Unknown"/>
    <s v="Unknown"/>
    <s v="Queenstown"/>
    <s v="Not Applicable"/>
    <s v="Not Found"/>
    <s v="Not Found"/>
    <m/>
  </r>
  <r>
    <x v="2"/>
    <x v="1"/>
    <s v="Master. Palsson Gosta"/>
    <x v="1"/>
    <n v="2"/>
    <x v="1"/>
    <n v="1"/>
    <n v="3"/>
    <n v="349909"/>
    <n v="21.074999999999999"/>
    <x v="1"/>
    <s v="Unknown"/>
    <s v="Unknown"/>
    <s v="Southampton"/>
    <s v="Not Applicable"/>
    <n v="4"/>
    <s v="Found"/>
    <m/>
  </r>
  <r>
    <x v="2"/>
    <x v="1"/>
    <s v="Master. Palsson Paul"/>
    <x v="1"/>
    <n v="6"/>
    <x v="1"/>
    <n v="1"/>
    <n v="3"/>
    <n v="349909"/>
    <n v="21.074999999999999"/>
    <x v="1"/>
    <s v="Unknown"/>
    <s v="Unknown"/>
    <s v="Southampton"/>
    <s v="Not Applicable"/>
    <s v="Not Found"/>
    <s v="Not Found"/>
    <m/>
  </r>
  <r>
    <x v="2"/>
    <x v="1"/>
    <s v="Miss. Palsson Stina"/>
    <x v="0"/>
    <n v="3"/>
    <x v="1"/>
    <n v="1"/>
    <n v="3"/>
    <n v="349909"/>
    <n v="21.074999999999999"/>
    <x v="1"/>
    <s v="Unknown"/>
    <s v="Unknown"/>
    <s v="Southampton"/>
    <s v="Not Applicable"/>
    <s v="Not Found"/>
    <s v="Not Found"/>
    <m/>
  </r>
  <r>
    <x v="2"/>
    <x v="1"/>
    <s v="Miss. Palsson Torborg"/>
    <x v="0"/>
    <n v="8"/>
    <x v="1"/>
    <n v="1"/>
    <n v="3"/>
    <n v="349909"/>
    <n v="21.074999999999999"/>
    <x v="1"/>
    <s v="Unknown"/>
    <s v="Unknown"/>
    <s v="Southampton"/>
    <s v="Not Applicable"/>
    <s v="Not Found"/>
    <s v="Not Found"/>
    <m/>
  </r>
  <r>
    <x v="2"/>
    <x v="1"/>
    <s v="Mrs. Palsson Nils"/>
    <x v="0"/>
    <n v="29"/>
    <x v="0"/>
    <n v="4"/>
    <n v="0"/>
    <n v="349909"/>
    <n v="21.074999999999999"/>
    <x v="1"/>
    <s v="Unknown"/>
    <s v="Unknown"/>
    <s v="Southampton"/>
    <s v="Not Applicable"/>
    <n v="206"/>
    <s v="Found"/>
    <m/>
  </r>
  <r>
    <x v="2"/>
    <x v="1"/>
    <s v="Master. Panula Eino"/>
    <x v="1"/>
    <n v="1"/>
    <x v="1"/>
    <n v="1"/>
    <n v="4"/>
    <n v="3101295"/>
    <n v="39.6875"/>
    <x v="1"/>
    <s v="Unknown"/>
    <s v="Unknown"/>
    <s v="Southampton"/>
    <s v="Not Applicable"/>
    <s v="Not Found"/>
    <s v="Not Found"/>
    <m/>
  </r>
  <r>
    <x v="2"/>
    <x v="1"/>
    <s v="Master. Panula Juha"/>
    <x v="1"/>
    <n v="7"/>
    <x v="1"/>
    <n v="1"/>
    <n v="4"/>
    <n v="3101295"/>
    <n v="39.6875"/>
    <x v="1"/>
    <s v="Unknown"/>
    <s v="Unknown"/>
    <s v="Southampton"/>
    <s v="Not Applicable"/>
    <s v="Not Found"/>
    <s v="Not Found"/>
    <m/>
  </r>
  <r>
    <x v="2"/>
    <x v="1"/>
    <s v="Master. Panula Urho"/>
    <x v="1"/>
    <n v="2"/>
    <x v="1"/>
    <n v="1"/>
    <n v="4"/>
    <n v="3101295"/>
    <n v="39.6875"/>
    <x v="1"/>
    <s v="Unknown"/>
    <s v="Unknown"/>
    <s v="Southampton"/>
    <s v="Not Applicable"/>
    <s v="Not Found"/>
    <s v="Not Found"/>
    <m/>
  </r>
  <r>
    <x v="2"/>
    <x v="1"/>
    <s v="Mr. Panula Ernesti"/>
    <x v="1"/>
    <n v="16"/>
    <x v="4"/>
    <n v="1"/>
    <n v="4"/>
    <n v="3101295"/>
    <n v="39.6875"/>
    <x v="1"/>
    <s v="Unknown"/>
    <s v="Unknown"/>
    <s v="Southampton"/>
    <s v="Not Applicable"/>
    <s v="Not Found"/>
    <s v="Not Found"/>
    <m/>
  </r>
  <r>
    <x v="2"/>
    <x v="1"/>
    <s v="Mr. Panula Jaako"/>
    <x v="1"/>
    <n v="14"/>
    <x v="4"/>
    <n v="1"/>
    <n v="4"/>
    <n v="3101295"/>
    <n v="39.6875"/>
    <x v="1"/>
    <s v="Unknown"/>
    <s v="Unknown"/>
    <s v="Southampton"/>
    <s v="Not Applicable"/>
    <s v="Not Found"/>
    <s v="Not Found"/>
    <m/>
  </r>
  <r>
    <x v="2"/>
    <x v="1"/>
    <s v="Mrs. Panula Juha"/>
    <x v="0"/>
    <n v="41"/>
    <x v="2"/>
    <n v="5"/>
    <n v="0"/>
    <n v="3101295"/>
    <n v="39.6875"/>
    <x v="1"/>
    <s v="Unknown"/>
    <s v="Unknown"/>
    <s v="Southampton"/>
    <s v="Not Applicable"/>
    <s v="Not Found"/>
    <s v="Not Found"/>
    <m/>
  </r>
  <r>
    <x v="2"/>
    <x v="1"/>
    <s v="Mr. Pasic Jakob"/>
    <x v="1"/>
    <n v="21"/>
    <x v="0"/>
    <n v="0"/>
    <n v="0"/>
    <n v="315097"/>
    <n v="8.6624999999999996"/>
    <x v="2"/>
    <s v="Unknown"/>
    <s v="Unknown"/>
    <s v="Southampton"/>
    <s v="Not Applicable"/>
    <s v="Not Found"/>
    <s v="Not Found"/>
    <m/>
  </r>
  <r>
    <x v="2"/>
    <x v="1"/>
    <s v="Mr. Patchett George"/>
    <x v="1"/>
    <n v="19"/>
    <x v="0"/>
    <n v="0"/>
    <n v="0"/>
    <n v="358585"/>
    <n v="14.5"/>
    <x v="1"/>
    <s v="Unknown"/>
    <s v="Unknown"/>
    <s v="Southampton"/>
    <s v="Not Applicable"/>
    <s v="Not Found"/>
    <s v="Not Found"/>
    <m/>
  </r>
  <r>
    <x v="2"/>
    <x v="1"/>
    <s v="Mr. Paulner Uscher"/>
    <x v="1"/>
    <n v="28"/>
    <x v="0"/>
    <n v="0"/>
    <n v="0"/>
    <n v="3411"/>
    <n v="8.7125000000000004"/>
    <x v="2"/>
    <s v="Unknown"/>
    <s v="Unknown"/>
    <s v="Cherbourg"/>
    <s v="Not Applicable"/>
    <s v="Not Found"/>
    <s v="Not Found"/>
    <m/>
  </r>
  <r>
    <x v="2"/>
    <x v="1"/>
    <s v="Mr. Pavlovic Stefo"/>
    <x v="1"/>
    <n v="32"/>
    <x v="2"/>
    <n v="0"/>
    <n v="0"/>
    <n v="349242"/>
    <n v="7.8958000000000004"/>
    <x v="2"/>
    <s v="Unknown"/>
    <s v="Unknown"/>
    <s v="Southampton"/>
    <s v="Not Applicable"/>
    <s v="Not Found"/>
    <s v="Not Found"/>
    <m/>
  </r>
  <r>
    <x v="2"/>
    <x v="1"/>
    <s v="Master. Peacock Alfred"/>
    <x v="1"/>
    <n v="1"/>
    <x v="1"/>
    <n v="1"/>
    <n v="1"/>
    <s v="SOTON/O.Q. 3101315"/>
    <n v="13.775"/>
    <x v="1"/>
    <s v="Unknown"/>
    <s v="Unknown"/>
    <s v="Southampton"/>
    <s v="Not Applicable"/>
    <s v="Not Found"/>
    <s v="Not Found"/>
    <m/>
  </r>
  <r>
    <x v="2"/>
    <x v="1"/>
    <s v="Miss. Peacock Treasteall"/>
    <x v="0"/>
    <n v="3"/>
    <x v="1"/>
    <n v="1"/>
    <n v="1"/>
    <s v="SOTON/O.Q. 3101315"/>
    <n v="13.775"/>
    <x v="1"/>
    <s v="Unknown"/>
    <s v="Unknown"/>
    <s v="Southampton"/>
    <s v="Not Applicable"/>
    <s v="Not Found"/>
    <s v="Not Found"/>
    <m/>
  </r>
  <r>
    <x v="2"/>
    <x v="1"/>
    <s v="Mrs. Peacock Benjamin"/>
    <x v="0"/>
    <n v="26"/>
    <x v="0"/>
    <n v="2"/>
    <n v="0"/>
    <s v="SOTON/O.Q. 3101315"/>
    <n v="13.775"/>
    <x v="1"/>
    <s v="Unknown"/>
    <s v="Unknown"/>
    <s v="Southampton"/>
    <s v="Not Applicable"/>
    <s v="Not Found"/>
    <s v="Not Found"/>
    <m/>
  </r>
  <r>
    <x v="2"/>
    <x v="1"/>
    <s v="Mr. Pearce Ernest"/>
    <x v="1"/>
    <n v="28"/>
    <x v="0"/>
    <n v="0"/>
    <n v="0"/>
    <n v="343271"/>
    <n v="7"/>
    <x v="2"/>
    <s v="Unknown"/>
    <s v="Unknown"/>
    <s v="Southampton"/>
    <s v="Not Applicable"/>
    <s v="Not Found"/>
    <s v="Not Found"/>
    <m/>
  </r>
  <r>
    <x v="2"/>
    <x v="1"/>
    <s v="Mr. Pedersen Olaf"/>
    <x v="1"/>
    <n v="28"/>
    <x v="0"/>
    <n v="0"/>
    <n v="0"/>
    <n v="345498"/>
    <n v="7.7750000000000004"/>
    <x v="2"/>
    <s v="Unknown"/>
    <s v="Unknown"/>
    <s v="Southampton"/>
    <s v="Not Applicable"/>
    <s v="Not Found"/>
    <s v="Not Found"/>
    <m/>
  </r>
  <r>
    <x v="2"/>
    <x v="1"/>
    <s v="Mr. Peduzzi Joseph"/>
    <x v="1"/>
    <n v="28"/>
    <x v="0"/>
    <n v="0"/>
    <n v="0"/>
    <s v="A/5 2817"/>
    <n v="8.0500000000000007"/>
    <x v="2"/>
    <s v="Unknown"/>
    <s v="Unknown"/>
    <s v="Southampton"/>
    <s v="Not Applicable"/>
    <s v="Not Found"/>
    <s v="Not Found"/>
    <m/>
  </r>
  <r>
    <x v="2"/>
    <x v="1"/>
    <s v="Mr. Pekoniemi Edvard"/>
    <x v="1"/>
    <n v="21"/>
    <x v="0"/>
    <n v="0"/>
    <n v="0"/>
    <s v="STON/O 2. 3101294"/>
    <n v="7.9249999999999998"/>
    <x v="2"/>
    <s v="Unknown"/>
    <s v="Unknown"/>
    <s v="Southampton"/>
    <s v="Not Applicable"/>
    <s v="Not Found"/>
    <s v="Not Found"/>
    <m/>
  </r>
  <r>
    <x v="2"/>
    <x v="1"/>
    <s v="Mr. Peltomaki Nikolai"/>
    <x v="1"/>
    <n v="25"/>
    <x v="0"/>
    <n v="0"/>
    <n v="0"/>
    <s v="STON/O 2. 3101291"/>
    <n v="7.9249999999999998"/>
    <x v="2"/>
    <s v="Unknown"/>
    <s v="Unknown"/>
    <s v="Southampton"/>
    <s v="Not Applicable"/>
    <s v="Not Found"/>
    <s v="Not Found"/>
    <m/>
  </r>
  <r>
    <x v="2"/>
    <x v="1"/>
    <s v="Mr. Perkin John"/>
    <x v="1"/>
    <n v="22"/>
    <x v="0"/>
    <n v="0"/>
    <n v="0"/>
    <s v="A/5 21174"/>
    <n v="7.25"/>
    <x v="2"/>
    <s v="Unknown"/>
    <s v="Unknown"/>
    <s v="Southampton"/>
    <s v="Not Applicable"/>
    <s v="Not Found"/>
    <s v="Not Found"/>
    <m/>
  </r>
  <r>
    <x v="2"/>
    <x v="0"/>
    <s v="Mr. Persson Ernst"/>
    <x v="1"/>
    <n v="25"/>
    <x v="0"/>
    <n v="0"/>
    <n v="1"/>
    <n v="347083"/>
    <n v="7.7750000000000004"/>
    <x v="2"/>
    <s v="Unknown"/>
    <s v="Unknown"/>
    <s v="Southampton"/>
    <n v="15"/>
    <s v="Not Found"/>
    <s v="Not Found"/>
    <m/>
  </r>
  <r>
    <x v="2"/>
    <x v="0"/>
    <s v="Master. Peter Michael"/>
    <x v="1"/>
    <n v="28"/>
    <x v="0"/>
    <n v="1"/>
    <n v="1"/>
    <n v="2668"/>
    <n v="22.3583"/>
    <x v="1"/>
    <s v="Unknown"/>
    <s v="Unknown"/>
    <s v="Cherbourg"/>
    <s v="C"/>
    <s v="Not Found"/>
    <s v="Not Found"/>
    <m/>
  </r>
  <r>
    <x v="2"/>
    <x v="0"/>
    <s v="Miss. Peter Anna"/>
    <x v="0"/>
    <n v="28"/>
    <x v="0"/>
    <n v="1"/>
    <n v="1"/>
    <n v="2668"/>
    <n v="22.3583"/>
    <x v="1"/>
    <s v="F E69"/>
    <s v="F"/>
    <s v="Cherbourg"/>
    <s v="D"/>
    <s v="Not Found"/>
    <s v="Not Found"/>
    <m/>
  </r>
  <r>
    <x v="2"/>
    <x v="0"/>
    <s v="Mrs. Peter Catherine"/>
    <x v="0"/>
    <n v="28"/>
    <x v="0"/>
    <n v="2"/>
    <n v="0"/>
    <n v="2668"/>
    <n v="22.3583"/>
    <x v="1"/>
    <s v="Unknown"/>
    <s v="Unknown"/>
    <s v="Cherbourg"/>
    <s v="D"/>
    <s v="Not Found"/>
    <s v="Not Found"/>
    <m/>
  </r>
  <r>
    <x v="2"/>
    <x v="1"/>
    <s v="Miss. Peters Katie"/>
    <x v="0"/>
    <n v="28"/>
    <x v="0"/>
    <n v="0"/>
    <n v="0"/>
    <n v="330935"/>
    <n v="8.1374999999999993"/>
    <x v="2"/>
    <s v="Unknown"/>
    <s v="Unknown"/>
    <s v="Queenstown"/>
    <s v="Not Applicable"/>
    <s v="Not Found"/>
    <s v="Not Found"/>
    <m/>
  </r>
  <r>
    <x v="2"/>
    <x v="1"/>
    <s v="Mr. Petersen Marius"/>
    <x v="1"/>
    <n v="24"/>
    <x v="0"/>
    <n v="0"/>
    <n v="0"/>
    <n v="342441"/>
    <n v="8.0500000000000007"/>
    <x v="2"/>
    <s v="Unknown"/>
    <s v="Unknown"/>
    <s v="Southampton"/>
    <s v="Not Applicable"/>
    <s v="Not Found"/>
    <s v="Not Found"/>
    <m/>
  </r>
  <r>
    <x v="2"/>
    <x v="1"/>
    <s v="Miss. Petranec Matilda"/>
    <x v="0"/>
    <n v="28"/>
    <x v="0"/>
    <n v="0"/>
    <n v="0"/>
    <n v="349245"/>
    <n v="7.8958000000000004"/>
    <x v="2"/>
    <s v="Unknown"/>
    <s v="Unknown"/>
    <s v="Southampton"/>
    <s v="Not Applicable"/>
    <s v="Not Found"/>
    <s v="Not Found"/>
    <m/>
  </r>
  <r>
    <x v="2"/>
    <x v="1"/>
    <s v="Mr. Petroff Nedelio"/>
    <x v="1"/>
    <n v="19"/>
    <x v="0"/>
    <n v="0"/>
    <n v="0"/>
    <n v="349212"/>
    <n v="7.8958000000000004"/>
    <x v="2"/>
    <s v="Unknown"/>
    <s v="Unknown"/>
    <s v="Southampton"/>
    <s v="Not Applicable"/>
    <s v="Not Found"/>
    <s v="Not Found"/>
    <m/>
  </r>
  <r>
    <x v="2"/>
    <x v="1"/>
    <s v="Mr. Petroff Pastcho"/>
    <x v="1"/>
    <n v="28"/>
    <x v="0"/>
    <n v="0"/>
    <n v="0"/>
    <n v="349215"/>
    <n v="7.8958000000000004"/>
    <x v="2"/>
    <s v="Unknown"/>
    <s v="Unknown"/>
    <s v="Southampton"/>
    <s v="Not Applicable"/>
    <s v="Not Found"/>
    <s v="Not Found"/>
    <m/>
  </r>
  <r>
    <x v="2"/>
    <x v="1"/>
    <s v="Mr. Petterson Johan"/>
    <x v="1"/>
    <n v="25"/>
    <x v="0"/>
    <n v="0"/>
    <n v="1"/>
    <n v="347076"/>
    <n v="7.7750000000000004"/>
    <x v="2"/>
    <s v="Unknown"/>
    <s v="Unknown"/>
    <s v="Southampton"/>
    <s v="Not Applicable"/>
    <s v="Not Found"/>
    <s v="Not Found"/>
    <m/>
  </r>
  <r>
    <x v="2"/>
    <x v="1"/>
    <s v="Miss. Pettersson Ellen"/>
    <x v="0"/>
    <n v="18"/>
    <x v="0"/>
    <n v="0"/>
    <n v="0"/>
    <n v="347087"/>
    <n v="7.7750000000000004"/>
    <x v="2"/>
    <s v="Unknown"/>
    <s v="Unknown"/>
    <s v="Southampton"/>
    <s v="Not Applicable"/>
    <s v="Not Found"/>
    <s v="Not Found"/>
    <m/>
  </r>
  <r>
    <x v="2"/>
    <x v="0"/>
    <s v="Mr. Pickard Berk"/>
    <x v="1"/>
    <n v="32"/>
    <x v="2"/>
    <n v="0"/>
    <n v="0"/>
    <s v="SOTON/O.Q. 392078"/>
    <n v="8.0500000000000007"/>
    <x v="2"/>
    <s v="E10"/>
    <s v="E"/>
    <s v="Southampton"/>
    <n v="9"/>
    <s v="Not Found"/>
    <s v="Not Found"/>
    <m/>
  </r>
  <r>
    <x v="2"/>
    <x v="1"/>
    <s v="Mr. Plotcharsky Vasil"/>
    <x v="1"/>
    <n v="28"/>
    <x v="0"/>
    <n v="0"/>
    <n v="0"/>
    <n v="349227"/>
    <n v="7.8958000000000004"/>
    <x v="2"/>
    <s v="Unknown"/>
    <s v="Unknown"/>
    <s v="Southampton"/>
    <s v="Not Applicable"/>
    <s v="Not Found"/>
    <s v="Not Found"/>
    <m/>
  </r>
  <r>
    <x v="2"/>
    <x v="1"/>
    <s v="Mr. Pokrnic Mate"/>
    <x v="1"/>
    <n v="17"/>
    <x v="4"/>
    <n v="0"/>
    <n v="0"/>
    <n v="315095"/>
    <n v="8.6624999999999996"/>
    <x v="2"/>
    <s v="Unknown"/>
    <s v="Unknown"/>
    <s v="Southampton"/>
    <s v="Not Applicable"/>
    <s v="Not Found"/>
    <s v="Not Found"/>
    <m/>
  </r>
  <r>
    <x v="2"/>
    <x v="1"/>
    <s v="Mr. Pokrnic Tome"/>
    <x v="1"/>
    <n v="24"/>
    <x v="0"/>
    <n v="0"/>
    <n v="0"/>
    <n v="315092"/>
    <n v="8.6624999999999996"/>
    <x v="2"/>
    <s v="Unknown"/>
    <s v="Unknown"/>
    <s v="Southampton"/>
    <s v="Not Applicable"/>
    <s v="Not Found"/>
    <s v="Not Found"/>
    <m/>
  </r>
  <r>
    <x v="2"/>
    <x v="1"/>
    <s v="Mr. Radeff Alexander"/>
    <x v="1"/>
    <n v="28"/>
    <x v="0"/>
    <n v="0"/>
    <n v="0"/>
    <n v="349223"/>
    <n v="7.8958000000000004"/>
    <x v="2"/>
    <s v="Unknown"/>
    <s v="Unknown"/>
    <s v="Southampton"/>
    <s v="Not Applicable"/>
    <s v="Not Found"/>
    <s v="Not Found"/>
    <m/>
  </r>
  <r>
    <x v="2"/>
    <x v="1"/>
    <s v="Mrs. Rasmussen (Lena"/>
    <x v="0"/>
    <n v="28"/>
    <x v="0"/>
    <n v="0"/>
    <n v="0"/>
    <n v="65305"/>
    <n v="8.1125000000000007"/>
    <x v="2"/>
    <s v="Unknown"/>
    <s v="Unknown"/>
    <s v="Southampton"/>
    <s v="Not Applicable"/>
    <s v="Not Found"/>
    <s v="Not Found"/>
    <m/>
  </r>
  <r>
    <x v="2"/>
    <x v="1"/>
    <s v="Mr. Razi Raihed"/>
    <x v="1"/>
    <n v="28"/>
    <x v="0"/>
    <n v="0"/>
    <n v="0"/>
    <n v="2629"/>
    <n v="7.2291999999999996"/>
    <x v="2"/>
    <s v="Unknown"/>
    <s v="Unknown"/>
    <s v="Cherbourg"/>
    <s v="Not Applicable"/>
    <s v="Not Found"/>
    <s v="Not Found"/>
    <m/>
  </r>
  <r>
    <x v="2"/>
    <x v="1"/>
    <s v="Mr. Reed James"/>
    <x v="1"/>
    <n v="28"/>
    <x v="0"/>
    <n v="0"/>
    <n v="0"/>
    <n v="362316"/>
    <n v="7.25"/>
    <x v="2"/>
    <s v="Unknown"/>
    <s v="Unknown"/>
    <s v="Southampton"/>
    <s v="Not Applicable"/>
    <s v="Not Found"/>
    <s v="Not Found"/>
    <m/>
  </r>
  <r>
    <x v="2"/>
    <x v="1"/>
    <s v="Mr. Rekic Tido"/>
    <x v="1"/>
    <n v="38"/>
    <x v="2"/>
    <n v="0"/>
    <n v="0"/>
    <n v="349249"/>
    <n v="7.8958000000000004"/>
    <x v="2"/>
    <s v="Unknown"/>
    <s v="Unknown"/>
    <s v="Southampton"/>
    <s v="Not Applicable"/>
    <s v="Not Found"/>
    <s v="Not Found"/>
    <m/>
  </r>
  <r>
    <x v="2"/>
    <x v="1"/>
    <s v="Mr. Reynolds Harold"/>
    <x v="1"/>
    <n v="21"/>
    <x v="0"/>
    <n v="0"/>
    <n v="0"/>
    <n v="342684"/>
    <n v="8.0500000000000007"/>
    <x v="2"/>
    <s v="Unknown"/>
    <s v="Unknown"/>
    <s v="Southampton"/>
    <s v="Not Applicable"/>
    <s v="Not Found"/>
    <s v="Not Found"/>
    <m/>
  </r>
  <r>
    <x v="2"/>
    <x v="1"/>
    <s v="Master. Rice Albert"/>
    <x v="1"/>
    <n v="10"/>
    <x v="4"/>
    <n v="1"/>
    <n v="4"/>
    <n v="382652"/>
    <n v="29.125"/>
    <x v="1"/>
    <s v="Unknown"/>
    <s v="Unknown"/>
    <s v="Queenstown"/>
    <s v="Not Applicable"/>
    <s v="Not Found"/>
    <s v="Not Found"/>
    <m/>
  </r>
  <r>
    <x v="2"/>
    <x v="1"/>
    <s v="Master. Rice Arthur"/>
    <x v="1"/>
    <n v="4"/>
    <x v="1"/>
    <n v="1"/>
    <n v="4"/>
    <n v="382652"/>
    <n v="29.125"/>
    <x v="1"/>
    <s v="Unknown"/>
    <s v="Unknown"/>
    <s v="Queenstown"/>
    <s v="Not Applicable"/>
    <s v="Not Found"/>
    <s v="Not Found"/>
    <m/>
  </r>
  <r>
    <x v="2"/>
    <x v="1"/>
    <s v="Master. Rice Eric"/>
    <x v="1"/>
    <n v="7"/>
    <x v="1"/>
    <n v="1"/>
    <n v="4"/>
    <n v="382652"/>
    <n v="29.125"/>
    <x v="1"/>
    <s v="Unknown"/>
    <s v="Unknown"/>
    <s v="Queenstown"/>
    <s v="Not Applicable"/>
    <s v="Not Found"/>
    <s v="Not Found"/>
    <m/>
  </r>
  <r>
    <x v="2"/>
    <x v="1"/>
    <s v="Master. Rice Eugene"/>
    <x v="1"/>
    <n v="2"/>
    <x v="1"/>
    <n v="1"/>
    <n v="4"/>
    <n v="382652"/>
    <n v="29.125"/>
    <x v="1"/>
    <s v="Unknown"/>
    <s v="Unknown"/>
    <s v="Queenstown"/>
    <s v="Not Applicable"/>
    <s v="Not Found"/>
    <s v="Not Found"/>
    <m/>
  </r>
  <r>
    <x v="2"/>
    <x v="1"/>
    <s v="Master. Rice George"/>
    <x v="1"/>
    <n v="8"/>
    <x v="1"/>
    <n v="1"/>
    <n v="4"/>
    <n v="382652"/>
    <n v="29.125"/>
    <x v="1"/>
    <s v="Unknown"/>
    <s v="Unknown"/>
    <s v="Queenstown"/>
    <s v="Not Applicable"/>
    <s v="Not Found"/>
    <s v="Not Found"/>
    <m/>
  </r>
  <r>
    <x v="2"/>
    <x v="1"/>
    <s v="Mrs. Rice William"/>
    <x v="0"/>
    <n v="39"/>
    <x v="2"/>
    <n v="5"/>
    <n v="0"/>
    <n v="382652"/>
    <n v="29.125"/>
    <x v="1"/>
    <s v="Unknown"/>
    <s v="Unknown"/>
    <s v="Queenstown"/>
    <s v="Not Applicable"/>
    <n v="327"/>
    <s v="Found"/>
    <m/>
  </r>
  <r>
    <x v="2"/>
    <x v="1"/>
    <s v="Miss. Riihivouri Susanna"/>
    <x v="0"/>
    <n v="22"/>
    <x v="0"/>
    <n v="0"/>
    <n v="0"/>
    <n v="3101295"/>
    <n v="39.6875"/>
    <x v="1"/>
    <s v="Unknown"/>
    <s v="Unknown"/>
    <s v="Southampton"/>
    <s v="Not Applicable"/>
    <s v="Not Found"/>
    <s v="Not Found"/>
    <m/>
  </r>
  <r>
    <x v="2"/>
    <x v="1"/>
    <s v="Mr. Rintamaki Matti"/>
    <x v="1"/>
    <n v="35"/>
    <x v="2"/>
    <n v="0"/>
    <n v="0"/>
    <s v="STON/O 2. 3101273"/>
    <n v="7.125"/>
    <x v="2"/>
    <s v="Unknown"/>
    <s v="Unknown"/>
    <s v="Southampton"/>
    <s v="Not Applicable"/>
    <s v="Not Found"/>
    <s v="Not Found"/>
    <m/>
  </r>
  <r>
    <x v="2"/>
    <x v="0"/>
    <s v="Miss. Riordan Johanna"/>
    <x v="0"/>
    <n v="28"/>
    <x v="0"/>
    <n v="0"/>
    <n v="0"/>
    <n v="334915"/>
    <n v="7.7207999999999997"/>
    <x v="2"/>
    <s v="Unknown"/>
    <s v="Unknown"/>
    <s v="Queenstown"/>
    <n v="13"/>
    <s v="Not Found"/>
    <s v="Not Found"/>
    <m/>
  </r>
  <r>
    <x v="2"/>
    <x v="1"/>
    <s v="Mr. Risien Samuel"/>
    <x v="1"/>
    <n v="28"/>
    <x v="0"/>
    <n v="0"/>
    <n v="0"/>
    <n v="364498"/>
    <n v="14.5"/>
    <x v="1"/>
    <s v="Unknown"/>
    <s v="Unknown"/>
    <s v="Southampton"/>
    <s v="Not Applicable"/>
    <s v="Not Found"/>
    <s v="Not Found"/>
    <m/>
  </r>
  <r>
    <x v="2"/>
    <x v="1"/>
    <s v="Mrs. Risien Samuel"/>
    <x v="0"/>
    <n v="28"/>
    <x v="0"/>
    <n v="0"/>
    <n v="0"/>
    <n v="364498"/>
    <n v="14.5"/>
    <x v="1"/>
    <s v="Unknown"/>
    <s v="Unknown"/>
    <s v="Southampton"/>
    <s v="Not Applicable"/>
    <s v="Not Found"/>
    <s v="Not Found"/>
    <m/>
  </r>
  <r>
    <x v="2"/>
    <x v="1"/>
    <s v="Mr. Robins Alexander"/>
    <x v="1"/>
    <n v="50"/>
    <x v="2"/>
    <n v="0"/>
    <n v="1"/>
    <s v="A/5. 3337"/>
    <n v="14.5"/>
    <x v="1"/>
    <s v="Unknown"/>
    <s v="Unknown"/>
    <s v="Southampton"/>
    <s v="Not Applicable"/>
    <n v="119"/>
    <s v="Found"/>
    <m/>
  </r>
  <r>
    <x v="2"/>
    <x v="1"/>
    <s v="Mrs. Robins Alexander"/>
    <x v="0"/>
    <n v="47"/>
    <x v="2"/>
    <n v="0"/>
    <n v="1"/>
    <s v="A/5. 3337"/>
    <n v="14.5"/>
    <x v="1"/>
    <s v="Unknown"/>
    <s v="Unknown"/>
    <s v="Southampton"/>
    <s v="Not Applicable"/>
    <n v="7"/>
    <s v="Found"/>
    <m/>
  </r>
  <r>
    <x v="2"/>
    <x v="1"/>
    <s v="Mr. Rogers William"/>
    <x v="1"/>
    <n v="28"/>
    <x v="0"/>
    <n v="0"/>
    <n v="0"/>
    <s v="S.C./A.4. 23567"/>
    <n v="8.0500000000000007"/>
    <x v="2"/>
    <s v="Unknown"/>
    <s v="Unknown"/>
    <s v="Southampton"/>
    <s v="Not Applicable"/>
    <s v="Not Found"/>
    <s v="Not Found"/>
    <m/>
  </r>
  <r>
    <x v="2"/>
    <x v="1"/>
    <s v="Mr. Rommetvedt Knud"/>
    <x v="1"/>
    <n v="28"/>
    <x v="0"/>
    <n v="0"/>
    <n v="0"/>
    <n v="312993"/>
    <n v="7.7750000000000004"/>
    <x v="2"/>
    <s v="Unknown"/>
    <s v="Unknown"/>
    <s v="Southampton"/>
    <s v="Not Applicable"/>
    <s v="Not Found"/>
    <s v="Not Found"/>
    <m/>
  </r>
  <r>
    <x v="2"/>
    <x v="1"/>
    <s v="Miss. Rosblom Salli"/>
    <x v="0"/>
    <n v="2"/>
    <x v="1"/>
    <n v="1"/>
    <n v="1"/>
    <n v="370129"/>
    <n v="20.212499999999999"/>
    <x v="1"/>
    <s v="Unknown"/>
    <s v="Unknown"/>
    <s v="Southampton"/>
    <s v="Not Applicable"/>
    <s v="Not Found"/>
    <s v="Not Found"/>
    <m/>
  </r>
  <r>
    <x v="2"/>
    <x v="1"/>
    <s v="Mr. Rosblom Viktor"/>
    <x v="1"/>
    <n v="18"/>
    <x v="0"/>
    <n v="1"/>
    <n v="1"/>
    <n v="370129"/>
    <n v="20.212499999999999"/>
    <x v="1"/>
    <s v="Unknown"/>
    <s v="Unknown"/>
    <s v="Southampton"/>
    <s v="Not Applicable"/>
    <s v="Not Found"/>
    <s v="Not Found"/>
    <m/>
  </r>
  <r>
    <x v="2"/>
    <x v="1"/>
    <s v="Mrs. Rosblom Viktor"/>
    <x v="0"/>
    <n v="41"/>
    <x v="2"/>
    <n v="2"/>
    <n v="0"/>
    <n v="370129"/>
    <n v="20.212499999999999"/>
    <x v="1"/>
    <s v="Unknown"/>
    <s v="Unknown"/>
    <s v="Southampton"/>
    <s v="Not Applicable"/>
    <s v="Not Found"/>
    <s v="Not Found"/>
    <m/>
  </r>
  <r>
    <x v="2"/>
    <x v="0"/>
    <s v="Miss. Roth Sarah"/>
    <x v="0"/>
    <n v="28"/>
    <x v="0"/>
    <n v="0"/>
    <n v="0"/>
    <n v="342712"/>
    <n v="8.0500000000000007"/>
    <x v="2"/>
    <s v="Unknown"/>
    <s v="Unknown"/>
    <s v="Southampton"/>
    <s v="C"/>
    <s v="Not Found"/>
    <s v="Not Found"/>
    <m/>
  </r>
  <r>
    <x v="2"/>
    <x v="1"/>
    <s v="Mr. Rouse Richard"/>
    <x v="1"/>
    <n v="50"/>
    <x v="2"/>
    <n v="0"/>
    <n v="0"/>
    <s v="A/5 3594"/>
    <n v="8.0500000000000007"/>
    <x v="2"/>
    <s v="Unknown"/>
    <s v="Unknown"/>
    <s v="Southampton"/>
    <s v="Not Applicable"/>
    <s v="Not Found"/>
    <s v="Not Found"/>
    <m/>
  </r>
  <r>
    <x v="2"/>
    <x v="1"/>
    <s v="Mr. Rush Alfred"/>
    <x v="1"/>
    <n v="16"/>
    <x v="4"/>
    <n v="0"/>
    <n v="0"/>
    <s v="A/4. 20589"/>
    <n v="8.0500000000000007"/>
    <x v="2"/>
    <s v="Unknown"/>
    <s v="Unknown"/>
    <s v="Southampton"/>
    <s v="Not Applicable"/>
    <s v="Not Found"/>
    <s v="Not Found"/>
    <m/>
  </r>
  <r>
    <x v="2"/>
    <x v="0"/>
    <s v="Mr. Ryan Edward"/>
    <x v="1"/>
    <n v="28"/>
    <x v="0"/>
    <n v="0"/>
    <n v="0"/>
    <n v="383162"/>
    <n v="7.75"/>
    <x v="2"/>
    <s v="Unknown"/>
    <s v="Unknown"/>
    <s v="Queenstown"/>
    <n v="14"/>
    <s v="Not Found"/>
    <s v="Not Found"/>
    <m/>
  </r>
  <r>
    <x v="2"/>
    <x v="1"/>
    <s v="Mr. Ryan Patrick"/>
    <x v="1"/>
    <n v="28"/>
    <x v="0"/>
    <n v="0"/>
    <n v="0"/>
    <n v="371110"/>
    <n v="24.15"/>
    <x v="1"/>
    <s v="Unknown"/>
    <s v="Unknown"/>
    <s v="Queenstown"/>
    <s v="Not Applicable"/>
    <s v="Not Found"/>
    <s v="Not Found"/>
    <m/>
  </r>
  <r>
    <x v="2"/>
    <x v="1"/>
    <s v="Mr. Saad Amin"/>
    <x v="1"/>
    <n v="28"/>
    <x v="0"/>
    <n v="0"/>
    <n v="0"/>
    <n v="2671"/>
    <n v="7.2291999999999996"/>
    <x v="2"/>
    <s v="Unknown"/>
    <s v="Unknown"/>
    <s v="Cherbourg"/>
    <s v="Not Applicable"/>
    <s v="Not Found"/>
    <s v="Not Found"/>
    <m/>
  </r>
  <r>
    <x v="2"/>
    <x v="1"/>
    <s v="Mr. Saad Khalil"/>
    <x v="1"/>
    <n v="25"/>
    <x v="0"/>
    <n v="0"/>
    <n v="0"/>
    <n v="2672"/>
    <n v="7.2249999999999996"/>
    <x v="2"/>
    <s v="Unknown"/>
    <s v="Unknown"/>
    <s v="Cherbourg"/>
    <s v="Not Applicable"/>
    <s v="Not Found"/>
    <s v="Not Found"/>
    <m/>
  </r>
  <r>
    <x v="2"/>
    <x v="1"/>
    <s v="Mr. Saade Jean"/>
    <x v="1"/>
    <n v="28"/>
    <x v="0"/>
    <n v="0"/>
    <n v="0"/>
    <n v="2676"/>
    <n v="7.2249999999999996"/>
    <x v="2"/>
    <s v="Unknown"/>
    <s v="Unknown"/>
    <s v="Cherbourg"/>
    <s v="Not Applicable"/>
    <s v="Not Found"/>
    <s v="Not Found"/>
    <m/>
  </r>
  <r>
    <x v="2"/>
    <x v="1"/>
    <s v="Mr. Sadlier Matthew"/>
    <x v="1"/>
    <n v="28"/>
    <x v="0"/>
    <n v="0"/>
    <n v="0"/>
    <n v="367655"/>
    <n v="7.7291999999999996"/>
    <x v="2"/>
    <s v="Unknown"/>
    <s v="Unknown"/>
    <s v="Queenstown"/>
    <s v="Not Applicable"/>
    <s v="Not Found"/>
    <s v="Not Found"/>
    <m/>
  </r>
  <r>
    <x v="2"/>
    <x v="1"/>
    <s v="Mr. Sadowitz Harry"/>
    <x v="1"/>
    <n v="28"/>
    <x v="0"/>
    <n v="0"/>
    <n v="0"/>
    <s v="LP 1588"/>
    <n v="7.5750000000000002"/>
    <x v="2"/>
    <s v="Unknown"/>
    <s v="Unknown"/>
    <s v="Southampton"/>
    <s v="Not Applicable"/>
    <s v="Not Found"/>
    <s v="Not Found"/>
    <m/>
  </r>
  <r>
    <x v="2"/>
    <x v="1"/>
    <s v="Mr. Saether Simon"/>
    <x v="1"/>
    <n v="39"/>
    <x v="2"/>
    <n v="0"/>
    <n v="0"/>
    <s v="SOTON/O.Q. 3101262"/>
    <n v="7.25"/>
    <x v="2"/>
    <s v="Unknown"/>
    <s v="Unknown"/>
    <s v="Southampton"/>
    <s v="Not Applicable"/>
    <n v="32"/>
    <s v="Found"/>
    <m/>
  </r>
  <r>
    <x v="2"/>
    <x v="1"/>
    <s v="Master. Sage Thomas"/>
    <x v="1"/>
    <n v="28"/>
    <x v="0"/>
    <n v="2"/>
    <n v="8"/>
    <s v="CA. 2343"/>
    <n v="69.55"/>
    <x v="0"/>
    <s v="Unknown"/>
    <s v="Unknown"/>
    <s v="Southampton"/>
    <s v="Not Applicable"/>
    <s v="Not Found"/>
    <s v="Not Found"/>
    <m/>
  </r>
  <r>
    <x v="2"/>
    <x v="1"/>
    <s v="Master. Sage William"/>
    <x v="1"/>
    <n v="15"/>
    <x v="4"/>
    <n v="2"/>
    <n v="8"/>
    <s v="CA. 2343"/>
    <n v="69.55"/>
    <x v="0"/>
    <s v="Unknown"/>
    <s v="Unknown"/>
    <s v="Southampton"/>
    <s v="Not Applicable"/>
    <n v="67"/>
    <s v="Found"/>
    <m/>
  </r>
  <r>
    <x v="2"/>
    <x v="1"/>
    <s v="Miss. Sage Ada"/>
    <x v="0"/>
    <n v="28"/>
    <x v="0"/>
    <n v="2"/>
    <n v="8"/>
    <s v="CA. 2343"/>
    <n v="69.55"/>
    <x v="0"/>
    <s v="Unknown"/>
    <s v="Unknown"/>
    <s v="Southampton"/>
    <s v="Not Applicable"/>
    <s v="Not Found"/>
    <s v="Not Found"/>
    <m/>
  </r>
  <r>
    <x v="2"/>
    <x v="1"/>
    <s v="Miss. Sage Constance"/>
    <x v="0"/>
    <n v="28"/>
    <x v="0"/>
    <n v="2"/>
    <n v="8"/>
    <s v="CA. 2343"/>
    <n v="69.55"/>
    <x v="0"/>
    <s v="Unknown"/>
    <s v="Unknown"/>
    <s v="Southampton"/>
    <s v="Not Applicable"/>
    <s v="Not Found"/>
    <s v="Not Found"/>
    <m/>
  </r>
  <r>
    <x v="2"/>
    <x v="1"/>
    <s v="Miss. Sage Dorothy"/>
    <x v="0"/>
    <n v="28"/>
    <x v="0"/>
    <n v="2"/>
    <n v="8"/>
    <s v="CA. 2343"/>
    <n v="69.55"/>
    <x v="0"/>
    <s v="Unknown"/>
    <s v="Unknown"/>
    <s v="Southampton"/>
    <s v="Not Applicable"/>
    <s v="Not Found"/>
    <s v="Not Found"/>
    <m/>
  </r>
  <r>
    <x v="2"/>
    <x v="1"/>
    <s v="Miss. Sage Stella"/>
    <x v="0"/>
    <n v="28"/>
    <x v="0"/>
    <n v="2"/>
    <n v="8"/>
    <s v="CA. 2343"/>
    <n v="69.55"/>
    <x v="0"/>
    <s v="Unknown"/>
    <s v="Unknown"/>
    <s v="Southampton"/>
    <s v="Not Applicable"/>
    <s v="Not Found"/>
    <s v="Not Found"/>
    <m/>
  </r>
  <r>
    <x v="2"/>
    <x v="1"/>
    <s v="Mr. Sage Douglas"/>
    <x v="1"/>
    <n v="28"/>
    <x v="0"/>
    <n v="2"/>
    <n v="8"/>
    <s v="CA. 2343"/>
    <n v="69.55"/>
    <x v="0"/>
    <s v="Unknown"/>
    <s v="Unknown"/>
    <s v="Southampton"/>
    <s v="Not Applicable"/>
    <s v="Not Found"/>
    <s v="Not Found"/>
    <m/>
  </r>
  <r>
    <x v="2"/>
    <x v="1"/>
    <s v="Mr. Sage Frederick"/>
    <x v="1"/>
    <n v="28"/>
    <x v="0"/>
    <n v="2"/>
    <n v="8"/>
    <s v="CA. 2343"/>
    <n v="69.55"/>
    <x v="0"/>
    <s v="Unknown"/>
    <s v="Unknown"/>
    <s v="Southampton"/>
    <s v="Not Applicable"/>
    <s v="Not Found"/>
    <s v="Not Found"/>
    <m/>
  </r>
  <r>
    <x v="2"/>
    <x v="1"/>
    <s v="Mr. Sage George"/>
    <x v="1"/>
    <n v="28"/>
    <x v="0"/>
    <n v="2"/>
    <n v="8"/>
    <s v="CA. 2343"/>
    <n v="69.55"/>
    <x v="0"/>
    <s v="Unknown"/>
    <s v="Unknown"/>
    <s v="Southampton"/>
    <s v="Not Applicable"/>
    <s v="Not Found"/>
    <s v="Not Found"/>
    <m/>
  </r>
  <r>
    <x v="2"/>
    <x v="1"/>
    <s v="Mr. Sage John"/>
    <x v="1"/>
    <n v="28"/>
    <x v="0"/>
    <n v="9"/>
    <n v="1"/>
    <s v="CA. 2343"/>
    <n v="69.55"/>
    <x v="0"/>
    <s v="Unknown"/>
    <s v="Unknown"/>
    <s v="Southampton"/>
    <s v="Not Applicable"/>
    <s v="Not Found"/>
    <s v="Not Found"/>
    <m/>
  </r>
  <r>
    <x v="2"/>
    <x v="1"/>
    <s v="Mrs. Sage John"/>
    <x v="0"/>
    <n v="28"/>
    <x v="0"/>
    <n v="9"/>
    <n v="1"/>
    <s v="CA. 2343"/>
    <n v="69.55"/>
    <x v="0"/>
    <s v="Unknown"/>
    <s v="Unknown"/>
    <s v="Southampton"/>
    <s v="Not Applicable"/>
    <s v="Not Found"/>
    <s v="Not Found"/>
    <m/>
  </r>
  <r>
    <x v="2"/>
    <x v="1"/>
    <s v="Mr. Salander Karl"/>
    <x v="1"/>
    <n v="24"/>
    <x v="0"/>
    <n v="0"/>
    <n v="0"/>
    <n v="7266"/>
    <n v="9.3249999999999993"/>
    <x v="2"/>
    <s v="Unknown"/>
    <s v="Unknown"/>
    <s v="Southampton"/>
    <s v="Not Applicable"/>
    <s v="Not Found"/>
    <s v="Not Found"/>
    <m/>
  </r>
  <r>
    <x v="2"/>
    <x v="0"/>
    <s v="Miss. Salkjelsvik Anna"/>
    <x v="0"/>
    <n v="21"/>
    <x v="0"/>
    <n v="0"/>
    <n v="0"/>
    <n v="343120"/>
    <n v="7.65"/>
    <x v="2"/>
    <s v="Unknown"/>
    <s v="Unknown"/>
    <s v="Southampton"/>
    <s v="C"/>
    <s v="Not Found"/>
    <s v="Not Found"/>
    <m/>
  </r>
  <r>
    <x v="2"/>
    <x v="1"/>
    <s v="Mr. Salonen Johan"/>
    <x v="1"/>
    <n v="39"/>
    <x v="2"/>
    <n v="0"/>
    <n v="0"/>
    <n v="3101296"/>
    <n v="7.9249999999999998"/>
    <x v="2"/>
    <s v="Unknown"/>
    <s v="Unknown"/>
    <s v="Southampton"/>
    <s v="Not Applicable"/>
    <s v="Not Found"/>
    <s v="Not Found"/>
    <m/>
  </r>
  <r>
    <x v="2"/>
    <x v="1"/>
    <s v="Mr. Samaan Elias"/>
    <x v="1"/>
    <n v="28"/>
    <x v="0"/>
    <n v="0"/>
    <n v="2"/>
    <n v="2662"/>
    <n v="21.679200000000002"/>
    <x v="1"/>
    <s v="Unknown"/>
    <s v="Unknown"/>
    <s v="Cherbourg"/>
    <s v="Not Applicable"/>
    <s v="Not Found"/>
    <s v="Not Found"/>
    <m/>
  </r>
  <r>
    <x v="2"/>
    <x v="1"/>
    <s v="Mr. Samaan Hanna"/>
    <x v="1"/>
    <n v="28"/>
    <x v="0"/>
    <n v="0"/>
    <n v="2"/>
    <n v="2662"/>
    <n v="21.679200000000002"/>
    <x v="1"/>
    <s v="Unknown"/>
    <s v="Unknown"/>
    <s v="Cherbourg"/>
    <s v="Not Applicable"/>
    <s v="Not Found"/>
    <s v="Not Found"/>
    <m/>
  </r>
  <r>
    <x v="2"/>
    <x v="1"/>
    <s v="Mr. Samaan Youssef"/>
    <x v="1"/>
    <n v="28"/>
    <x v="0"/>
    <n v="0"/>
    <n v="2"/>
    <n v="2662"/>
    <n v="21.679200000000002"/>
    <x v="1"/>
    <s v="Unknown"/>
    <s v="Unknown"/>
    <s v="Cherbourg"/>
    <s v="Not Applicable"/>
    <s v="Not Found"/>
    <s v="Not Found"/>
    <m/>
  </r>
  <r>
    <x v="2"/>
    <x v="0"/>
    <s v="Miss. Sandstrom Beatrice"/>
    <x v="0"/>
    <n v="1"/>
    <x v="1"/>
    <n v="1"/>
    <n v="1"/>
    <s v="PP 9549"/>
    <n v="16.7"/>
    <x v="1"/>
    <s v="G6"/>
    <s v="G"/>
    <s v="Southampton"/>
    <n v="13"/>
    <s v="Not Found"/>
    <s v="Not Found"/>
    <m/>
  </r>
  <r>
    <x v="2"/>
    <x v="0"/>
    <s v="Mrs. Sandstrom Hjalmar"/>
    <x v="0"/>
    <n v="24"/>
    <x v="0"/>
    <n v="2"/>
    <n v="0"/>
    <s v="PP 9549"/>
    <n v="16.7"/>
    <x v="1"/>
    <s v="G6"/>
    <s v="G"/>
    <s v="Southampton"/>
    <n v="13"/>
    <s v="Not Found"/>
    <s v="Not Found"/>
    <m/>
  </r>
  <r>
    <x v="2"/>
    <x v="0"/>
    <s v="Miss. Sandstrom Marguerite"/>
    <x v="0"/>
    <n v="4"/>
    <x v="1"/>
    <n v="1"/>
    <n v="1"/>
    <s v="PP 9549"/>
    <n v="16.7"/>
    <x v="1"/>
    <s v="G6"/>
    <s v="G"/>
    <s v="Southampton"/>
    <n v="13"/>
    <s v="Not Found"/>
    <s v="Not Found"/>
    <m/>
  </r>
  <r>
    <x v="2"/>
    <x v="0"/>
    <s v="Mr. Sap Julius"/>
    <x v="1"/>
    <n v="25"/>
    <x v="0"/>
    <n v="0"/>
    <n v="0"/>
    <n v="345768"/>
    <n v="9.5"/>
    <x v="2"/>
    <s v="Unknown"/>
    <s v="Unknown"/>
    <s v="Southampton"/>
    <n v="11"/>
    <s v="Not Found"/>
    <s v="Not Found"/>
    <m/>
  </r>
  <r>
    <x v="2"/>
    <x v="1"/>
    <s v="Mr. Saundercock William"/>
    <x v="1"/>
    <n v="20"/>
    <x v="0"/>
    <n v="0"/>
    <n v="0"/>
    <s v="A/5. 2151"/>
    <n v="8.0500000000000007"/>
    <x v="2"/>
    <s v="Unknown"/>
    <s v="Unknown"/>
    <s v="Southampton"/>
    <s v="Not Applicable"/>
    <s v="Not Found"/>
    <s v="Not Found"/>
    <m/>
  </r>
  <r>
    <x v="2"/>
    <x v="1"/>
    <s v="Mr. Sawyer Frederick"/>
    <x v="1"/>
    <n v="25"/>
    <x v="0"/>
    <n v="0"/>
    <n v="0"/>
    <n v="342826"/>
    <n v="8.0500000000000007"/>
    <x v="2"/>
    <s v="Unknown"/>
    <s v="Unknown"/>
    <s v="Southampton"/>
    <s v="Not Applicable"/>
    <n v="284"/>
    <s v="Found"/>
    <m/>
  </r>
  <r>
    <x v="2"/>
    <x v="1"/>
    <s v="Mr. Scanlan James"/>
    <x v="1"/>
    <n v="28"/>
    <x v="0"/>
    <n v="0"/>
    <n v="0"/>
    <n v="36209"/>
    <n v="7.7249999999999996"/>
    <x v="2"/>
    <s v="Unknown"/>
    <s v="Unknown"/>
    <s v="Queenstown"/>
    <s v="Not Applicable"/>
    <s v="Not Found"/>
    <s v="Not Found"/>
    <m/>
  </r>
  <r>
    <x v="2"/>
    <x v="1"/>
    <s v="Mr. Sdycoff Todor"/>
    <x v="1"/>
    <n v="28"/>
    <x v="0"/>
    <n v="0"/>
    <n v="0"/>
    <n v="349222"/>
    <n v="7.8958000000000004"/>
    <x v="2"/>
    <s v="Unknown"/>
    <s v="Unknown"/>
    <s v="Southampton"/>
    <s v="Not Applicable"/>
    <s v="Not Found"/>
    <s v="Not Found"/>
    <m/>
  </r>
  <r>
    <x v="2"/>
    <x v="1"/>
    <s v="Mr. Shaughnessy Patrick"/>
    <x v="1"/>
    <n v="28"/>
    <x v="0"/>
    <n v="0"/>
    <n v="0"/>
    <n v="370374"/>
    <n v="7.75"/>
    <x v="2"/>
    <s v="Unknown"/>
    <s v="Unknown"/>
    <s v="Queenstown"/>
    <s v="Not Applicable"/>
    <s v="Not Found"/>
    <s v="Not Found"/>
    <m/>
  </r>
  <r>
    <x v="2"/>
    <x v="0"/>
    <s v="Mr. Sheerlinck Jan"/>
    <x v="1"/>
    <n v="29"/>
    <x v="0"/>
    <n v="0"/>
    <n v="0"/>
    <n v="345779"/>
    <n v="9.5"/>
    <x v="2"/>
    <s v="Unknown"/>
    <s v="Unknown"/>
    <s v="Southampton"/>
    <n v="11"/>
    <s v="Not Found"/>
    <s v="Not Found"/>
    <m/>
  </r>
  <r>
    <x v="2"/>
    <x v="1"/>
    <s v="Mr. Shellard Frederick"/>
    <x v="1"/>
    <n v="28"/>
    <x v="0"/>
    <n v="0"/>
    <n v="0"/>
    <s v="C.A. 6212"/>
    <n v="15.1"/>
    <x v="1"/>
    <s v="Unknown"/>
    <s v="Unknown"/>
    <s v="Southampton"/>
    <s v="Not Applicable"/>
    <s v="Not Found"/>
    <s v="Not Found"/>
    <m/>
  </r>
  <r>
    <x v="2"/>
    <x v="0"/>
    <s v="Miss. Shine Ellen"/>
    <x v="0"/>
    <n v="28"/>
    <x v="0"/>
    <n v="0"/>
    <n v="0"/>
    <n v="330968"/>
    <n v="7.7792000000000003"/>
    <x v="2"/>
    <s v="Unknown"/>
    <s v="Unknown"/>
    <s v="Queenstown"/>
    <s v="Not Applicable"/>
    <s v="Not Found"/>
    <s v="Not Found"/>
    <m/>
  </r>
  <r>
    <x v="2"/>
    <x v="1"/>
    <s v="Mr. Shorney Charles"/>
    <x v="1"/>
    <n v="28"/>
    <x v="0"/>
    <n v="0"/>
    <n v="0"/>
    <n v="374910"/>
    <n v="8.0500000000000007"/>
    <x v="2"/>
    <s v="Unknown"/>
    <s v="Unknown"/>
    <s v="Southampton"/>
    <s v="Not Applicable"/>
    <s v="Not Found"/>
    <s v="Not Found"/>
    <m/>
  </r>
  <r>
    <x v="2"/>
    <x v="1"/>
    <s v="Mr. Simmons John"/>
    <x v="1"/>
    <n v="28"/>
    <x v="0"/>
    <n v="0"/>
    <n v="0"/>
    <s v="SOTON/OQ 392082"/>
    <n v="8.0500000000000007"/>
    <x v="2"/>
    <s v="Unknown"/>
    <s v="Unknown"/>
    <s v="Southampton"/>
    <s v="Not Applicable"/>
    <s v="Not Found"/>
    <s v="Not Found"/>
    <m/>
  </r>
  <r>
    <x v="2"/>
    <x v="1"/>
    <s v="Mr. Sirayanian Orsen"/>
    <x v="1"/>
    <n v="22"/>
    <x v="0"/>
    <n v="0"/>
    <n v="0"/>
    <n v="2669"/>
    <n v="7.2291999999999996"/>
    <x v="2"/>
    <s v="Unknown"/>
    <s v="Unknown"/>
    <s v="Cherbourg"/>
    <s v="Not Applicable"/>
    <s v="Not Found"/>
    <s v="Not Found"/>
    <m/>
  </r>
  <r>
    <x v="2"/>
    <x v="1"/>
    <s v="Mr. Sirota Maurice"/>
    <x v="1"/>
    <n v="28"/>
    <x v="0"/>
    <n v="0"/>
    <n v="0"/>
    <n v="392092"/>
    <n v="8.0500000000000007"/>
    <x v="2"/>
    <s v="Unknown"/>
    <s v="Unknown"/>
    <s v="Southampton"/>
    <s v="Not Applicable"/>
    <s v="Not Found"/>
    <s v="Not Found"/>
    <m/>
  </r>
  <r>
    <x v="2"/>
    <x v="1"/>
    <s v="Mr. Sivic Husein"/>
    <x v="1"/>
    <n v="40"/>
    <x v="2"/>
    <n v="0"/>
    <n v="0"/>
    <n v="349251"/>
    <n v="7.8958000000000004"/>
    <x v="2"/>
    <s v="Unknown"/>
    <s v="Unknown"/>
    <s v="Southampton"/>
    <s v="Not Applicable"/>
    <s v="Not Found"/>
    <s v="Not Found"/>
    <m/>
  </r>
  <r>
    <x v="2"/>
    <x v="1"/>
    <s v="Mr. Sivola Antti"/>
    <x v="1"/>
    <n v="21"/>
    <x v="0"/>
    <n v="0"/>
    <n v="0"/>
    <s v="STON/O 2. 3101280"/>
    <n v="7.9249999999999998"/>
    <x v="2"/>
    <s v="Unknown"/>
    <s v="Unknown"/>
    <s v="Southampton"/>
    <s v="Not Applicable"/>
    <s v="Not Found"/>
    <s v="Not Found"/>
    <m/>
  </r>
  <r>
    <x v="2"/>
    <x v="0"/>
    <s v="Miss. Sjoblom Anna"/>
    <x v="0"/>
    <n v="18"/>
    <x v="0"/>
    <n v="0"/>
    <n v="0"/>
    <n v="3101265"/>
    <n v="7.4958"/>
    <x v="2"/>
    <s v="Unknown"/>
    <s v="Unknown"/>
    <s v="Southampton"/>
    <n v="16"/>
    <s v="Not Found"/>
    <s v="Not Found"/>
    <m/>
  </r>
  <r>
    <x v="2"/>
    <x v="1"/>
    <s v="Master. Skoog Harald"/>
    <x v="1"/>
    <n v="4"/>
    <x v="1"/>
    <n v="2"/>
    <n v="3"/>
    <n v="347088"/>
    <n v="27.9"/>
    <x v="1"/>
    <s v="Unknown"/>
    <s v="Unknown"/>
    <s v="Southampton"/>
    <s v="Not Applicable"/>
    <s v="Not Found"/>
    <s v="Not Found"/>
    <m/>
  </r>
  <r>
    <x v="2"/>
    <x v="1"/>
    <s v="Master. Skoog Karl"/>
    <x v="1"/>
    <n v="10"/>
    <x v="4"/>
    <n v="2"/>
    <n v="3"/>
    <n v="347088"/>
    <n v="27.9"/>
    <x v="1"/>
    <s v="Unknown"/>
    <s v="Unknown"/>
    <s v="Southampton"/>
    <s v="Not Applicable"/>
    <s v="Not Found"/>
    <s v="Not Found"/>
    <m/>
  </r>
  <r>
    <x v="2"/>
    <x v="1"/>
    <s v="Miss. Skoog Mabel"/>
    <x v="0"/>
    <n v="9"/>
    <x v="1"/>
    <n v="2"/>
    <n v="3"/>
    <n v="347088"/>
    <n v="27.9"/>
    <x v="1"/>
    <s v="Unknown"/>
    <s v="Unknown"/>
    <s v="Southampton"/>
    <s v="Not Applicable"/>
    <s v="Not Found"/>
    <s v="Not Found"/>
    <m/>
  </r>
  <r>
    <x v="2"/>
    <x v="1"/>
    <s v="Miss. Skoog Margit"/>
    <x v="0"/>
    <n v="2"/>
    <x v="1"/>
    <n v="2"/>
    <n v="3"/>
    <n v="347088"/>
    <n v="27.9"/>
    <x v="1"/>
    <s v="Unknown"/>
    <s v="Unknown"/>
    <s v="Southampton"/>
    <s v="Not Applicable"/>
    <s v="Not Found"/>
    <s v="Not Found"/>
    <m/>
  </r>
  <r>
    <x v="2"/>
    <x v="1"/>
    <s v="Mr. Skoog Wilhelm"/>
    <x v="1"/>
    <n v="40"/>
    <x v="2"/>
    <n v="4"/>
    <n v="1"/>
    <n v="347088"/>
    <n v="27.9"/>
    <x v="1"/>
    <s v="Unknown"/>
    <s v="Unknown"/>
    <s v="Southampton"/>
    <s v="Not Applicable"/>
    <s v="Not Found"/>
    <s v="Not Found"/>
    <m/>
  </r>
  <r>
    <x v="2"/>
    <x v="1"/>
    <s v="Mrs. Skoog William"/>
    <x v="0"/>
    <n v="45"/>
    <x v="2"/>
    <n v="4"/>
    <n v="1"/>
    <n v="347088"/>
    <n v="27.9"/>
    <x v="1"/>
    <s v="Unknown"/>
    <s v="Unknown"/>
    <s v="Southampton"/>
    <s v="Not Applicable"/>
    <s v="Not Found"/>
    <s v="Not Found"/>
    <m/>
  </r>
  <r>
    <x v="2"/>
    <x v="1"/>
    <s v="Mr. Slabenoff Petco"/>
    <x v="1"/>
    <n v="28"/>
    <x v="0"/>
    <n v="0"/>
    <n v="0"/>
    <n v="349214"/>
    <n v="7.8958000000000004"/>
    <x v="2"/>
    <s v="Unknown"/>
    <s v="Unknown"/>
    <s v="Southampton"/>
    <s v="Not Applicable"/>
    <s v="Not Found"/>
    <s v="Not Found"/>
    <m/>
  </r>
  <r>
    <x v="2"/>
    <x v="1"/>
    <s v="Mr. Slocovski Selman"/>
    <x v="1"/>
    <n v="28"/>
    <x v="0"/>
    <n v="0"/>
    <n v="0"/>
    <s v="SOTON/OQ 392086"/>
    <n v="8.0500000000000007"/>
    <x v="2"/>
    <s v="Unknown"/>
    <s v="Unknown"/>
    <s v="Southampton"/>
    <s v="Not Applicable"/>
    <s v="Not Found"/>
    <s v="Not Found"/>
    <m/>
  </r>
  <r>
    <x v="2"/>
    <x v="1"/>
    <s v="Mr. Smiljanic Mile"/>
    <x v="1"/>
    <n v="28"/>
    <x v="0"/>
    <n v="0"/>
    <n v="0"/>
    <n v="315037"/>
    <n v="8.6624999999999996"/>
    <x v="2"/>
    <s v="Unknown"/>
    <s v="Unknown"/>
    <s v="Southampton"/>
    <s v="Not Applicable"/>
    <s v="Not Found"/>
    <s v="Not Found"/>
    <m/>
  </r>
  <r>
    <x v="2"/>
    <x v="1"/>
    <s v="Mr. Smith Thomas"/>
    <x v="1"/>
    <n v="28"/>
    <x v="0"/>
    <n v="0"/>
    <n v="0"/>
    <n v="384461"/>
    <n v="7.75"/>
    <x v="2"/>
    <s v="Unknown"/>
    <s v="Unknown"/>
    <s v="Queenstown"/>
    <s v="Not Applicable"/>
    <s v="Not Found"/>
    <s v="Not Found"/>
    <m/>
  </r>
  <r>
    <x v="2"/>
    <x v="0"/>
    <s v="Miss. Smyth Julia"/>
    <x v="0"/>
    <n v="28"/>
    <x v="0"/>
    <n v="0"/>
    <n v="0"/>
    <n v="335432"/>
    <n v="7.7332999999999998"/>
    <x v="2"/>
    <s v="Unknown"/>
    <s v="Unknown"/>
    <s v="Queenstown"/>
    <n v="13"/>
    <s v="Not Found"/>
    <s v="Not Found"/>
    <m/>
  </r>
  <r>
    <x v="2"/>
    <x v="1"/>
    <s v="Mr. Soholt Peter"/>
    <x v="1"/>
    <n v="19"/>
    <x v="0"/>
    <n v="0"/>
    <n v="0"/>
    <n v="348124"/>
    <n v="7.65"/>
    <x v="2"/>
    <s v="F G73"/>
    <s v="F"/>
    <s v="Southampton"/>
    <s v="Not Applicable"/>
    <s v="Not Found"/>
    <s v="Not Found"/>
    <m/>
  </r>
  <r>
    <x v="2"/>
    <x v="1"/>
    <s v="Mr. Somerton Francis"/>
    <x v="1"/>
    <n v="30"/>
    <x v="2"/>
    <n v="0"/>
    <n v="0"/>
    <s v="A.5. 18509"/>
    <n v="8.0500000000000007"/>
    <x v="2"/>
    <s v="Unknown"/>
    <s v="Unknown"/>
    <s v="Southampton"/>
    <s v="Not Applicable"/>
    <s v="Not Found"/>
    <s v="Not Found"/>
    <m/>
  </r>
  <r>
    <x v="2"/>
    <x v="1"/>
    <s v="Mr. Spector Woolf"/>
    <x v="1"/>
    <n v="28"/>
    <x v="0"/>
    <n v="0"/>
    <n v="0"/>
    <s v="A.5. 3236"/>
    <n v="8.0500000000000007"/>
    <x v="2"/>
    <s v="Unknown"/>
    <s v="Unknown"/>
    <s v="Southampton"/>
    <s v="Not Applicable"/>
    <s v="Not Found"/>
    <s v="Not Found"/>
    <m/>
  </r>
  <r>
    <x v="2"/>
    <x v="1"/>
    <s v="Mr. Spinner Henry"/>
    <x v="1"/>
    <n v="32"/>
    <x v="2"/>
    <n v="0"/>
    <n v="0"/>
    <s v="STON/OQ. 369943"/>
    <n v="8.0500000000000007"/>
    <x v="2"/>
    <s v="Unknown"/>
    <s v="Unknown"/>
    <s v="Southampton"/>
    <s v="Not Applicable"/>
    <s v="Not Found"/>
    <s v="Not Found"/>
    <m/>
  </r>
  <r>
    <x v="2"/>
    <x v="1"/>
    <s v="Mr. Staneff Ivan"/>
    <x v="1"/>
    <n v="28"/>
    <x v="0"/>
    <n v="0"/>
    <n v="0"/>
    <n v="349208"/>
    <n v="7.8958000000000004"/>
    <x v="2"/>
    <s v="Unknown"/>
    <s v="Unknown"/>
    <s v="Southampton"/>
    <s v="Not Applicable"/>
    <s v="Not Found"/>
    <s v="Not Found"/>
    <m/>
  </r>
  <r>
    <x v="2"/>
    <x v="1"/>
    <s v="Mr. Stankovic Ivan"/>
    <x v="1"/>
    <n v="33"/>
    <x v="2"/>
    <n v="0"/>
    <n v="0"/>
    <n v="349239"/>
    <n v="8.6624999999999996"/>
    <x v="2"/>
    <s v="Unknown"/>
    <s v="Unknown"/>
    <s v="Cherbourg"/>
    <s v="Not Applicable"/>
    <s v="Not Found"/>
    <s v="Not Found"/>
    <m/>
  </r>
  <r>
    <x v="2"/>
    <x v="0"/>
    <s v="Miss. Stanley Amy"/>
    <x v="0"/>
    <n v="23"/>
    <x v="0"/>
    <n v="0"/>
    <n v="0"/>
    <s v="CA. 2314"/>
    <n v="7.55"/>
    <x v="2"/>
    <s v="Unknown"/>
    <s v="Unknown"/>
    <s v="Southampton"/>
    <s v="C"/>
    <s v="Not Found"/>
    <s v="Not Found"/>
    <m/>
  </r>
  <r>
    <x v="2"/>
    <x v="1"/>
    <s v="Mr. Stanley Edward"/>
    <x v="1"/>
    <n v="21"/>
    <x v="0"/>
    <n v="0"/>
    <n v="0"/>
    <s v="A/4 45380"/>
    <n v="8.0500000000000007"/>
    <x v="2"/>
    <s v="Unknown"/>
    <s v="Unknown"/>
    <s v="Southampton"/>
    <s v="Not Applicable"/>
    <s v="Not Found"/>
    <s v="Not Found"/>
    <m/>
  </r>
  <r>
    <x v="2"/>
    <x v="1"/>
    <s v="Mr. Storey Thomas"/>
    <x v="1"/>
    <n v="61"/>
    <x v="3"/>
    <n v="0"/>
    <n v="0"/>
    <n v="3701"/>
    <n v="14.4542"/>
    <x v="1"/>
    <s v="Unknown"/>
    <s v="Unknown"/>
    <s v="Southampton"/>
    <s v="Not Applicable"/>
    <n v="261"/>
    <s v="Found"/>
    <m/>
  </r>
  <r>
    <x v="2"/>
    <x v="1"/>
    <s v="Mr. Stoytcheff Ilia"/>
    <x v="1"/>
    <n v="19"/>
    <x v="0"/>
    <n v="0"/>
    <n v="0"/>
    <n v="349205"/>
    <n v="7.8958000000000004"/>
    <x v="2"/>
    <s v="Unknown"/>
    <s v="Unknown"/>
    <s v="Southampton"/>
    <s v="Not Applicable"/>
    <s v="Not Found"/>
    <s v="Not Found"/>
    <m/>
  </r>
  <r>
    <x v="2"/>
    <x v="1"/>
    <s v="Miss. Strandberg Ida"/>
    <x v="0"/>
    <n v="22"/>
    <x v="0"/>
    <n v="0"/>
    <n v="0"/>
    <n v="7553"/>
    <n v="9.8375000000000004"/>
    <x v="2"/>
    <s v="Unknown"/>
    <s v="Unknown"/>
    <s v="Southampton"/>
    <s v="Not Applicable"/>
    <s v="Not Found"/>
    <s v="Not Found"/>
    <m/>
  </r>
  <r>
    <x v="2"/>
    <x v="0"/>
    <s v="Mr. Stranden Juho"/>
    <x v="1"/>
    <n v="31"/>
    <x v="2"/>
    <n v="0"/>
    <n v="0"/>
    <s v="STON/O 2. 3101288"/>
    <n v="7.9249999999999998"/>
    <x v="2"/>
    <s v="Unknown"/>
    <s v="Unknown"/>
    <s v="Southampton"/>
    <n v="9"/>
    <s v="Not Found"/>
    <s v="Not Found"/>
    <m/>
  </r>
  <r>
    <x v="2"/>
    <x v="1"/>
    <s v="Mr. Strilic Ivan"/>
    <x v="1"/>
    <n v="27"/>
    <x v="0"/>
    <n v="0"/>
    <n v="0"/>
    <n v="315083"/>
    <n v="8.6624999999999996"/>
    <x v="2"/>
    <s v="Unknown"/>
    <s v="Unknown"/>
    <s v="Southampton"/>
    <s v="Not Applicable"/>
    <s v="Not Found"/>
    <s v="Not Found"/>
    <m/>
  </r>
  <r>
    <x v="2"/>
    <x v="1"/>
    <s v="Miss. Strom Telma"/>
    <x v="0"/>
    <n v="2"/>
    <x v="1"/>
    <n v="1"/>
    <n v="0"/>
    <n v="347054"/>
    <n v="10.4625"/>
    <x v="1"/>
    <s v="G6"/>
    <s v="G"/>
    <s v="Southampton"/>
    <s v="Not Applicable"/>
    <s v="Not Found"/>
    <s v="Not Found"/>
    <m/>
  </r>
  <r>
    <x v="2"/>
    <x v="1"/>
    <s v="Mrs. Strom Wilhelm"/>
    <x v="0"/>
    <n v="29"/>
    <x v="0"/>
    <n v="1"/>
    <n v="1"/>
    <n v="347054"/>
    <n v="10.4625"/>
    <x v="1"/>
    <s v="G6"/>
    <s v="G"/>
    <s v="Southampton"/>
    <s v="Not Applicable"/>
    <s v="Not Found"/>
    <s v="Not Found"/>
    <m/>
  </r>
  <r>
    <x v="2"/>
    <x v="0"/>
    <s v="Mr. Sunderland Victor"/>
    <x v="1"/>
    <n v="16"/>
    <x v="4"/>
    <n v="0"/>
    <n v="0"/>
    <s v="SOTON/OQ 392089"/>
    <n v="8.0500000000000007"/>
    <x v="2"/>
    <s v="Unknown"/>
    <s v="Unknown"/>
    <s v="Southampton"/>
    <s v="B"/>
    <s v="Not Found"/>
    <s v="Not Found"/>
    <m/>
  </r>
  <r>
    <x v="2"/>
    <x v="0"/>
    <s v="Mr. Sundman Johan"/>
    <x v="1"/>
    <n v="44"/>
    <x v="2"/>
    <n v="0"/>
    <n v="0"/>
    <s v="STON/O 2. 3101269"/>
    <n v="7.9249999999999998"/>
    <x v="2"/>
    <s v="Unknown"/>
    <s v="Unknown"/>
    <s v="Southampton"/>
    <n v="15"/>
    <s v="Not Found"/>
    <s v="Not Found"/>
    <m/>
  </r>
  <r>
    <x v="2"/>
    <x v="1"/>
    <s v="Mr. Sutehall Henry"/>
    <x v="1"/>
    <n v="25"/>
    <x v="0"/>
    <n v="0"/>
    <n v="0"/>
    <s v="SOTON/OQ 392076"/>
    <n v="7.05"/>
    <x v="2"/>
    <s v="Unknown"/>
    <s v="Unknown"/>
    <s v="Southampton"/>
    <s v="Not Applicable"/>
    <s v="Not Found"/>
    <s v="Not Found"/>
    <m/>
  </r>
  <r>
    <x v="2"/>
    <x v="1"/>
    <s v="Mr. Svensson Johan"/>
    <x v="1"/>
    <n v="74"/>
    <x v="3"/>
    <n v="0"/>
    <n v="0"/>
    <n v="347060"/>
    <n v="7.7750000000000004"/>
    <x v="2"/>
    <s v="Unknown"/>
    <s v="Unknown"/>
    <s v="Southampton"/>
    <s v="Not Applicable"/>
    <s v="Not Found"/>
    <s v="Not Found"/>
    <m/>
  </r>
  <r>
    <x v="2"/>
    <x v="0"/>
    <s v="Mr. Svensson Johan"/>
    <x v="1"/>
    <n v="14"/>
    <x v="4"/>
    <n v="0"/>
    <n v="0"/>
    <n v="7538"/>
    <n v="9.2249999999999996"/>
    <x v="2"/>
    <s v="Unknown"/>
    <s v="Unknown"/>
    <s v="Southampton"/>
    <n v="13"/>
    <s v="Not Found"/>
    <s v="Not Found"/>
    <m/>
  </r>
  <r>
    <x v="2"/>
    <x v="1"/>
    <s v="Mr. Svensson Olof"/>
    <x v="1"/>
    <n v="24"/>
    <x v="0"/>
    <n v="0"/>
    <n v="0"/>
    <n v="350035"/>
    <n v="7.7957999999999998"/>
    <x v="2"/>
    <s v="Unknown"/>
    <s v="Unknown"/>
    <s v="Southampton"/>
    <s v="Not Applicable"/>
    <s v="Not Found"/>
    <s v="Not Found"/>
    <m/>
  </r>
  <r>
    <x v="2"/>
    <x v="0"/>
    <s v="Mr. Tenglin Gunnar"/>
    <x v="1"/>
    <n v="25"/>
    <x v="0"/>
    <n v="0"/>
    <n v="0"/>
    <n v="350033"/>
    <n v="7.7957999999999998"/>
    <x v="2"/>
    <s v="Unknown"/>
    <s v="Unknown"/>
    <s v="Southampton"/>
    <s v="13 15"/>
    <s v="Not Found"/>
    <s v="Not Found"/>
    <m/>
  </r>
  <r>
    <x v="2"/>
    <x v="1"/>
    <s v="Mr. Theobald Thomas"/>
    <x v="1"/>
    <n v="34"/>
    <x v="2"/>
    <n v="0"/>
    <n v="0"/>
    <n v="363294"/>
    <n v="8.0500000000000007"/>
    <x v="2"/>
    <s v="Unknown"/>
    <s v="Unknown"/>
    <s v="Southampton"/>
    <s v="Not Applicable"/>
    <n v="176"/>
    <s v="Found"/>
    <m/>
  </r>
  <r>
    <x v="2"/>
    <x v="0"/>
    <s v="Master. Thomas Assad"/>
    <x v="1"/>
    <n v="1"/>
    <x v="1"/>
    <n v="1"/>
    <n v="0"/>
    <n v="2625"/>
    <n v="8.5167000000000002"/>
    <x v="2"/>
    <s v="Unknown"/>
    <s v="Unknown"/>
    <s v="Cherbourg"/>
    <n v="16"/>
    <s v="Not Found"/>
    <s v="Not Found"/>
    <m/>
  </r>
  <r>
    <x v="2"/>
    <x v="1"/>
    <s v="Mr. Thomas Charles"/>
    <x v="1"/>
    <n v="28"/>
    <x v="0"/>
    <n v="0"/>
    <n v="1"/>
    <n v="2621"/>
    <n v="6.4375"/>
    <x v="2"/>
    <s v="Unknown"/>
    <s v="Unknown"/>
    <s v="Cherbourg"/>
    <s v="Not Applicable"/>
    <s v="Not Found"/>
    <s v="Not Found"/>
    <m/>
  </r>
  <r>
    <x v="2"/>
    <x v="1"/>
    <s v="Mr. Thomas John"/>
    <x v="1"/>
    <n v="28"/>
    <x v="0"/>
    <n v="0"/>
    <n v="0"/>
    <n v="2681"/>
    <n v="6.4375"/>
    <x v="2"/>
    <s v="Unknown"/>
    <s v="Unknown"/>
    <s v="Cherbourg"/>
    <s v="Not Applicable"/>
    <s v="Not Found"/>
    <s v="Not Found"/>
    <m/>
  </r>
  <r>
    <x v="2"/>
    <x v="1"/>
    <s v="Mr. Thomas Tannous"/>
    <x v="1"/>
    <n v="28"/>
    <x v="0"/>
    <n v="0"/>
    <n v="0"/>
    <n v="2684"/>
    <n v="7.2249999999999996"/>
    <x v="2"/>
    <s v="Unknown"/>
    <s v="Unknown"/>
    <s v="Cherbourg"/>
    <s v="Not Applicable"/>
    <s v="Not Found"/>
    <s v="Not Found"/>
    <m/>
  </r>
  <r>
    <x v="2"/>
    <x v="0"/>
    <s v="Mrs. Thomas Alexander"/>
    <x v="0"/>
    <n v="16"/>
    <x v="4"/>
    <n v="1"/>
    <n v="1"/>
    <n v="2625"/>
    <n v="8.5167000000000002"/>
    <x v="2"/>
    <s v="Unknown"/>
    <s v="Unknown"/>
    <s v="Cherbourg"/>
    <n v="14"/>
    <s v="Not Found"/>
    <s v="Not Found"/>
    <m/>
  </r>
  <r>
    <x v="2"/>
    <x v="1"/>
    <s v="Mr. Thomson Alexander"/>
    <x v="1"/>
    <n v="28"/>
    <x v="0"/>
    <n v="0"/>
    <n v="0"/>
    <n v="32302"/>
    <n v="8.0500000000000007"/>
    <x v="2"/>
    <s v="Unknown"/>
    <s v="Unknown"/>
    <s v="Southampton"/>
    <s v="Not Applicable"/>
    <s v="Not Found"/>
    <s v="Not Found"/>
    <m/>
  </r>
  <r>
    <x v="2"/>
    <x v="1"/>
    <s v="Mr. Thorneycroft Percival"/>
    <x v="1"/>
    <n v="28"/>
    <x v="0"/>
    <n v="0"/>
    <n v="1"/>
    <n v="376564"/>
    <n v="16.100000000000001"/>
    <x v="1"/>
    <s v="Unknown"/>
    <s v="Unknown"/>
    <s v="Southampton"/>
    <s v="Not Applicable"/>
    <s v="Not Found"/>
    <s v="Not Found"/>
    <m/>
  </r>
  <r>
    <x v="2"/>
    <x v="0"/>
    <s v="Mrs. Thorneycroft Percival"/>
    <x v="0"/>
    <n v="28"/>
    <x v="0"/>
    <n v="0"/>
    <n v="1"/>
    <n v="376564"/>
    <n v="16.100000000000001"/>
    <x v="1"/>
    <s v="Unknown"/>
    <s v="Unknown"/>
    <s v="Southampton"/>
    <n v="10"/>
    <s v="Not Found"/>
    <s v="Not Found"/>
    <m/>
  </r>
  <r>
    <x v="2"/>
    <x v="1"/>
    <s v="Mr. Tikkanen Juho"/>
    <x v="1"/>
    <n v="32"/>
    <x v="2"/>
    <n v="0"/>
    <n v="0"/>
    <s v="STON/O 2. 3101293"/>
    <n v="7.9249999999999998"/>
    <x v="2"/>
    <s v="Unknown"/>
    <s v="Unknown"/>
    <s v="Southampton"/>
    <s v="Not Applicable"/>
    <s v="Not Found"/>
    <s v="Not Found"/>
    <m/>
  </r>
  <r>
    <x v="2"/>
    <x v="1"/>
    <s v="Mr. Tobin Roger"/>
    <x v="1"/>
    <n v="28"/>
    <x v="0"/>
    <n v="0"/>
    <n v="0"/>
    <n v="383121"/>
    <n v="7.75"/>
    <x v="2"/>
    <s v="F38"/>
    <s v="F"/>
    <s v="Queenstown"/>
    <s v="Not Applicable"/>
    <s v="Not Found"/>
    <s v="Not Found"/>
    <m/>
  </r>
  <r>
    <x v="2"/>
    <x v="1"/>
    <s v="Mr. Todoroff Lalio"/>
    <x v="1"/>
    <n v="28"/>
    <x v="0"/>
    <n v="0"/>
    <n v="0"/>
    <n v="349216"/>
    <n v="7.8958000000000004"/>
    <x v="2"/>
    <s v="Unknown"/>
    <s v="Unknown"/>
    <s v="Southampton"/>
    <s v="Not Applicable"/>
    <s v="Not Found"/>
    <s v="Not Found"/>
    <m/>
  </r>
  <r>
    <x v="2"/>
    <x v="1"/>
    <s v="Mr. Tomlin Ernest"/>
    <x v="1"/>
    <n v="31"/>
    <x v="2"/>
    <n v="0"/>
    <n v="0"/>
    <n v="364499"/>
    <n v="8.0500000000000007"/>
    <x v="2"/>
    <s v="Unknown"/>
    <s v="Unknown"/>
    <s v="Southampton"/>
    <s v="Not Applicable"/>
    <n v="50"/>
    <s v="Found"/>
    <m/>
  </r>
  <r>
    <x v="2"/>
    <x v="1"/>
    <s v="Mr. Torber Ernst"/>
    <x v="1"/>
    <n v="44"/>
    <x v="2"/>
    <n v="0"/>
    <n v="0"/>
    <n v="364511"/>
    <n v="8.0500000000000007"/>
    <x v="2"/>
    <s v="Unknown"/>
    <s v="Unknown"/>
    <s v="Southampton"/>
    <s v="Not Applicable"/>
    <s v="Not Found"/>
    <s v="Not Found"/>
    <m/>
  </r>
  <r>
    <x v="2"/>
    <x v="1"/>
    <s v="Mr. Torfa Assad"/>
    <x v="1"/>
    <n v="28"/>
    <x v="0"/>
    <n v="0"/>
    <n v="0"/>
    <n v="2673"/>
    <n v="7.2291999999999996"/>
    <x v="2"/>
    <s v="Unknown"/>
    <s v="Unknown"/>
    <s v="Cherbourg"/>
    <s v="Not Applicable"/>
    <s v="Not Found"/>
    <s v="Not Found"/>
    <m/>
  </r>
  <r>
    <x v="2"/>
    <x v="0"/>
    <s v="Mr. Tornquist William"/>
    <x v="1"/>
    <n v="25"/>
    <x v="0"/>
    <n v="0"/>
    <n v="0"/>
    <s v="LINE"/>
    <n v="0"/>
    <x v="2"/>
    <s v="Unknown"/>
    <s v="Unknown"/>
    <s v="Southampton"/>
    <n v="15"/>
    <s v="Not Found"/>
    <s v="Not Found"/>
    <m/>
  </r>
  <r>
    <x v="2"/>
    <x v="1"/>
    <s v="Mr. Toufik Nakli"/>
    <x v="1"/>
    <n v="28"/>
    <x v="0"/>
    <n v="0"/>
    <n v="0"/>
    <n v="2641"/>
    <n v="7.2291999999999996"/>
    <x v="2"/>
    <s v="Unknown"/>
    <s v="Unknown"/>
    <s v="Cherbourg"/>
    <s v="Not Applicable"/>
    <s v="Not Found"/>
    <s v="Not Found"/>
    <m/>
  </r>
  <r>
    <x v="2"/>
    <x v="0"/>
    <s v="Master. Touma Georges"/>
    <x v="1"/>
    <n v="7"/>
    <x v="1"/>
    <n v="1"/>
    <n v="1"/>
    <n v="2650"/>
    <n v="15.245799999999999"/>
    <x v="1"/>
    <s v="Unknown"/>
    <s v="Unknown"/>
    <s v="Cherbourg"/>
    <s v="C"/>
    <s v="Not Found"/>
    <s v="Not Found"/>
    <m/>
  </r>
  <r>
    <x v="2"/>
    <x v="0"/>
    <s v="Miss. Touma Maria"/>
    <x v="0"/>
    <n v="9"/>
    <x v="1"/>
    <n v="1"/>
    <n v="1"/>
    <n v="2650"/>
    <n v="15.245799999999999"/>
    <x v="1"/>
    <s v="Unknown"/>
    <s v="Unknown"/>
    <s v="Cherbourg"/>
    <s v="C"/>
    <s v="Not Found"/>
    <s v="Not Found"/>
    <m/>
  </r>
  <r>
    <x v="2"/>
    <x v="0"/>
    <s v="Mrs. Touma Darwis"/>
    <x v="0"/>
    <n v="29"/>
    <x v="0"/>
    <n v="2"/>
    <n v="0"/>
    <n v="2650"/>
    <n v="15.245799999999999"/>
    <x v="1"/>
    <s v="Unknown"/>
    <s v="Unknown"/>
    <s v="Cherbourg"/>
    <s v="C"/>
    <s v="Not Found"/>
    <s v="Not Found"/>
    <m/>
  </r>
  <r>
    <x v="2"/>
    <x v="1"/>
    <s v="Mr. Turcin Stjepan"/>
    <x v="1"/>
    <n v="36"/>
    <x v="2"/>
    <n v="0"/>
    <n v="0"/>
    <n v="349247"/>
    <n v="7.8958000000000004"/>
    <x v="2"/>
    <s v="Unknown"/>
    <s v="Unknown"/>
    <s v="Southampton"/>
    <s v="Not Applicable"/>
    <s v="Not Found"/>
    <s v="Not Found"/>
    <m/>
  </r>
  <r>
    <x v="2"/>
    <x v="0"/>
    <s v="Miss. Turja Anna"/>
    <x v="0"/>
    <n v="18"/>
    <x v="0"/>
    <n v="0"/>
    <n v="0"/>
    <n v="4138"/>
    <n v="9.8416999999999994"/>
    <x v="2"/>
    <s v="Unknown"/>
    <s v="Unknown"/>
    <s v="Southampton"/>
    <n v="15"/>
    <s v="Not Found"/>
    <s v="Not Found"/>
    <m/>
  </r>
  <r>
    <x v="2"/>
    <x v="0"/>
    <s v="Mrs. Turkula (Hedwig)"/>
    <x v="0"/>
    <n v="63"/>
    <x v="3"/>
    <n v="0"/>
    <n v="0"/>
    <n v="4134"/>
    <n v="9.5875000000000004"/>
    <x v="2"/>
    <s v="Unknown"/>
    <s v="Unknown"/>
    <s v="Southampton"/>
    <n v="15"/>
    <s v="Not Found"/>
    <s v="Not Found"/>
    <m/>
  </r>
  <r>
    <x v="2"/>
    <x v="1"/>
    <s v="Billiard van Master."/>
    <x v="1"/>
    <n v="28"/>
    <x v="0"/>
    <n v="1"/>
    <n v="1"/>
    <s v="A/5. 851"/>
    <n v="14.5"/>
    <x v="1"/>
    <s v="Unknown"/>
    <s v="Unknown"/>
    <s v="Southampton"/>
    <s v="Not Applicable"/>
    <s v="Not Found"/>
    <s v="Not Found"/>
    <m/>
  </r>
  <r>
    <x v="2"/>
    <x v="1"/>
    <s v="Billiard van Master."/>
    <x v="1"/>
    <n v="12"/>
    <x v="4"/>
    <n v="1"/>
    <n v="1"/>
    <s v="A/5. 851"/>
    <n v="14.5"/>
    <x v="1"/>
    <s v="Unknown"/>
    <s v="Unknown"/>
    <s v="Southampton"/>
    <s v="Not Applicable"/>
    <n v="1"/>
    <s v="Found"/>
    <m/>
  </r>
  <r>
    <x v="2"/>
    <x v="1"/>
    <s v="Billiard van Mr."/>
    <x v="1"/>
    <n v="41"/>
    <x v="2"/>
    <n v="2"/>
    <n v="0"/>
    <s v="A/5. 851"/>
    <n v="14.5"/>
    <x v="1"/>
    <s v="Unknown"/>
    <s v="Unknown"/>
    <s v="Southampton"/>
    <s v="Not Applicable"/>
    <n v="255"/>
    <s v="Found"/>
    <m/>
  </r>
  <r>
    <x v="2"/>
    <x v="1"/>
    <s v="Impe Van Miss."/>
    <x v="0"/>
    <n v="10"/>
    <x v="4"/>
    <n v="2"/>
    <n v="0"/>
    <n v="345773"/>
    <n v="24.15"/>
    <x v="1"/>
    <s v="Unknown"/>
    <s v="Unknown"/>
    <s v="Southampton"/>
    <s v="Not Applicable"/>
    <s v="Not Found"/>
    <s v="Not Found"/>
    <m/>
  </r>
  <r>
    <x v="2"/>
    <x v="1"/>
    <s v="Impe Van Mr."/>
    <x v="1"/>
    <n v="36"/>
    <x v="2"/>
    <n v="1"/>
    <n v="1"/>
    <n v="345773"/>
    <n v="24.15"/>
    <x v="1"/>
    <s v="Unknown"/>
    <s v="Unknown"/>
    <s v="Southampton"/>
    <s v="Not Applicable"/>
    <s v="Not Found"/>
    <s v="Not Found"/>
    <m/>
  </r>
  <r>
    <x v="2"/>
    <x v="1"/>
    <s v="Impe Van Mrs."/>
    <x v="0"/>
    <n v="30"/>
    <x v="2"/>
    <n v="1"/>
    <n v="1"/>
    <n v="345773"/>
    <n v="24.15"/>
    <x v="1"/>
    <s v="Unknown"/>
    <s v="Unknown"/>
    <s v="Southampton"/>
    <s v="Not Applicable"/>
    <s v="Not Found"/>
    <s v="Not Found"/>
    <m/>
  </r>
  <r>
    <x v="2"/>
    <x v="1"/>
    <s v="Melkebeke van Mr."/>
    <x v="1"/>
    <n v="28"/>
    <x v="0"/>
    <n v="0"/>
    <n v="0"/>
    <n v="345777"/>
    <n v="9.5"/>
    <x v="2"/>
    <s v="Unknown"/>
    <s v="Unknown"/>
    <s v="Southampton"/>
    <s v="Not Applicable"/>
    <s v="Not Found"/>
    <s v="Not Found"/>
    <m/>
  </r>
  <r>
    <x v="2"/>
    <x v="1"/>
    <s v="Velde Vande Mr."/>
    <x v="1"/>
    <n v="33"/>
    <x v="2"/>
    <n v="0"/>
    <n v="0"/>
    <n v="345780"/>
    <n v="9.5"/>
    <x v="2"/>
    <s v="Unknown"/>
    <s v="Unknown"/>
    <s v="Southampton"/>
    <s v="Not Applicable"/>
    <s v="Not Found"/>
    <s v="Not Found"/>
    <m/>
  </r>
  <r>
    <x v="2"/>
    <x v="1"/>
    <s v="Walle Vande Mr."/>
    <x v="1"/>
    <n v="28"/>
    <x v="0"/>
    <n v="0"/>
    <n v="0"/>
    <n v="345770"/>
    <n v="9.5"/>
    <x v="2"/>
    <s v="Unknown"/>
    <s v="Unknown"/>
    <s v="Southampton"/>
    <s v="Not Applicable"/>
    <s v="Not Found"/>
    <s v="Not Found"/>
    <m/>
  </r>
  <r>
    <x v="2"/>
    <x v="1"/>
    <s v="Steen Vanden Mr."/>
    <x v="1"/>
    <n v="28"/>
    <x v="0"/>
    <n v="0"/>
    <n v="0"/>
    <n v="345783"/>
    <n v="9.5"/>
    <x v="2"/>
    <s v="Unknown"/>
    <s v="Unknown"/>
    <s v="Southampton"/>
    <s v="Not Applicable"/>
    <s v="Not Found"/>
    <s v="Not Found"/>
    <m/>
  </r>
  <r>
    <x v="2"/>
    <x v="1"/>
    <s v="Cruyssen Vander Mr."/>
    <x v="1"/>
    <n v="47"/>
    <x v="2"/>
    <n v="0"/>
    <n v="0"/>
    <n v="345765"/>
    <n v="9"/>
    <x v="2"/>
    <s v="Unknown"/>
    <s v="Unknown"/>
    <s v="Southampton"/>
    <s v="Not Applicable"/>
    <s v="Not Found"/>
    <s v="Not Found"/>
    <m/>
  </r>
  <r>
    <x v="2"/>
    <x v="1"/>
    <s v="Planke Vander Miss."/>
    <x v="0"/>
    <n v="18"/>
    <x v="0"/>
    <n v="0"/>
    <n v="2"/>
    <n v="345764"/>
    <n v="18"/>
    <x v="1"/>
    <s v="Unknown"/>
    <s v="Unknown"/>
    <s v="Southampton"/>
    <s v="Not Applicable"/>
    <s v="Not Found"/>
    <s v="Not Found"/>
    <m/>
  </r>
  <r>
    <x v="2"/>
    <x v="1"/>
    <s v="Planke Vander Mr."/>
    <x v="1"/>
    <n v="31"/>
    <x v="2"/>
    <n v="0"/>
    <n v="3"/>
    <n v="345763"/>
    <n v="18"/>
    <x v="1"/>
    <s v="Unknown"/>
    <s v="Unknown"/>
    <s v="Southampton"/>
    <s v="Not Applicable"/>
    <s v="Not Found"/>
    <s v="Not Found"/>
    <m/>
  </r>
  <r>
    <x v="2"/>
    <x v="1"/>
    <s v="Planke Vander Mr."/>
    <x v="1"/>
    <n v="16"/>
    <x v="4"/>
    <n v="0"/>
    <n v="2"/>
    <n v="345764"/>
    <n v="18"/>
    <x v="1"/>
    <s v="Unknown"/>
    <s v="Unknown"/>
    <s v="Southampton"/>
    <s v="Not Applicable"/>
    <s v="Not Found"/>
    <s v="Not Found"/>
    <m/>
  </r>
  <r>
    <x v="2"/>
    <x v="1"/>
    <s v="Planke Vander Mrs."/>
    <x v="0"/>
    <n v="31"/>
    <x v="2"/>
    <n v="0"/>
    <n v="1"/>
    <n v="345763"/>
    <n v="18"/>
    <x v="1"/>
    <s v="Unknown"/>
    <s v="Unknown"/>
    <s v="Southampton"/>
    <s v="Not Applicable"/>
    <s v="Not Found"/>
    <s v="Not Found"/>
    <m/>
  </r>
  <r>
    <x v="2"/>
    <x v="0"/>
    <s v="Mr. Vartanian David"/>
    <x v="1"/>
    <n v="22"/>
    <x v="0"/>
    <n v="0"/>
    <n v="0"/>
    <n v="2658"/>
    <n v="7.2249999999999996"/>
    <x v="2"/>
    <s v="Unknown"/>
    <s v="Unknown"/>
    <s v="Cherbourg"/>
    <s v="13 15"/>
    <s v="Not Found"/>
    <s v="Not Found"/>
    <m/>
  </r>
  <r>
    <x v="2"/>
    <x v="1"/>
    <s v="Mr. Vendel Olof"/>
    <x v="1"/>
    <n v="20"/>
    <x v="0"/>
    <n v="0"/>
    <n v="0"/>
    <n v="350416"/>
    <n v="7.8541999999999996"/>
    <x v="2"/>
    <s v="Unknown"/>
    <s v="Unknown"/>
    <s v="Southampton"/>
    <s v="Not Applicable"/>
    <s v="Not Found"/>
    <s v="Not Found"/>
    <m/>
  </r>
  <r>
    <x v="2"/>
    <x v="1"/>
    <s v="Miss. Vestrom Hulda"/>
    <x v="0"/>
    <n v="14"/>
    <x v="4"/>
    <n v="0"/>
    <n v="0"/>
    <n v="350406"/>
    <n v="7.8541999999999996"/>
    <x v="2"/>
    <s v="Unknown"/>
    <s v="Unknown"/>
    <s v="Southampton"/>
    <s v="Not Applicable"/>
    <s v="Not Found"/>
    <s v="Not Found"/>
    <m/>
  </r>
  <r>
    <x v="2"/>
    <x v="1"/>
    <s v="Mr. Vovk Janko"/>
    <x v="1"/>
    <n v="22"/>
    <x v="0"/>
    <n v="0"/>
    <n v="0"/>
    <n v="349252"/>
    <n v="7.8958000000000004"/>
    <x v="2"/>
    <s v="Unknown"/>
    <s v="Unknown"/>
    <s v="Southampton"/>
    <s v="Not Applicable"/>
    <s v="Not Found"/>
    <s v="Not Found"/>
    <m/>
  </r>
  <r>
    <x v="2"/>
    <x v="1"/>
    <s v="Mr. Waelens Achille"/>
    <x v="1"/>
    <n v="22"/>
    <x v="0"/>
    <n v="0"/>
    <n v="0"/>
    <n v="345767"/>
    <n v="9"/>
    <x v="2"/>
    <s v="Unknown"/>
    <s v="Unknown"/>
    <s v="Southampton"/>
    <s v="Not Applicable"/>
    <s v="Not Found"/>
    <s v="Not Found"/>
    <s v="Antwerp, Belgium / Stanton, OH"/>
  </r>
  <r>
    <x v="2"/>
    <x v="1"/>
    <s v="Mr. Ware Frederick"/>
    <x v="1"/>
    <n v="28"/>
    <x v="0"/>
    <n v="0"/>
    <n v="0"/>
    <n v="359309"/>
    <n v="8.0500000000000007"/>
    <x v="2"/>
    <s v="Unknown"/>
    <s v="Unknown"/>
    <s v="Southampton"/>
    <s v="Not Applicable"/>
    <s v="Not Found"/>
    <s v="Not Found"/>
    <m/>
  </r>
  <r>
    <x v="2"/>
    <x v="1"/>
    <s v="Mr. Warren Charles"/>
    <x v="1"/>
    <n v="28"/>
    <x v="0"/>
    <n v="0"/>
    <n v="0"/>
    <s v="C.A. 49867"/>
    <n v="7.55"/>
    <x v="2"/>
    <s v="Unknown"/>
    <s v="Unknown"/>
    <s v="Southampton"/>
    <s v="Not Applicable"/>
    <s v="Not Found"/>
    <s v="Not Found"/>
    <m/>
  </r>
  <r>
    <x v="2"/>
    <x v="1"/>
    <s v="Mr. Webber James"/>
    <x v="1"/>
    <n v="28"/>
    <x v="0"/>
    <n v="0"/>
    <n v="0"/>
    <s v="SOTON/OQ 3101316"/>
    <n v="8.0500000000000007"/>
    <x v="2"/>
    <s v="Unknown"/>
    <s v="Unknown"/>
    <s v="Southampton"/>
    <s v="Not Applicable"/>
    <s v="Not Found"/>
    <s v="Not Found"/>
    <m/>
  </r>
  <r>
    <x v="2"/>
    <x v="1"/>
    <s v="Mr. Wenzel Linhart"/>
    <x v="1"/>
    <n v="33"/>
    <x v="2"/>
    <n v="0"/>
    <n v="0"/>
    <n v="345775"/>
    <n v="9.5"/>
    <x v="2"/>
    <s v="Unknown"/>
    <s v="Unknown"/>
    <s v="Southampton"/>
    <s v="Not Applicable"/>
    <n v="298"/>
    <s v="Found"/>
    <m/>
  </r>
  <r>
    <x v="2"/>
    <x v="0"/>
    <s v="Mrs. Whabee George"/>
    <x v="0"/>
    <n v="38"/>
    <x v="2"/>
    <n v="0"/>
    <n v="0"/>
    <n v="2688"/>
    <n v="7.2291999999999996"/>
    <x v="2"/>
    <s v="Unknown"/>
    <s v="Unknown"/>
    <s v="Cherbourg"/>
    <s v="C"/>
    <s v="Not Found"/>
    <s v="Not Found"/>
    <m/>
  </r>
  <r>
    <x v="2"/>
    <x v="1"/>
    <s v="Mr. Widegren Carl/Charles"/>
    <x v="1"/>
    <n v="51"/>
    <x v="2"/>
    <n v="0"/>
    <n v="0"/>
    <n v="347064"/>
    <n v="7.75"/>
    <x v="2"/>
    <s v="Unknown"/>
    <s v="Unknown"/>
    <s v="Southampton"/>
    <s v="Not Applicable"/>
    <s v="Not Found"/>
    <s v="Not Found"/>
    <m/>
  </r>
  <r>
    <x v="2"/>
    <x v="1"/>
    <s v="Mr. Wiklund Jakob"/>
    <x v="1"/>
    <n v="18"/>
    <x v="0"/>
    <n v="0"/>
    <n v="1"/>
    <n v="3101267"/>
    <n v="6.4958"/>
    <x v="2"/>
    <s v="Unknown"/>
    <s v="Unknown"/>
    <s v="Southampton"/>
    <s v="Not Applicable"/>
    <n v="314"/>
    <s v="Found"/>
    <m/>
  </r>
  <r>
    <x v="2"/>
    <x v="1"/>
    <s v="Mr. Wiklund Karl"/>
    <x v="1"/>
    <n v="21"/>
    <x v="0"/>
    <n v="0"/>
    <n v="1"/>
    <n v="3101266"/>
    <n v="6.4958"/>
    <x v="2"/>
    <s v="Unknown"/>
    <s v="Unknown"/>
    <s v="Southampton"/>
    <s v="Not Applicable"/>
    <s v="Not Found"/>
    <s v="Not Found"/>
    <m/>
  </r>
  <r>
    <x v="2"/>
    <x v="0"/>
    <s v="Mrs. Wilkes James"/>
    <x v="0"/>
    <n v="47"/>
    <x v="2"/>
    <n v="0"/>
    <n v="1"/>
    <n v="363272"/>
    <n v="7"/>
    <x v="2"/>
    <s v="Unknown"/>
    <s v="Unknown"/>
    <s v="Southampton"/>
    <s v="Not Applicable"/>
    <s v="Not Found"/>
    <s v="Not Found"/>
    <m/>
  </r>
  <r>
    <x v="2"/>
    <x v="1"/>
    <s v="Mr. Willer Aaron"/>
    <x v="1"/>
    <n v="28"/>
    <x v="0"/>
    <n v="0"/>
    <n v="0"/>
    <n v="3410"/>
    <n v="8.7125000000000004"/>
    <x v="2"/>
    <s v="Unknown"/>
    <s v="Unknown"/>
    <s v="Southampton"/>
    <s v="Not Applicable"/>
    <s v="Not Found"/>
    <s v="Not Found"/>
    <m/>
  </r>
  <r>
    <x v="2"/>
    <x v="1"/>
    <s v="Mr. Willey Edward"/>
    <x v="1"/>
    <n v="28"/>
    <x v="0"/>
    <n v="0"/>
    <n v="0"/>
    <s v="S.O./P.P. 751"/>
    <n v="7.55"/>
    <x v="2"/>
    <s v="Unknown"/>
    <s v="Unknown"/>
    <s v="Southampton"/>
    <s v="Not Applicable"/>
    <s v="Not Found"/>
    <s v="Not Found"/>
    <m/>
  </r>
  <r>
    <x v="2"/>
    <x v="1"/>
    <s v="Mr. Williams Howard"/>
    <x v="1"/>
    <n v="28"/>
    <x v="0"/>
    <n v="0"/>
    <n v="0"/>
    <s v="A/5 2466"/>
    <n v="8.0500000000000007"/>
    <x v="2"/>
    <s v="Unknown"/>
    <s v="Unknown"/>
    <s v="Southampton"/>
    <s v="Not Applicable"/>
    <s v="Not Found"/>
    <s v="Not Found"/>
    <m/>
  </r>
  <r>
    <x v="2"/>
    <x v="1"/>
    <s v="Mr. Williams Leslie"/>
    <x v="1"/>
    <n v="29"/>
    <x v="0"/>
    <n v="0"/>
    <n v="0"/>
    <n v="54636"/>
    <n v="16.100000000000001"/>
    <x v="1"/>
    <s v="Unknown"/>
    <s v="Unknown"/>
    <s v="Southampton"/>
    <s v="Not Applicable"/>
    <n v="14"/>
    <s v="Found"/>
    <m/>
  </r>
  <r>
    <x v="2"/>
    <x v="1"/>
    <s v="Mr. Windelov Einar"/>
    <x v="1"/>
    <n v="21"/>
    <x v="0"/>
    <n v="0"/>
    <n v="0"/>
    <s v="SOTON/OQ 3101317"/>
    <n v="7.25"/>
    <x v="2"/>
    <s v="Unknown"/>
    <s v="Unknown"/>
    <s v="Southampton"/>
    <s v="Not Applicable"/>
    <s v="Not Found"/>
    <s v="Not Found"/>
    <m/>
  </r>
  <r>
    <x v="2"/>
    <x v="1"/>
    <s v="Mr. Wirz Albert"/>
    <x v="1"/>
    <n v="27"/>
    <x v="0"/>
    <n v="0"/>
    <n v="0"/>
    <n v="315154"/>
    <n v="8.6624999999999996"/>
    <x v="2"/>
    <s v="Unknown"/>
    <s v="Unknown"/>
    <s v="Southampton"/>
    <s v="Not Applicable"/>
    <n v="131"/>
    <s v="Found"/>
    <m/>
  </r>
  <r>
    <x v="2"/>
    <x v="1"/>
    <s v="Mr. Wiseman Phillippe"/>
    <x v="1"/>
    <n v="28"/>
    <x v="0"/>
    <n v="0"/>
    <n v="0"/>
    <s v="A/4. 34244"/>
    <n v="7.25"/>
    <x v="2"/>
    <s v="Unknown"/>
    <s v="Unknown"/>
    <s v="Southampton"/>
    <s v="Not Applicable"/>
    <s v="Not Found"/>
    <s v="Not Found"/>
    <m/>
  </r>
  <r>
    <x v="2"/>
    <x v="1"/>
    <s v="Mr. Wittevrongel Camille"/>
    <x v="1"/>
    <n v="36"/>
    <x v="2"/>
    <n v="0"/>
    <n v="0"/>
    <n v="345771"/>
    <n v="9.5"/>
    <x v="2"/>
    <s v="Unknown"/>
    <s v="Unknown"/>
    <s v="Southampton"/>
    <s v="Not Applicable"/>
    <s v="Not Found"/>
    <s v="Not Found"/>
    <m/>
  </r>
  <r>
    <x v="2"/>
    <x v="1"/>
    <s v="Mr. Yasbeck Antoni"/>
    <x v="1"/>
    <n v="27"/>
    <x v="0"/>
    <n v="0"/>
    <n v="1"/>
    <n v="2659"/>
    <n v="14.4542"/>
    <x v="1"/>
    <s v="Unknown"/>
    <s v="Unknown"/>
    <s v="Cherbourg"/>
    <s v="C"/>
    <s v="Not Found"/>
    <s v="Not Found"/>
    <m/>
  </r>
  <r>
    <x v="2"/>
    <x v="0"/>
    <s v="Mrs. Yasbeck Antoni"/>
    <x v="0"/>
    <n v="15"/>
    <x v="4"/>
    <n v="0"/>
    <n v="1"/>
    <n v="2659"/>
    <n v="14.4542"/>
    <x v="1"/>
    <s v="Unknown"/>
    <s v="Unknown"/>
    <s v="Cherbourg"/>
    <s v="Not Applicable"/>
    <s v="Not Found"/>
    <s v="Not Found"/>
    <m/>
  </r>
  <r>
    <x v="2"/>
    <x v="1"/>
    <s v="Mr. Youseff Gerious"/>
    <x v="1"/>
    <n v="46"/>
    <x v="2"/>
    <n v="0"/>
    <n v="0"/>
    <n v="2628"/>
    <n v="7.2249999999999996"/>
    <x v="2"/>
    <s v="Unknown"/>
    <s v="Unknown"/>
    <s v="Cherbourg"/>
    <s v="Not Applicable"/>
    <n v="312"/>
    <s v="Found"/>
    <m/>
  </r>
  <r>
    <x v="2"/>
    <x v="1"/>
    <s v="Mr. Yousif Wazli"/>
    <x v="1"/>
    <n v="28"/>
    <x v="0"/>
    <n v="0"/>
    <n v="0"/>
    <n v="2647"/>
    <n v="7.2249999999999996"/>
    <x v="2"/>
    <s v="Unknown"/>
    <s v="Unknown"/>
    <s v="Cherbourg"/>
    <s v="Not Applicable"/>
    <s v="Not Found"/>
    <s v="Not Found"/>
    <m/>
  </r>
  <r>
    <x v="2"/>
    <x v="1"/>
    <s v="Mr. Yousseff Gerious"/>
    <x v="1"/>
    <n v="28"/>
    <x v="0"/>
    <n v="0"/>
    <n v="0"/>
    <n v="2627"/>
    <n v="14.458299999999999"/>
    <x v="1"/>
    <s v="Unknown"/>
    <s v="Unknown"/>
    <s v="Cherbourg"/>
    <s v="Not Applicable"/>
    <s v="Not Found"/>
    <s v="Not Found"/>
    <m/>
  </r>
  <r>
    <x v="2"/>
    <x v="1"/>
    <s v="Miss. Zabour Hileni"/>
    <x v="0"/>
    <n v="15"/>
    <x v="4"/>
    <n v="0"/>
    <n v="1"/>
    <n v="2665"/>
    <n v="14.4542"/>
    <x v="1"/>
    <s v="Unknown"/>
    <s v="Unknown"/>
    <s v="Cherbourg"/>
    <s v="Not Applicable"/>
    <n v="328"/>
    <s v="Found"/>
    <m/>
  </r>
  <r>
    <x v="2"/>
    <x v="1"/>
    <s v="Miss. Zabour Thamine"/>
    <x v="0"/>
    <n v="28"/>
    <x v="0"/>
    <n v="0"/>
    <n v="1"/>
    <n v="2665"/>
    <n v="14.4542"/>
    <x v="1"/>
    <s v="Unknown"/>
    <s v="Unknown"/>
    <s v="Cherbourg"/>
    <s v="Not Applicable"/>
    <s v="Not Found"/>
    <s v="Not Found"/>
    <m/>
  </r>
  <r>
    <x v="2"/>
    <x v="1"/>
    <s v="Mr. Zakarian Mapriededer"/>
    <x v="1"/>
    <n v="27"/>
    <x v="0"/>
    <n v="0"/>
    <n v="0"/>
    <n v="2656"/>
    <n v="7.2249999999999996"/>
    <x v="2"/>
    <s v="Unknown"/>
    <s v="Unknown"/>
    <s v="Cherbourg"/>
    <s v="Not Applicable"/>
    <n v="304"/>
    <s v="Found"/>
    <m/>
  </r>
  <r>
    <x v="2"/>
    <x v="1"/>
    <s v="Mr. Zakarian Ortin"/>
    <x v="1"/>
    <n v="27"/>
    <x v="0"/>
    <n v="0"/>
    <n v="0"/>
    <n v="2670"/>
    <n v="7.2249999999999996"/>
    <x v="2"/>
    <s v="Unknown"/>
    <s v="Unknown"/>
    <s v="Cherbourg"/>
    <s v="Not Applicable"/>
    <s v="Not Found"/>
    <s v="Not Found"/>
    <m/>
  </r>
  <r>
    <x v="2"/>
    <x v="1"/>
    <s v="Mr. Zimmerman Leo"/>
    <x v="1"/>
    <n v="29"/>
    <x v="0"/>
    <n v="0"/>
    <n v="0"/>
    <n v="315082"/>
    <n v="7.875"/>
    <x v="2"/>
    <s v="Unknown"/>
    <s v="Unknown"/>
    <s v="Southampton"/>
    <s v="Not Applicable"/>
    <s v="Not Found"/>
    <s v="Not Found"/>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3EFD7B-09D2-4E10-8BD8-93172A923D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7:B61" firstHeaderRow="1" firstDataRow="1" firstDataCol="1"/>
  <pivotFields count="18">
    <pivotField axis="axisRow" showAll="0">
      <items count="4">
        <item x="0"/>
        <item x="1"/>
        <item x="2"/>
        <item t="default"/>
      </items>
    </pivotField>
    <pivotField showAll="0"/>
    <pivotField showAll="0"/>
    <pivotField showAll="0">
      <items count="3">
        <item x="0"/>
        <item x="1"/>
        <item t="default"/>
      </items>
    </pivotField>
    <pivotField showAll="0"/>
    <pivotField showAll="0">
      <items count="6">
        <item x="2"/>
        <item x="1"/>
        <item x="3"/>
        <item x="4"/>
        <item x="0"/>
        <item t="default"/>
      </items>
    </pivotField>
    <pivotField showAll="0"/>
    <pivotField showAll="0"/>
    <pivotField showAll="0"/>
    <pivotField dataField="1" numFmtId="164" showAll="0"/>
    <pivotField showAll="0">
      <items count="4">
        <item x="0"/>
        <item x="2"/>
        <item x="1"/>
        <item t="default"/>
      </items>
    </pivotField>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Average of Fare" fld="9" subtotal="average" baseField="0" baseItem="0" numFmtId="165"/>
  </dataFields>
  <formats count="3">
    <format dxfId="2">
      <pivotArea collapsedLevelsAreSubtotals="1" fieldPosition="0">
        <references count="1">
          <reference field="0" count="1">
            <x v="0"/>
          </reference>
        </references>
      </pivotArea>
    </format>
    <format dxfId="1">
      <pivotArea collapsedLevelsAreSubtotals="1" fieldPosition="0">
        <references count="1">
          <reference field="0" count="1">
            <x v="1"/>
          </reference>
        </references>
      </pivotArea>
    </format>
    <format dxfId="0">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6CD8DD-187C-44BE-A439-E6DE2A832D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D50" firstHeaderRow="1" firstDataRow="2" firstDataCol="1"/>
  <pivotFields count="18">
    <pivotField showAll="0">
      <items count="4">
        <item x="0"/>
        <item x="1"/>
        <item x="2"/>
        <item t="default"/>
      </items>
    </pivotField>
    <pivotField axis="axisCol" dataField="1" showAll="0">
      <items count="3">
        <item x="1"/>
        <item x="0"/>
        <item t="default"/>
      </items>
    </pivotField>
    <pivotField showAll="0"/>
    <pivotField showAll="0">
      <items count="3">
        <item x="0"/>
        <item x="1"/>
        <item t="default"/>
      </items>
    </pivotField>
    <pivotField showAll="0"/>
    <pivotField axis="axisRow" showAll="0">
      <items count="6">
        <item x="2"/>
        <item x="1"/>
        <item x="3"/>
        <item x="4"/>
        <item x="0"/>
        <item t="default"/>
      </items>
    </pivotField>
    <pivotField showAll="0"/>
    <pivotField showAll="0"/>
    <pivotField showAll="0"/>
    <pivotField numFmtId="164" showAll="0"/>
    <pivotField showAll="0">
      <items count="4">
        <item x="0"/>
        <item x="2"/>
        <item x="1"/>
        <item t="default"/>
      </items>
    </pivotField>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1"/>
  </colFields>
  <colItems count="3">
    <i>
      <x/>
    </i>
    <i>
      <x v="1"/>
    </i>
    <i t="grand">
      <x/>
    </i>
  </colItems>
  <dataFields count="1">
    <dataField name="Count of Survival Status" fld="1" subtotal="count" baseField="3" baseItem="0"/>
  </dataFields>
  <chartFormats count="1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0"/>
          </reference>
        </references>
      </pivotArea>
    </chartFormat>
    <chartFormat chart="2" format="4" series="1">
      <pivotArea type="data" outline="0" fieldPosition="0">
        <references count="2">
          <reference field="4294967294" count="1" selected="0">
            <x v="0"/>
          </reference>
          <reference field="1" count="1" selected="0">
            <x v="1"/>
          </reference>
        </references>
      </pivotArea>
    </chartFormat>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3">
          <reference field="4294967294" count="1" selected="0">
            <x v="0"/>
          </reference>
          <reference field="1" count="1" selected="0">
            <x v="0"/>
          </reference>
          <reference field="5" count="1" selected="0">
            <x v="0"/>
          </reference>
        </references>
      </pivotArea>
    </chartFormat>
    <chartFormat chart="3" format="8">
      <pivotArea type="data" outline="0" fieldPosition="0">
        <references count="3">
          <reference field="4294967294" count="1" selected="0">
            <x v="0"/>
          </reference>
          <reference field="1" count="1" selected="0">
            <x v="0"/>
          </reference>
          <reference field="5" count="1" selected="0">
            <x v="1"/>
          </reference>
        </references>
      </pivotArea>
    </chartFormat>
    <chartFormat chart="3" format="9">
      <pivotArea type="data" outline="0" fieldPosition="0">
        <references count="3">
          <reference field="4294967294" count="1" selected="0">
            <x v="0"/>
          </reference>
          <reference field="1" count="1" selected="0">
            <x v="0"/>
          </reference>
          <reference field="5" count="1" selected="0">
            <x v="2"/>
          </reference>
        </references>
      </pivotArea>
    </chartFormat>
    <chartFormat chart="3" format="10">
      <pivotArea type="data" outline="0" fieldPosition="0">
        <references count="3">
          <reference field="4294967294" count="1" selected="0">
            <x v="0"/>
          </reference>
          <reference field="1" count="1" selected="0">
            <x v="0"/>
          </reference>
          <reference field="5" count="1" selected="0">
            <x v="3"/>
          </reference>
        </references>
      </pivotArea>
    </chartFormat>
    <chartFormat chart="3" format="11">
      <pivotArea type="data" outline="0" fieldPosition="0">
        <references count="3">
          <reference field="4294967294" count="1" selected="0">
            <x v="0"/>
          </reference>
          <reference field="1" count="1" selected="0">
            <x v="0"/>
          </reference>
          <reference field="5" count="1" selected="0">
            <x v="4"/>
          </reference>
        </references>
      </pivotArea>
    </chartFormat>
    <chartFormat chart="3" format="12">
      <pivotArea type="data" outline="0" fieldPosition="0">
        <references count="3">
          <reference field="4294967294" count="1" selected="0">
            <x v="0"/>
          </reference>
          <reference field="1" count="1" selected="0">
            <x v="1"/>
          </reference>
          <reference field="5" count="1" selected="0">
            <x v="0"/>
          </reference>
        </references>
      </pivotArea>
    </chartFormat>
    <chartFormat chart="3" format="13">
      <pivotArea type="data" outline="0" fieldPosition="0">
        <references count="3">
          <reference field="4294967294" count="1" selected="0">
            <x v="0"/>
          </reference>
          <reference field="1" count="1" selected="0">
            <x v="1"/>
          </reference>
          <reference field="5" count="1" selected="0">
            <x v="1"/>
          </reference>
        </references>
      </pivotArea>
    </chartFormat>
    <chartFormat chart="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B191C-D2BD-49B0-BEEE-06569C490B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B33" firstHeaderRow="1" firstDataRow="1" firstDataCol="1"/>
  <pivotFields count="18">
    <pivotField axis="axisRow" showAll="0">
      <items count="4">
        <item x="0"/>
        <item x="1"/>
        <item x="2"/>
        <item t="default"/>
      </items>
    </pivotField>
    <pivotField showAll="0"/>
    <pivotField showAll="0"/>
    <pivotField showAll="0">
      <items count="3">
        <item x="0"/>
        <item x="1"/>
        <item t="default"/>
      </items>
    </pivotField>
    <pivotField showAll="0"/>
    <pivotField showAll="0">
      <items count="6">
        <item x="2"/>
        <item x="1"/>
        <item x="3"/>
        <item x="4"/>
        <item x="0"/>
        <item t="default"/>
      </items>
    </pivotField>
    <pivotField showAll="0"/>
    <pivotField showAll="0"/>
    <pivotField showAll="0"/>
    <pivotField dataField="1" numFmtId="164" showAll="0"/>
    <pivotField showAll="0">
      <items count="4">
        <item x="0"/>
        <item x="2"/>
        <item x="1"/>
        <item t="default"/>
      </items>
    </pivotField>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Average of Fare" fld="9" subtotal="average" baseField="0" baseItem="0" numFmtId="168"/>
  </dataFields>
  <formats count="4">
    <format dxfId="6">
      <pivotArea dataOnly="0" labelOnly="1" outline="0" axis="axisValues" fieldPosition="0"/>
    </format>
    <format dxfId="5">
      <pivotArea collapsedLevelsAreSubtotals="1" fieldPosition="0">
        <references count="1">
          <reference field="0" count="1">
            <x v="0"/>
          </reference>
        </references>
      </pivotArea>
    </format>
    <format dxfId="4">
      <pivotArea dataOnly="0" labelOnly="1" outline="0" axis="axisValues" fieldPosition="0"/>
    </format>
    <format dxfId="3">
      <pivotArea outline="0" fieldPosition="0">
        <references count="1">
          <reference field="4294967294" count="1">
            <x v="0"/>
          </reference>
        </references>
      </pivotArea>
    </format>
  </format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F8B2FA-040B-4A74-82E4-6D2D7CDA79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D21" firstHeaderRow="1" firstDataRow="2" firstDataCol="1"/>
  <pivotFields count="18">
    <pivotField showAll="0">
      <items count="4">
        <item x="0"/>
        <item x="1"/>
        <item x="2"/>
        <item t="default"/>
      </items>
    </pivotField>
    <pivotField axis="axisCol" dataField="1" showAll="0">
      <items count="3">
        <item x="1"/>
        <item x="0"/>
        <item t="default"/>
      </items>
    </pivotField>
    <pivotField showAll="0"/>
    <pivotField axis="axisRow" showAll="0">
      <items count="3">
        <item x="0"/>
        <item x="1"/>
        <item t="default"/>
      </items>
    </pivotField>
    <pivotField showAll="0"/>
    <pivotField showAll="0">
      <items count="6">
        <item x="2"/>
        <item x="1"/>
        <item x="3"/>
        <item x="4"/>
        <item x="0"/>
        <item t="default"/>
      </items>
    </pivotField>
    <pivotField showAll="0"/>
    <pivotField showAll="0"/>
    <pivotField showAll="0"/>
    <pivotField numFmtId="164" showAll="0"/>
    <pivotField showAll="0">
      <items count="4">
        <item x="0"/>
        <item x="2"/>
        <item x="1"/>
        <item t="default"/>
      </items>
    </pivotField>
    <pivotField showAll="0"/>
    <pivotField showAll="0"/>
    <pivotField showAll="0"/>
    <pivotField showAll="0"/>
    <pivotField showAll="0"/>
    <pivotField showAll="0"/>
    <pivotField showAll="0"/>
  </pivotFields>
  <rowFields count="1">
    <field x="3"/>
  </rowFields>
  <rowItems count="3">
    <i>
      <x/>
    </i>
    <i>
      <x v="1"/>
    </i>
    <i t="grand">
      <x/>
    </i>
  </rowItems>
  <colFields count="1">
    <field x="1"/>
  </colFields>
  <colItems count="3">
    <i>
      <x/>
    </i>
    <i>
      <x v="1"/>
    </i>
    <i t="grand">
      <x/>
    </i>
  </colItems>
  <dataFields count="1">
    <dataField name="Count of Survival Status" fld="1" subtotal="count" baseField="0" baseItem="0"/>
  </dataFields>
  <chartFormats count="2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3">
          <reference field="4294967294" count="1" selected="0">
            <x v="0"/>
          </reference>
          <reference field="1" count="1" selected="0">
            <x v="0"/>
          </reference>
          <reference field="3" count="1" selected="0">
            <x v="0"/>
          </reference>
        </references>
      </pivotArea>
    </chartFormat>
    <chartFormat chart="1" format="3">
      <pivotArea type="data" outline="0" fieldPosition="0">
        <references count="3">
          <reference field="4294967294" count="1" selected="0">
            <x v="0"/>
          </reference>
          <reference field="1" count="1" selected="0">
            <x v="0"/>
          </reference>
          <reference field="3" count="1" selected="0">
            <x v="1"/>
          </reference>
        </references>
      </pivotArea>
    </chartFormat>
    <chartFormat chart="1" format="4">
      <pivotArea type="data" outline="0" fieldPosition="0">
        <references count="3">
          <reference field="4294967294" count="1" selected="0">
            <x v="0"/>
          </reference>
          <reference field="1" count="1" selected="0">
            <x v="1"/>
          </reference>
          <reference field="3" count="1" selected="0">
            <x v="0"/>
          </reference>
        </references>
      </pivotArea>
    </chartFormat>
    <chartFormat chart="1" format="5">
      <pivotArea type="data" outline="0" fieldPosition="0">
        <references count="3">
          <reference field="4294967294" count="1" selected="0">
            <x v="0"/>
          </reference>
          <reference field="1" count="1" selected="0">
            <x v="1"/>
          </reference>
          <reference field="3" count="1" selected="0">
            <x v="1"/>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3">
          <reference field="4294967294" count="1" selected="0">
            <x v="0"/>
          </reference>
          <reference field="1" count="1" selected="0">
            <x v="0"/>
          </reference>
          <reference field="3" count="1" selected="0">
            <x v="0"/>
          </reference>
        </references>
      </pivotArea>
    </chartFormat>
    <chartFormat chart="2" format="8">
      <pivotArea type="data" outline="0" fieldPosition="0">
        <references count="3">
          <reference field="4294967294" count="1" selected="0">
            <x v="0"/>
          </reference>
          <reference field="1" count="1" selected="0">
            <x v="0"/>
          </reference>
          <reference field="3" count="1" selected="0">
            <x v="1"/>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3">
          <reference field="4294967294" count="1" selected="0">
            <x v="0"/>
          </reference>
          <reference field="1" count="1" selected="0">
            <x v="1"/>
          </reference>
          <reference field="3" count="1" selected="0">
            <x v="0"/>
          </reference>
        </references>
      </pivotArea>
    </chartFormat>
    <chartFormat chart="2" format="11">
      <pivotArea type="data" outline="0" fieldPosition="0">
        <references count="3">
          <reference field="4294967294" count="1" selected="0">
            <x v="0"/>
          </reference>
          <reference field="1" count="1" selected="0">
            <x v="1"/>
          </reference>
          <reference field="3" count="1" selected="0">
            <x v="1"/>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pivotArea type="data" outline="0" fieldPosition="0">
        <references count="3">
          <reference field="4294967294" count="1" selected="0">
            <x v="0"/>
          </reference>
          <reference field="1" count="1" selected="0">
            <x v="0"/>
          </reference>
          <reference field="3" count="1" selected="0">
            <x v="0"/>
          </reference>
        </references>
      </pivotArea>
    </chartFormat>
    <chartFormat chart="4" format="14">
      <pivotArea type="data" outline="0" fieldPosition="0">
        <references count="3">
          <reference field="4294967294" count="1" selected="0">
            <x v="0"/>
          </reference>
          <reference field="1" count="1" selected="0">
            <x v="0"/>
          </reference>
          <reference field="3" count="1" selected="0">
            <x v="1"/>
          </reference>
        </references>
      </pivotArea>
    </chartFormat>
    <chartFormat chart="4" format="15" series="1">
      <pivotArea type="data" outline="0" fieldPosition="0">
        <references count="2">
          <reference field="4294967294" count="1" selected="0">
            <x v="0"/>
          </reference>
          <reference field="1" count="1" selected="0">
            <x v="1"/>
          </reference>
        </references>
      </pivotArea>
    </chartFormat>
    <chartFormat chart="4" format="16">
      <pivotArea type="data" outline="0" fieldPosition="0">
        <references count="3">
          <reference field="4294967294" count="1" selected="0">
            <x v="0"/>
          </reference>
          <reference field="1" count="1" selected="0">
            <x v="1"/>
          </reference>
          <reference field="3" count="1" selected="0">
            <x v="0"/>
          </reference>
        </references>
      </pivotArea>
    </chartFormat>
    <chartFormat chart="4" format="17">
      <pivotArea type="data" outline="0" fieldPosition="0">
        <references count="3">
          <reference field="4294967294" count="1" selected="0">
            <x v="0"/>
          </reference>
          <reference field="1" count="1" selected="0">
            <x v="1"/>
          </reference>
          <reference field="3" count="1" selected="0">
            <x v="1"/>
          </reference>
        </references>
      </pivotArea>
    </chartFormat>
    <chartFormat chart="3" format="18" series="1">
      <pivotArea type="data" outline="0" fieldPosition="0">
        <references count="2">
          <reference field="4294967294" count="1" selected="0">
            <x v="0"/>
          </reference>
          <reference field="1" count="1" selected="0">
            <x v="0"/>
          </reference>
        </references>
      </pivotArea>
    </chartFormat>
    <chartFormat chart="3" format="19">
      <pivotArea type="data" outline="0" fieldPosition="0">
        <references count="3">
          <reference field="4294967294" count="1" selected="0">
            <x v="0"/>
          </reference>
          <reference field="1" count="1" selected="0">
            <x v="0"/>
          </reference>
          <reference field="3" count="1" selected="0">
            <x v="0"/>
          </reference>
        </references>
      </pivotArea>
    </chartFormat>
    <chartFormat chart="3" format="20">
      <pivotArea type="data" outline="0" fieldPosition="0">
        <references count="3">
          <reference field="4294967294" count="1" selected="0">
            <x v="0"/>
          </reference>
          <reference field="1" count="1" selected="0">
            <x v="0"/>
          </reference>
          <reference field="3" count="1" selected="0">
            <x v="1"/>
          </reference>
        </references>
      </pivotArea>
    </chartFormat>
    <chartFormat chart="3" format="21" series="1">
      <pivotArea type="data" outline="0" fieldPosition="0">
        <references count="2">
          <reference field="4294967294" count="1" selected="0">
            <x v="0"/>
          </reference>
          <reference field="1" count="1" selected="0">
            <x v="1"/>
          </reference>
        </references>
      </pivotArea>
    </chartFormat>
    <chartFormat chart="3" format="22">
      <pivotArea type="data" outline="0" fieldPosition="0">
        <references count="3">
          <reference field="4294967294" count="1" selected="0">
            <x v="0"/>
          </reference>
          <reference field="1" count="1" selected="0">
            <x v="1"/>
          </reference>
          <reference field="3" count="1" selected="0">
            <x v="0"/>
          </reference>
        </references>
      </pivotArea>
    </chartFormat>
    <chartFormat chart="3" format="23">
      <pivotArea type="data" outline="0" fieldPosition="0">
        <references count="3">
          <reference field="4294967294" count="1" selected="0">
            <x v="0"/>
          </reference>
          <reference field="1" count="1" selected="0">
            <x v="1"/>
          </reference>
          <reference field="3" count="1" selected="0">
            <x v="1"/>
          </reference>
        </references>
      </pivotArea>
    </chartFormat>
    <chartFormat chart="3" format="24"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239AA7-8976-4577-9939-688A9A2AE1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8:D73" firstHeaderRow="1" firstDataRow="2" firstDataCol="1"/>
  <pivotFields count="18">
    <pivotField showAll="0">
      <items count="4">
        <item x="0"/>
        <item x="1"/>
        <item x="2"/>
        <item t="default"/>
      </items>
    </pivotField>
    <pivotField axis="axisCol" dataField="1" showAll="0">
      <items count="3">
        <item x="1"/>
        <item x="0"/>
        <item t="default"/>
      </items>
    </pivotField>
    <pivotField showAll="0"/>
    <pivotField showAll="0">
      <items count="3">
        <item x="0"/>
        <item x="1"/>
        <item t="default"/>
      </items>
    </pivotField>
    <pivotField showAll="0"/>
    <pivotField showAll="0">
      <items count="6">
        <item x="2"/>
        <item x="1"/>
        <item x="3"/>
        <item x="4"/>
        <item x="0"/>
        <item t="default"/>
      </items>
    </pivotField>
    <pivotField showAll="0"/>
    <pivotField showAll="0"/>
    <pivotField showAll="0"/>
    <pivotField numFmtId="164" showAll="0"/>
    <pivotField axis="axisRow" showAll="0">
      <items count="4">
        <item x="0"/>
        <item x="2"/>
        <item x="1"/>
        <item t="default"/>
      </items>
    </pivotField>
    <pivotField showAll="0"/>
    <pivotField showAll="0"/>
    <pivotField showAll="0"/>
    <pivotField showAll="0"/>
    <pivotField showAll="0"/>
    <pivotField showAll="0"/>
    <pivotField showAll="0"/>
  </pivotFields>
  <rowFields count="1">
    <field x="10"/>
  </rowFields>
  <rowItems count="4">
    <i>
      <x/>
    </i>
    <i>
      <x v="1"/>
    </i>
    <i>
      <x v="2"/>
    </i>
    <i t="grand">
      <x/>
    </i>
  </rowItems>
  <colFields count="1">
    <field x="1"/>
  </colFields>
  <colItems count="3">
    <i>
      <x/>
    </i>
    <i>
      <x v="1"/>
    </i>
    <i t="grand">
      <x/>
    </i>
  </colItems>
  <dataFields count="1">
    <dataField name="Count of Survival Status"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3">
          <reference field="4294967294" count="1" selected="0">
            <x v="0"/>
          </reference>
          <reference field="1" count="1" selected="0">
            <x v="0"/>
          </reference>
          <reference field="10" count="1" selected="0">
            <x v="0"/>
          </reference>
        </references>
      </pivotArea>
    </chartFormat>
    <chartFormat chart="3" format="7">
      <pivotArea type="data" outline="0" fieldPosition="0">
        <references count="3">
          <reference field="4294967294" count="1" selected="0">
            <x v="0"/>
          </reference>
          <reference field="1" count="1" selected="0">
            <x v="0"/>
          </reference>
          <reference field="10" count="1" selected="0">
            <x v="1"/>
          </reference>
        </references>
      </pivotArea>
    </chartFormat>
    <chartFormat chart="3" format="8">
      <pivotArea type="data" outline="0" fieldPosition="0">
        <references count="3">
          <reference field="4294967294" count="1" selected="0">
            <x v="0"/>
          </reference>
          <reference field="1" count="1" selected="0">
            <x v="0"/>
          </reference>
          <reference field="10" count="1" selected="0">
            <x v="2"/>
          </reference>
        </references>
      </pivotArea>
    </chartFormat>
    <chartFormat chart="3" format="9"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F6CC64-7224-41AA-A466-84CD03B13C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18">
    <pivotField axis="axisRow" showAll="0">
      <items count="4">
        <item x="0"/>
        <item x="1"/>
        <item x="2"/>
        <item t="default"/>
      </items>
    </pivotField>
    <pivotField axis="axisCol" dataField="1" showAll="0">
      <items count="3">
        <item x="1"/>
        <item x="0"/>
        <item t="default"/>
      </items>
    </pivotField>
    <pivotField showAll="0"/>
    <pivotField showAll="0">
      <items count="3">
        <item x="0"/>
        <item x="1"/>
        <item t="default"/>
      </items>
    </pivotField>
    <pivotField showAll="0"/>
    <pivotField showAll="0">
      <items count="6">
        <item x="2"/>
        <item x="1"/>
        <item x="3"/>
        <item x="4"/>
        <item x="0"/>
        <item t="default"/>
      </items>
    </pivotField>
    <pivotField showAll="0"/>
    <pivotField showAll="0"/>
    <pivotField showAll="0"/>
    <pivotField numFmtId="164" showAll="0"/>
    <pivotField showAll="0">
      <items count="4">
        <item x="0"/>
        <item x="2"/>
        <item x="1"/>
        <item t="default"/>
      </items>
    </pivotField>
    <pivotField showAll="0"/>
    <pivotField showAll="0"/>
    <pivotField showAll="0"/>
    <pivotField showAll="0"/>
    <pivotField showAll="0"/>
    <pivotField showAll="0"/>
    <pivotField showAll="0"/>
  </pivotFields>
  <rowFields count="1">
    <field x="0"/>
  </rowFields>
  <rowItems count="4">
    <i>
      <x/>
    </i>
    <i>
      <x v="1"/>
    </i>
    <i>
      <x v="2"/>
    </i>
    <i t="grand">
      <x/>
    </i>
  </rowItems>
  <colFields count="1">
    <field x="1"/>
  </colFields>
  <colItems count="3">
    <i>
      <x/>
    </i>
    <i>
      <x v="1"/>
    </i>
    <i t="grand">
      <x/>
    </i>
  </colItems>
  <dataFields count="1">
    <dataField name="Count of Survival Status"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0"/>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3">
          <reference field="4294967294" count="1" selected="0">
            <x v="0"/>
          </reference>
          <reference field="0" count="1" selected="0">
            <x v="2"/>
          </reference>
          <reference field="1" count="1" selected="0">
            <x v="0"/>
          </reference>
        </references>
      </pivotArea>
    </chartFormat>
    <chartFormat chart="4" format="8">
      <pivotArea type="data" outline="0" fieldPosition="0">
        <references count="3">
          <reference field="4294967294" count="1" selected="0">
            <x v="0"/>
          </reference>
          <reference field="0" count="1" selected="0">
            <x v="1"/>
          </reference>
          <reference field="1" count="1" selected="0">
            <x v="0"/>
          </reference>
        </references>
      </pivotArea>
    </chartFormat>
    <chartFormat chart="4" format="9">
      <pivotArea type="data" outline="0" fieldPosition="0">
        <references count="3">
          <reference field="4294967294" count="1" selected="0">
            <x v="0"/>
          </reference>
          <reference field="0" count="1" selected="0">
            <x v="0"/>
          </reference>
          <reference field="1" count="1" selected="0">
            <x v="0"/>
          </reference>
        </references>
      </pivotArea>
    </chartFormat>
    <chartFormat chart="4" format="10">
      <pivotArea type="data" outline="0" fieldPosition="0">
        <references count="3">
          <reference field="4294967294" count="1" selected="0">
            <x v="0"/>
          </reference>
          <reference field="0" count="1" selected="0">
            <x v="0"/>
          </reference>
          <reference field="1" count="1" selected="0">
            <x v="1"/>
          </reference>
        </references>
      </pivotArea>
    </chartFormat>
    <chartFormat chart="4" format="11">
      <pivotArea type="data" outline="0" fieldPosition="0">
        <references count="3">
          <reference field="4294967294" count="1" selected="0">
            <x v="0"/>
          </reference>
          <reference field="0" count="1" selected="0">
            <x v="1"/>
          </reference>
          <reference field="1" count="1" selected="0">
            <x v="1"/>
          </reference>
        </references>
      </pivotArea>
    </chartFormat>
    <chartFormat chart="4" format="12">
      <pivotArea type="data" outline="0" fieldPosition="0">
        <references count="3">
          <reference field="4294967294" count="1" selected="0">
            <x v="0"/>
          </reference>
          <reference field="0" count="1" selected="0">
            <x v="2"/>
          </reference>
          <reference field="1" count="1" selected="0">
            <x v="1"/>
          </reference>
        </references>
      </pivotArea>
    </chartFormat>
    <chartFormat chart="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enger_Class" xr10:uid="{64D91D1C-9F83-4129-ABE4-186B2A4C401A}" sourceName="Passenger Class">
  <pivotTables>
    <pivotTable tabId="7" name="PivotTable1"/>
    <pivotTable tabId="7" name="PivotTable2"/>
    <pivotTable tabId="7" name="PivotTable3"/>
    <pivotTable tabId="7" name="PivotTable4"/>
    <pivotTable tabId="7" name="PivotTable6"/>
    <pivotTable tabId="7" name="PivotTable9"/>
  </pivotTables>
  <data>
    <tabular pivotCacheId="151104533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al_Status" xr10:uid="{0BC25E24-7D87-46B0-9130-7FBD7098A0F5}" sourceName="Survival Status">
  <pivotTables>
    <pivotTable tabId="7" name="PivotTable1"/>
  </pivotTables>
  <data>
    <tabular pivotCacheId="151104533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C83D4D-18A0-4A4C-ABC6-8882BB7D39A7}" sourceName="Gender">
  <pivotTables>
    <pivotTable tabId="7" name="PivotTable1"/>
    <pivotTable tabId="7" name="PivotTable2"/>
    <pivotTable tabId="7" name="PivotTable3"/>
    <pivotTable tabId="7" name="PivotTable4"/>
    <pivotTable tabId="7" name="PivotTable6"/>
    <pivotTable tabId="7" name="PivotTable9"/>
  </pivotTables>
  <data>
    <tabular pivotCacheId="151104533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ade" xr10:uid="{ECDF1DE8-5874-421A-B9A3-E56CE07F60A4}" sourceName="Age Grade">
  <pivotTables>
    <pivotTable tabId="7" name="PivotTable1"/>
    <pivotTable tabId="7" name="PivotTable2"/>
    <pivotTable tabId="7" name="PivotTable3"/>
    <pivotTable tabId="7" name="PivotTable4"/>
    <pivotTable tabId="7" name="PivotTable6"/>
    <pivotTable tabId="7" name="PivotTable9"/>
  </pivotTables>
  <data>
    <tabular pivotCacheId="1511045330">
      <items count="5">
        <i x="2" s="1"/>
        <i x="1"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re_Range" xr10:uid="{A5ED35A4-5FF5-48CE-9024-2D9357472E14}" sourceName="Fare Range">
  <pivotTables>
    <pivotTable tabId="7" name="PivotTable1"/>
    <pivotTable tabId="7" name="PivotTable2"/>
    <pivotTable tabId="7" name="PivotTable3"/>
    <pivotTable tabId="7" name="PivotTable4"/>
    <pivotTable tabId="7" name="PivotTable6"/>
    <pivotTable tabId="7" name="PivotTable9"/>
  </pivotTables>
  <data>
    <tabular pivotCacheId="15110453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ssenger Class" xr10:uid="{549C1B1C-B804-4E09-A85A-21187D296B00}" cache="Slicer_Passenger_Class" caption="Passenger Class" rowHeight="247650"/>
  <slicer name="Survival Status" xr10:uid="{AE2E32EA-A3B7-4652-A508-65FAC4F3A5D9}" cache="Slicer_Survival_Status" caption="Survival Status" rowHeight="247650"/>
  <slicer name="Gender" xr10:uid="{24AA9B37-A56F-4868-B7D3-87FDF0D39C46}" cache="Slicer_Gender" caption="Gender" rowHeight="247650"/>
  <slicer name="Age Grade" xr10:uid="{E26D5102-6C9F-428B-A671-47560A3F6EF2}" cache="Slicer_Age_Grade" caption="Age Grade" rowHeight="247650"/>
  <slicer name="Fare Range" xr10:uid="{9FC31A30-B219-40EA-9803-9B97D15E3747}" cache="Slicer_Fare_Range" caption="Fare Rang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ssenger Class 1" xr10:uid="{4E439CA1-FA14-48D9-96B5-6000D92D6C72}" cache="Slicer_Passenger_Class" caption="Passenger Class" startItem="1" style="SlicerStyleOther1" rowHeight="247650"/>
  <slicer name="Gender 1" xr10:uid="{0BD0F162-D262-41D8-B2A6-E74C2BEBFC5D}" cache="Slicer_Gender" caption="Gender" style="SlicerStyleOther1" rowHeight="247650"/>
  <slicer name="Age Grade 1" xr10:uid="{A07ED8BA-99CD-437C-B93D-03F9CC75FCCF}" cache="Slicer_Age_Grade" caption="Age Grade" startItem="3" style="SlicerStyleOther1" rowHeight="247650"/>
  <slicer name="Fare Range 1" xr10:uid="{25C800F5-03DA-453D-BC64-3CA96DDF46A9}" cache="Slicer_Fare_Range" caption="Fare Range"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A8B73E-AEBB-42F2-BB06-872716F5EF4D}" name="Table1" displayName="Table1" ref="A1:Q324" totalsRowShown="0">
  <tableColumns count="17">
    <tableColumn id="1" xr3:uid="{F92C5CDA-93DE-45CF-BA6B-6576B706A1D9}" name="Passenger Class"/>
    <tableColumn id="2" xr3:uid="{31DCE2C0-38C4-43ED-B259-64B570501A26}" name="Survival Status"/>
    <tableColumn id="3" xr3:uid="{C3C59C94-65F5-48F9-950F-B49770AB4EE6}" name="Full Name"/>
    <tableColumn id="4" xr3:uid="{AEDA166C-FBD9-4A2A-A919-7AFD2DAC85F6}" name="Gender"/>
    <tableColumn id="5" xr3:uid="{098B97A0-A7BE-4CD3-8AE7-0D1931FB2C58}" name="Age"/>
    <tableColumn id="6" xr3:uid="{E1AF76BE-2017-4862-AFF3-8C7D8641D5BD}" name="Age Grade"/>
    <tableColumn id="7" xr3:uid="{8A63F650-B651-4818-8669-3DFD79DF7875}" name="Parent/Children"/>
    <tableColumn id="8" xr3:uid="{ECBDB5E9-6B5F-4B96-89DF-78688B30E6E3}" name="Sibling/Spouse"/>
    <tableColumn id="9" xr3:uid="{AFDD514E-6E87-46FD-9F02-C72A8D87E0F0}" name="Ticket"/>
    <tableColumn id="10" xr3:uid="{12E313D4-00D6-4294-AA06-3E412D6F84AB}" name="Fare"/>
    <tableColumn id="11" xr3:uid="{2836096A-A82E-47B9-B49E-177FC1C54EA1}" name="Cabin"/>
    <tableColumn id="12" xr3:uid="{BF038523-66AE-451D-B9BF-01E781A00851}" name="Decks"/>
    <tableColumn id="13" xr3:uid="{6A32A7EC-CD08-4EFB-B463-25E68F609CFE}" name="Embarked"/>
    <tableColumn id="14" xr3:uid="{502F63CB-5F86-4B5E-A06D-1A936D6D8404}" name="Boat"/>
    <tableColumn id="15" xr3:uid="{20818A1E-17B6-43F0-BB47-1009CCB86228}" name="Body"/>
    <tableColumn id="16" xr3:uid="{E0113DBE-92D4-4981-B8EE-A859875BE094}" name="Body Count"/>
    <tableColumn id="17" xr3:uid="{FC25CFCD-960C-43A8-A414-28238853E182}" name="home.de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6B7E04-1446-4019-B559-B6E31AC5E298}" name="Table2" displayName="Table2" ref="A1:R324" totalsRowShown="0">
  <tableColumns count="18">
    <tableColumn id="1" xr3:uid="{6F6501AF-F168-42BC-A2D6-C128CB46FD80}" name="Passenger Class"/>
    <tableColumn id="2" xr3:uid="{38705A09-0184-4C02-AA6D-BB8A1EF99173}" name="Survival Status"/>
    <tableColumn id="3" xr3:uid="{3FC1F958-5A0E-4D2A-8460-59FCA7161F89}" name="Full Name"/>
    <tableColumn id="4" xr3:uid="{F620EB22-F062-433C-B925-DA188371EED8}" name="Gender"/>
    <tableColumn id="5" xr3:uid="{0C185B54-3E16-42EB-938A-C3936DA64E30}" name="Age"/>
    <tableColumn id="6" xr3:uid="{1C1589D4-CE01-4C98-BD1F-6A9C1797F6B8}" name="Age Grade"/>
    <tableColumn id="7" xr3:uid="{B19B3A81-B8FC-43A2-8D9A-3B5530B4C8BB}" name="Parent/Children"/>
    <tableColumn id="8" xr3:uid="{CD9841B7-94F1-49AD-B80B-4D1F7B060210}" name="Sibling/Spouse"/>
    <tableColumn id="9" xr3:uid="{5856BB06-A98E-4601-A5CF-3E09947E729A}" name="Ticket"/>
    <tableColumn id="10" xr3:uid="{9D3FD06D-2A36-40EE-8670-C425E6E10B79}" name="Fare"/>
    <tableColumn id="11" xr3:uid="{C0A24427-63EB-4DB8-B5A8-287E64AEE6DE}" name="Fare Range"/>
    <tableColumn id="12" xr3:uid="{633E857F-B3CA-4565-9BD9-ABE463B91A86}" name="Cabin"/>
    <tableColumn id="13" xr3:uid="{B629D7C5-A512-4179-83FA-941C4A74E234}" name="Decks"/>
    <tableColumn id="14" xr3:uid="{C3BF3121-34B7-4F6B-A96D-E26011084140}" name="Embarked"/>
    <tableColumn id="15" xr3:uid="{B861907D-877A-4325-AAF5-0D8B7FED3E8D}" name="Boat"/>
    <tableColumn id="16" xr3:uid="{25339284-247E-458F-9E07-600044125733}" name="Body"/>
    <tableColumn id="17" xr3:uid="{1AEB4E44-9B68-46CB-97EF-F80E4A8D012F}" name="Body Count"/>
    <tableColumn id="18" xr3:uid="{B33C9BF5-6142-4B84-9CE6-37EBB00A658A}" name="home.de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spPr>
      <a:bodyPr vertOverflow="clip" horzOverflow="clip" rtlCol="0" anchor="t"/>
      <a:lstStyle>
        <a:defPPr algn="l">
          <a:defRPr sz="1100">
            <a:solidFill>
              <a:sysClr val="windowText" lastClr="000000"/>
            </a:solidFill>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2338F-A1B0-47D9-B892-BD77F0029E11}">
  <dimension ref="A1:Q324"/>
  <sheetViews>
    <sheetView workbookViewId="0">
      <selection sqref="A1:XFD1048576"/>
    </sheetView>
  </sheetViews>
  <sheetFormatPr defaultRowHeight="13.8"/>
  <cols>
    <col min="1" max="1" width="16.19921875" customWidth="1"/>
    <col min="2" max="2" width="15.19921875" customWidth="1"/>
    <col min="3" max="3" width="11.296875" customWidth="1"/>
    <col min="4" max="4" width="9" customWidth="1"/>
    <col min="6" max="6" width="11.296875" customWidth="1"/>
    <col min="7" max="7" width="16.09765625" customWidth="1"/>
    <col min="8" max="8" width="15.3984375" customWidth="1"/>
    <col min="13" max="13" width="11.3984375" customWidth="1"/>
    <col min="16" max="16" width="12.19921875" customWidth="1"/>
    <col min="17" max="17" width="11.796875" customWidth="1"/>
  </cols>
  <sheetData>
    <row r="1" spans="1:17">
      <c r="A1" t="s">
        <v>835</v>
      </c>
      <c r="B1" t="s">
        <v>839</v>
      </c>
      <c r="C1" t="s">
        <v>2252</v>
      </c>
      <c r="D1" t="s">
        <v>3550</v>
      </c>
      <c r="E1" t="s">
        <v>21</v>
      </c>
      <c r="F1" t="s">
        <v>3558</v>
      </c>
      <c r="G1" t="s">
        <v>3554</v>
      </c>
      <c r="H1" t="s">
        <v>3553</v>
      </c>
      <c r="I1" t="s">
        <v>28</v>
      </c>
      <c r="J1" t="s">
        <v>31</v>
      </c>
      <c r="K1" t="s">
        <v>33</v>
      </c>
      <c r="L1" t="s">
        <v>3562</v>
      </c>
      <c r="M1" t="s">
        <v>36</v>
      </c>
      <c r="N1" t="s">
        <v>3568</v>
      </c>
      <c r="O1" t="s">
        <v>3575</v>
      </c>
      <c r="P1" t="s">
        <v>3572</v>
      </c>
      <c r="Q1" t="s">
        <v>46</v>
      </c>
    </row>
    <row r="2" spans="1:17">
      <c r="A2" t="s">
        <v>836</v>
      </c>
      <c r="B2" t="s">
        <v>9</v>
      </c>
      <c r="C2" t="s">
        <v>2253</v>
      </c>
      <c r="D2" t="s">
        <v>3551</v>
      </c>
      <c r="E2">
        <v>29</v>
      </c>
      <c r="F2" t="s">
        <v>3555</v>
      </c>
      <c r="G2">
        <v>0</v>
      </c>
      <c r="H2">
        <v>1</v>
      </c>
      <c r="I2">
        <v>24160</v>
      </c>
      <c r="J2">
        <v>211.33750000000001</v>
      </c>
      <c r="K2" t="s">
        <v>48</v>
      </c>
      <c r="L2" t="s">
        <v>70</v>
      </c>
      <c r="M2" t="s">
        <v>457</v>
      </c>
      <c r="N2">
        <v>2</v>
      </c>
      <c r="O2" t="s">
        <v>3573</v>
      </c>
      <c r="P2" t="s">
        <v>3573</v>
      </c>
      <c r="Q2" t="s">
        <v>49</v>
      </c>
    </row>
    <row r="3" spans="1:17">
      <c r="A3" t="s">
        <v>836</v>
      </c>
      <c r="B3" t="s">
        <v>9</v>
      </c>
      <c r="C3" t="s">
        <v>2254</v>
      </c>
      <c r="D3" t="s">
        <v>3552</v>
      </c>
      <c r="E3">
        <v>1</v>
      </c>
      <c r="F3" t="s">
        <v>3556</v>
      </c>
      <c r="G3">
        <v>2</v>
      </c>
      <c r="H3">
        <v>1</v>
      </c>
      <c r="I3">
        <v>113781</v>
      </c>
      <c r="J3">
        <v>151.55000000000001</v>
      </c>
      <c r="K3" t="s">
        <v>50</v>
      </c>
      <c r="L3" t="s">
        <v>62</v>
      </c>
      <c r="M3" t="s">
        <v>457</v>
      </c>
      <c r="N3">
        <v>11</v>
      </c>
      <c r="O3" t="s">
        <v>3573</v>
      </c>
      <c r="P3" t="s">
        <v>3573</v>
      </c>
      <c r="Q3" t="s">
        <v>51</v>
      </c>
    </row>
    <row r="4" spans="1:17">
      <c r="A4" t="s">
        <v>836</v>
      </c>
      <c r="B4" t="s">
        <v>840</v>
      </c>
      <c r="C4" t="s">
        <v>2255</v>
      </c>
      <c r="D4" t="s">
        <v>3551</v>
      </c>
      <c r="E4">
        <v>2</v>
      </c>
      <c r="F4" t="s">
        <v>3556</v>
      </c>
      <c r="G4">
        <v>2</v>
      </c>
      <c r="H4">
        <v>1</v>
      </c>
      <c r="I4">
        <v>113781</v>
      </c>
      <c r="J4">
        <v>151.55000000000001</v>
      </c>
      <c r="K4" t="s">
        <v>50</v>
      </c>
      <c r="L4" t="s">
        <v>62</v>
      </c>
      <c r="M4" t="s">
        <v>457</v>
      </c>
      <c r="N4" t="s">
        <v>3569</v>
      </c>
      <c r="O4" t="s">
        <v>3573</v>
      </c>
      <c r="P4" t="s">
        <v>3573</v>
      </c>
      <c r="Q4" t="s">
        <v>51</v>
      </c>
    </row>
    <row r="5" spans="1:17">
      <c r="A5" t="s">
        <v>836</v>
      </c>
      <c r="B5" t="s">
        <v>840</v>
      </c>
      <c r="C5" t="s">
        <v>2256</v>
      </c>
      <c r="D5" t="s">
        <v>3552</v>
      </c>
      <c r="E5">
        <v>30</v>
      </c>
      <c r="F5" t="s">
        <v>3557</v>
      </c>
      <c r="G5">
        <v>2</v>
      </c>
      <c r="H5">
        <v>1</v>
      </c>
      <c r="I5">
        <v>113781</v>
      </c>
      <c r="J5">
        <v>151.55000000000001</v>
      </c>
      <c r="K5" t="s">
        <v>50</v>
      </c>
      <c r="L5" t="s">
        <v>62</v>
      </c>
      <c r="M5" t="s">
        <v>457</v>
      </c>
      <c r="N5" t="s">
        <v>3569</v>
      </c>
      <c r="O5">
        <v>135</v>
      </c>
      <c r="P5" t="s">
        <v>3574</v>
      </c>
      <c r="Q5" t="s">
        <v>51</v>
      </c>
    </row>
    <row r="6" spans="1:17">
      <c r="A6" t="s">
        <v>836</v>
      </c>
      <c r="B6" t="s">
        <v>840</v>
      </c>
      <c r="C6" t="s">
        <v>2257</v>
      </c>
      <c r="D6" t="s">
        <v>3551</v>
      </c>
      <c r="E6">
        <v>25</v>
      </c>
      <c r="F6" t="s">
        <v>3555</v>
      </c>
      <c r="G6">
        <v>2</v>
      </c>
      <c r="H6">
        <v>1</v>
      </c>
      <c r="I6">
        <v>113781</v>
      </c>
      <c r="J6">
        <v>151.55000000000001</v>
      </c>
      <c r="K6" t="s">
        <v>50</v>
      </c>
      <c r="L6" t="s">
        <v>62</v>
      </c>
      <c r="M6" t="s">
        <v>457</v>
      </c>
      <c r="N6" t="s">
        <v>3569</v>
      </c>
      <c r="O6" t="s">
        <v>3573</v>
      </c>
      <c r="P6" t="s">
        <v>3573</v>
      </c>
      <c r="Q6" t="s">
        <v>51</v>
      </c>
    </row>
    <row r="7" spans="1:17">
      <c r="A7" t="s">
        <v>836</v>
      </c>
      <c r="B7" t="s">
        <v>9</v>
      </c>
      <c r="C7" t="s">
        <v>2258</v>
      </c>
      <c r="D7" t="s">
        <v>3552</v>
      </c>
      <c r="E7">
        <v>48</v>
      </c>
      <c r="F7" t="s">
        <v>3557</v>
      </c>
      <c r="G7">
        <v>0</v>
      </c>
      <c r="H7">
        <v>0</v>
      </c>
      <c r="I7">
        <v>19952</v>
      </c>
      <c r="J7">
        <v>26.55</v>
      </c>
      <c r="K7" t="s">
        <v>52</v>
      </c>
      <c r="L7" t="s">
        <v>3564</v>
      </c>
      <c r="M7" t="s">
        <v>457</v>
      </c>
      <c r="N7">
        <v>3</v>
      </c>
      <c r="O7" t="s">
        <v>3573</v>
      </c>
      <c r="P7" t="s">
        <v>3573</v>
      </c>
      <c r="Q7" t="s">
        <v>53</v>
      </c>
    </row>
    <row r="8" spans="1:17">
      <c r="A8" t="s">
        <v>836</v>
      </c>
      <c r="B8" t="s">
        <v>9</v>
      </c>
      <c r="C8" t="s">
        <v>2259</v>
      </c>
      <c r="D8" t="s">
        <v>3551</v>
      </c>
      <c r="E8">
        <v>63</v>
      </c>
      <c r="F8" t="s">
        <v>3559</v>
      </c>
      <c r="G8">
        <v>0</v>
      </c>
      <c r="H8">
        <v>1</v>
      </c>
      <c r="I8">
        <v>13502</v>
      </c>
      <c r="J8">
        <v>77.958299999999994</v>
      </c>
      <c r="K8" t="s">
        <v>54</v>
      </c>
      <c r="L8" t="s">
        <v>59</v>
      </c>
      <c r="M8" t="s">
        <v>457</v>
      </c>
      <c r="N8">
        <v>10</v>
      </c>
      <c r="O8" t="s">
        <v>3573</v>
      </c>
      <c r="P8" t="s">
        <v>3573</v>
      </c>
      <c r="Q8" t="s">
        <v>55</v>
      </c>
    </row>
    <row r="9" spans="1:17">
      <c r="A9" t="s">
        <v>836</v>
      </c>
      <c r="B9" t="s">
        <v>840</v>
      </c>
      <c r="C9" t="s">
        <v>2260</v>
      </c>
      <c r="D9" t="s">
        <v>3552</v>
      </c>
      <c r="E9">
        <v>39</v>
      </c>
      <c r="F9" t="s">
        <v>3557</v>
      </c>
      <c r="G9">
        <v>0</v>
      </c>
      <c r="H9">
        <v>0</v>
      </c>
      <c r="I9">
        <v>112050</v>
      </c>
      <c r="J9">
        <v>0</v>
      </c>
      <c r="K9" t="s">
        <v>56</v>
      </c>
      <c r="L9" t="s">
        <v>78</v>
      </c>
      <c r="M9" t="s">
        <v>457</v>
      </c>
      <c r="N9" t="s">
        <v>3569</v>
      </c>
      <c r="O9" t="s">
        <v>3573</v>
      </c>
      <c r="P9" t="s">
        <v>3573</v>
      </c>
      <c r="Q9" t="s">
        <v>57</v>
      </c>
    </row>
    <row r="10" spans="1:17">
      <c r="A10" t="s">
        <v>836</v>
      </c>
      <c r="B10" t="s">
        <v>9</v>
      </c>
      <c r="C10" t="s">
        <v>2261</v>
      </c>
      <c r="D10" t="s">
        <v>3551</v>
      </c>
      <c r="E10">
        <v>53</v>
      </c>
      <c r="F10" t="s">
        <v>3557</v>
      </c>
      <c r="G10">
        <v>0</v>
      </c>
      <c r="H10">
        <v>2</v>
      </c>
      <c r="I10">
        <v>11769</v>
      </c>
      <c r="J10">
        <v>51.479199999999999</v>
      </c>
      <c r="K10" t="s">
        <v>58</v>
      </c>
      <c r="L10" t="s">
        <v>62</v>
      </c>
      <c r="M10" t="s">
        <v>457</v>
      </c>
      <c r="N10" t="s">
        <v>59</v>
      </c>
      <c r="O10" t="s">
        <v>3573</v>
      </c>
      <c r="P10" t="s">
        <v>3573</v>
      </c>
      <c r="Q10" t="s">
        <v>60</v>
      </c>
    </row>
    <row r="11" spans="1:17">
      <c r="A11" t="s">
        <v>836</v>
      </c>
      <c r="B11" t="s">
        <v>840</v>
      </c>
      <c r="C11" t="s">
        <v>2262</v>
      </c>
      <c r="D11" t="s">
        <v>3552</v>
      </c>
      <c r="E11">
        <v>71</v>
      </c>
      <c r="F11" t="s">
        <v>3559</v>
      </c>
      <c r="G11">
        <v>0</v>
      </c>
      <c r="H11">
        <v>0</v>
      </c>
      <c r="I11" t="s">
        <v>61</v>
      </c>
      <c r="J11">
        <v>49.504199999999997</v>
      </c>
      <c r="K11" t="s">
        <v>3561</v>
      </c>
      <c r="L11" t="s">
        <v>3561</v>
      </c>
      <c r="M11" t="s">
        <v>3566</v>
      </c>
      <c r="N11" t="s">
        <v>3569</v>
      </c>
      <c r="O11">
        <v>22</v>
      </c>
      <c r="P11" t="s">
        <v>3574</v>
      </c>
      <c r="Q11" t="s">
        <v>63</v>
      </c>
    </row>
    <row r="12" spans="1:17">
      <c r="A12" t="s">
        <v>836</v>
      </c>
      <c r="B12" t="s">
        <v>840</v>
      </c>
      <c r="C12" t="s">
        <v>2263</v>
      </c>
      <c r="D12" t="s">
        <v>3552</v>
      </c>
      <c r="E12">
        <v>47</v>
      </c>
      <c r="F12" t="s">
        <v>3557</v>
      </c>
      <c r="G12">
        <v>0</v>
      </c>
      <c r="H12">
        <v>1</v>
      </c>
      <c r="I12" t="s">
        <v>64</v>
      </c>
      <c r="J12">
        <v>227.52500000000001</v>
      </c>
      <c r="K12" t="s">
        <v>65</v>
      </c>
      <c r="L12" t="s">
        <v>62</v>
      </c>
      <c r="M12" t="s">
        <v>3566</v>
      </c>
      <c r="N12" t="s">
        <v>3569</v>
      </c>
      <c r="O12">
        <v>124</v>
      </c>
      <c r="P12" t="s">
        <v>3574</v>
      </c>
      <c r="Q12" t="s">
        <v>53</v>
      </c>
    </row>
    <row r="13" spans="1:17">
      <c r="A13" t="s">
        <v>836</v>
      </c>
      <c r="B13" t="s">
        <v>9</v>
      </c>
      <c r="C13" t="s">
        <v>2264</v>
      </c>
      <c r="D13" t="s">
        <v>3551</v>
      </c>
      <c r="E13">
        <v>18</v>
      </c>
      <c r="F13" t="s">
        <v>3555</v>
      </c>
      <c r="G13">
        <v>0</v>
      </c>
      <c r="H13">
        <v>1</v>
      </c>
      <c r="I13" t="s">
        <v>64</v>
      </c>
      <c r="J13">
        <v>227.52500000000001</v>
      </c>
      <c r="K13" t="s">
        <v>65</v>
      </c>
      <c r="L13" t="s">
        <v>62</v>
      </c>
      <c r="M13" t="s">
        <v>3566</v>
      </c>
      <c r="N13">
        <v>4</v>
      </c>
      <c r="O13" t="s">
        <v>3573</v>
      </c>
      <c r="P13" t="s">
        <v>3573</v>
      </c>
      <c r="Q13" t="s">
        <v>53</v>
      </c>
    </row>
    <row r="14" spans="1:17">
      <c r="A14" t="s">
        <v>836</v>
      </c>
      <c r="B14" t="s">
        <v>9</v>
      </c>
      <c r="C14" t="s">
        <v>2265</v>
      </c>
      <c r="D14" t="s">
        <v>3551</v>
      </c>
      <c r="E14">
        <v>24</v>
      </c>
      <c r="F14" t="s">
        <v>3555</v>
      </c>
      <c r="G14">
        <v>0</v>
      </c>
      <c r="H14">
        <v>0</v>
      </c>
      <c r="I14" t="s">
        <v>66</v>
      </c>
      <c r="J14">
        <v>69.3</v>
      </c>
      <c r="K14" t="s">
        <v>67</v>
      </c>
      <c r="L14" t="s">
        <v>70</v>
      </c>
      <c r="M14" t="s">
        <v>3566</v>
      </c>
      <c r="N14">
        <v>9</v>
      </c>
      <c r="O14" t="s">
        <v>3573</v>
      </c>
      <c r="P14" t="s">
        <v>3573</v>
      </c>
      <c r="Q14" t="s">
        <v>68</v>
      </c>
    </row>
    <row r="15" spans="1:17">
      <c r="A15" t="s">
        <v>836</v>
      </c>
      <c r="B15" t="s">
        <v>9</v>
      </c>
      <c r="C15" t="s">
        <v>2266</v>
      </c>
      <c r="D15" t="s">
        <v>3551</v>
      </c>
      <c r="E15">
        <v>26</v>
      </c>
      <c r="F15" t="s">
        <v>3555</v>
      </c>
      <c r="G15">
        <v>0</v>
      </c>
      <c r="H15">
        <v>0</v>
      </c>
      <c r="I15">
        <v>19877</v>
      </c>
      <c r="J15">
        <v>78.849999999999994</v>
      </c>
      <c r="K15" t="s">
        <v>3561</v>
      </c>
      <c r="L15" t="s">
        <v>3561</v>
      </c>
      <c r="M15" t="s">
        <v>457</v>
      </c>
      <c r="N15">
        <v>6</v>
      </c>
      <c r="O15" t="s">
        <v>3573</v>
      </c>
      <c r="P15" t="s">
        <v>3573</v>
      </c>
    </row>
    <row r="16" spans="1:17">
      <c r="A16" t="s">
        <v>836</v>
      </c>
      <c r="B16" t="s">
        <v>9</v>
      </c>
      <c r="C16" t="s">
        <v>2267</v>
      </c>
      <c r="D16" t="s">
        <v>3552</v>
      </c>
      <c r="E16">
        <v>80</v>
      </c>
      <c r="F16" t="s">
        <v>3559</v>
      </c>
      <c r="G16">
        <v>0</v>
      </c>
      <c r="H16">
        <v>0</v>
      </c>
      <c r="I16">
        <v>27042</v>
      </c>
      <c r="J16">
        <v>30</v>
      </c>
      <c r="K16" t="s">
        <v>69</v>
      </c>
      <c r="L16" t="s">
        <v>78</v>
      </c>
      <c r="M16" t="s">
        <v>457</v>
      </c>
      <c r="N16" t="s">
        <v>70</v>
      </c>
      <c r="O16" t="s">
        <v>3573</v>
      </c>
      <c r="P16" t="s">
        <v>3573</v>
      </c>
      <c r="Q16" t="s">
        <v>71</v>
      </c>
    </row>
    <row r="17" spans="1:17">
      <c r="A17" t="s">
        <v>836</v>
      </c>
      <c r="B17" t="s">
        <v>840</v>
      </c>
      <c r="C17" t="s">
        <v>2268</v>
      </c>
      <c r="D17" t="s">
        <v>3552</v>
      </c>
      <c r="E17">
        <v>28</v>
      </c>
      <c r="F17" t="s">
        <v>3555</v>
      </c>
      <c r="G17">
        <v>0</v>
      </c>
      <c r="H17">
        <v>0</v>
      </c>
      <c r="I17" t="s">
        <v>72</v>
      </c>
      <c r="J17">
        <v>25.925000000000001</v>
      </c>
      <c r="K17" t="s">
        <v>3561</v>
      </c>
      <c r="L17" t="s">
        <v>3561</v>
      </c>
      <c r="M17" t="s">
        <v>457</v>
      </c>
      <c r="N17" t="s">
        <v>3569</v>
      </c>
      <c r="O17" t="s">
        <v>3573</v>
      </c>
      <c r="P17" t="s">
        <v>3573</v>
      </c>
      <c r="Q17" t="s">
        <v>53</v>
      </c>
    </row>
    <row r="18" spans="1:17">
      <c r="A18" t="s">
        <v>836</v>
      </c>
      <c r="B18" t="s">
        <v>840</v>
      </c>
      <c r="C18" t="s">
        <v>2269</v>
      </c>
      <c r="D18" t="s">
        <v>3552</v>
      </c>
      <c r="E18">
        <v>24</v>
      </c>
      <c r="F18" t="s">
        <v>3555</v>
      </c>
      <c r="G18">
        <v>1</v>
      </c>
      <c r="H18">
        <v>0</v>
      </c>
      <c r="I18" t="s">
        <v>73</v>
      </c>
      <c r="J18">
        <v>247.52080000000001</v>
      </c>
      <c r="K18" t="s">
        <v>74</v>
      </c>
      <c r="L18" t="s">
        <v>70</v>
      </c>
      <c r="M18" t="s">
        <v>3566</v>
      </c>
      <c r="N18" t="s">
        <v>3569</v>
      </c>
      <c r="O18" t="s">
        <v>3573</v>
      </c>
      <c r="P18" t="s">
        <v>3573</v>
      </c>
      <c r="Q18" t="s">
        <v>75</v>
      </c>
    </row>
    <row r="19" spans="1:17">
      <c r="A19" t="s">
        <v>836</v>
      </c>
      <c r="B19" t="s">
        <v>9</v>
      </c>
      <c r="C19" t="s">
        <v>2270</v>
      </c>
      <c r="D19" t="s">
        <v>3551</v>
      </c>
      <c r="E19">
        <v>50</v>
      </c>
      <c r="F19" t="s">
        <v>3557</v>
      </c>
      <c r="G19">
        <v>1</v>
      </c>
      <c r="H19">
        <v>0</v>
      </c>
      <c r="I19" t="s">
        <v>73</v>
      </c>
      <c r="J19">
        <v>247.52080000000001</v>
      </c>
      <c r="K19" t="s">
        <v>74</v>
      </c>
      <c r="L19" t="s">
        <v>70</v>
      </c>
      <c r="M19" t="s">
        <v>3566</v>
      </c>
      <c r="N19">
        <v>6</v>
      </c>
      <c r="O19" t="s">
        <v>3573</v>
      </c>
      <c r="P19" t="s">
        <v>3573</v>
      </c>
      <c r="Q19" t="s">
        <v>75</v>
      </c>
    </row>
    <row r="20" spans="1:17">
      <c r="A20" t="s">
        <v>836</v>
      </c>
      <c r="B20" t="s">
        <v>9</v>
      </c>
      <c r="C20" t="s">
        <v>2271</v>
      </c>
      <c r="D20" t="s">
        <v>3551</v>
      </c>
      <c r="E20">
        <v>32</v>
      </c>
      <c r="F20" t="s">
        <v>3557</v>
      </c>
      <c r="G20">
        <v>0</v>
      </c>
      <c r="H20">
        <v>0</v>
      </c>
      <c r="I20">
        <v>11813</v>
      </c>
      <c r="J20">
        <v>76.291700000000006</v>
      </c>
      <c r="K20" t="s">
        <v>76</v>
      </c>
      <c r="L20" t="s">
        <v>59</v>
      </c>
      <c r="M20" t="s">
        <v>3566</v>
      </c>
      <c r="N20">
        <v>8</v>
      </c>
      <c r="O20" t="s">
        <v>3573</v>
      </c>
      <c r="P20" t="s">
        <v>3573</v>
      </c>
    </row>
    <row r="21" spans="1:17">
      <c r="A21" t="s">
        <v>836</v>
      </c>
      <c r="B21" t="s">
        <v>840</v>
      </c>
      <c r="C21" t="s">
        <v>2272</v>
      </c>
      <c r="D21" t="s">
        <v>3552</v>
      </c>
      <c r="E21">
        <v>36</v>
      </c>
      <c r="F21" t="s">
        <v>3557</v>
      </c>
      <c r="G21">
        <v>0</v>
      </c>
      <c r="H21">
        <v>0</v>
      </c>
      <c r="I21">
        <v>13050</v>
      </c>
      <c r="J21">
        <v>75.241699999999994</v>
      </c>
      <c r="K21" t="s">
        <v>77</v>
      </c>
      <c r="L21" t="s">
        <v>62</v>
      </c>
      <c r="M21" t="s">
        <v>3566</v>
      </c>
      <c r="N21" t="s">
        <v>78</v>
      </c>
      <c r="O21" t="s">
        <v>3573</v>
      </c>
      <c r="P21" t="s">
        <v>3573</v>
      </c>
      <c r="Q21" t="s">
        <v>79</v>
      </c>
    </row>
    <row r="22" spans="1:17">
      <c r="A22" t="s">
        <v>836</v>
      </c>
      <c r="B22" t="s">
        <v>9</v>
      </c>
      <c r="C22" t="s">
        <v>2273</v>
      </c>
      <c r="D22" t="s">
        <v>3552</v>
      </c>
      <c r="E22">
        <v>37</v>
      </c>
      <c r="F22" t="s">
        <v>3557</v>
      </c>
      <c r="G22">
        <v>1</v>
      </c>
      <c r="H22">
        <v>1</v>
      </c>
      <c r="I22">
        <v>11751</v>
      </c>
      <c r="J22">
        <v>52.554200000000002</v>
      </c>
      <c r="K22" t="s">
        <v>80</v>
      </c>
      <c r="L22" t="s">
        <v>59</v>
      </c>
      <c r="M22" t="s">
        <v>457</v>
      </c>
      <c r="N22">
        <v>5</v>
      </c>
      <c r="O22" t="s">
        <v>3573</v>
      </c>
      <c r="P22" t="s">
        <v>3573</v>
      </c>
      <c r="Q22" t="s">
        <v>53</v>
      </c>
    </row>
    <row r="23" spans="1:17">
      <c r="A23" t="s">
        <v>836</v>
      </c>
      <c r="B23" t="s">
        <v>9</v>
      </c>
      <c r="C23" t="s">
        <v>2274</v>
      </c>
      <c r="D23" t="s">
        <v>3551</v>
      </c>
      <c r="E23">
        <v>47</v>
      </c>
      <c r="F23" t="s">
        <v>3557</v>
      </c>
      <c r="G23">
        <v>1</v>
      </c>
      <c r="H23">
        <v>1</v>
      </c>
      <c r="I23">
        <v>11751</v>
      </c>
      <c r="J23">
        <v>52.554200000000002</v>
      </c>
      <c r="K23" t="s">
        <v>80</v>
      </c>
      <c r="L23" t="s">
        <v>59</v>
      </c>
      <c r="M23" t="s">
        <v>457</v>
      </c>
      <c r="N23">
        <v>5</v>
      </c>
      <c r="O23" t="s">
        <v>3573</v>
      </c>
      <c r="P23" t="s">
        <v>3573</v>
      </c>
      <c r="Q23" t="s">
        <v>53</v>
      </c>
    </row>
    <row r="24" spans="1:17">
      <c r="A24" t="s">
        <v>836</v>
      </c>
      <c r="B24" t="s">
        <v>9</v>
      </c>
      <c r="C24" t="s">
        <v>2275</v>
      </c>
      <c r="D24" t="s">
        <v>3552</v>
      </c>
      <c r="E24">
        <v>26</v>
      </c>
      <c r="F24" t="s">
        <v>3555</v>
      </c>
      <c r="G24">
        <v>0</v>
      </c>
      <c r="H24">
        <v>0</v>
      </c>
      <c r="I24">
        <v>111369</v>
      </c>
      <c r="J24">
        <v>30</v>
      </c>
      <c r="K24" t="s">
        <v>81</v>
      </c>
      <c r="L24" t="s">
        <v>62</v>
      </c>
      <c r="M24" t="s">
        <v>3566</v>
      </c>
      <c r="N24">
        <v>5</v>
      </c>
      <c r="O24" t="s">
        <v>3573</v>
      </c>
      <c r="P24" t="s">
        <v>3573</v>
      </c>
      <c r="Q24" t="s">
        <v>53</v>
      </c>
    </row>
    <row r="25" spans="1:17">
      <c r="A25" t="s">
        <v>836</v>
      </c>
      <c r="B25" t="s">
        <v>9</v>
      </c>
      <c r="C25" t="s">
        <v>2276</v>
      </c>
      <c r="D25" t="s">
        <v>3551</v>
      </c>
      <c r="E25">
        <v>42</v>
      </c>
      <c r="F25" t="s">
        <v>3557</v>
      </c>
      <c r="G25">
        <v>0</v>
      </c>
      <c r="H25">
        <v>0</v>
      </c>
      <c r="I25" t="s">
        <v>64</v>
      </c>
      <c r="J25">
        <v>227.52500000000001</v>
      </c>
      <c r="K25" t="s">
        <v>3561</v>
      </c>
      <c r="L25" t="s">
        <v>3561</v>
      </c>
      <c r="M25" t="s">
        <v>3566</v>
      </c>
      <c r="N25">
        <v>4</v>
      </c>
      <c r="O25" t="s">
        <v>3573</v>
      </c>
      <c r="P25" t="s">
        <v>3573</v>
      </c>
    </row>
    <row r="26" spans="1:17">
      <c r="A26" t="s">
        <v>836</v>
      </c>
      <c r="B26" t="s">
        <v>9</v>
      </c>
      <c r="C26" t="s">
        <v>2277</v>
      </c>
      <c r="D26" t="s">
        <v>3551</v>
      </c>
      <c r="E26">
        <v>29</v>
      </c>
      <c r="F26" t="s">
        <v>3555</v>
      </c>
      <c r="G26">
        <v>0</v>
      </c>
      <c r="H26">
        <v>0</v>
      </c>
      <c r="I26" t="s">
        <v>82</v>
      </c>
      <c r="J26">
        <v>221.7792</v>
      </c>
      <c r="K26" t="s">
        <v>83</v>
      </c>
      <c r="L26" t="s">
        <v>62</v>
      </c>
      <c r="M26" t="s">
        <v>457</v>
      </c>
      <c r="N26">
        <v>8</v>
      </c>
      <c r="O26" t="s">
        <v>3573</v>
      </c>
      <c r="P26" t="s">
        <v>3573</v>
      </c>
    </row>
    <row r="27" spans="1:17">
      <c r="A27" t="s">
        <v>836</v>
      </c>
      <c r="B27" t="s">
        <v>840</v>
      </c>
      <c r="C27" t="s">
        <v>2278</v>
      </c>
      <c r="D27" t="s">
        <v>3552</v>
      </c>
      <c r="E27">
        <v>25</v>
      </c>
      <c r="F27" t="s">
        <v>3555</v>
      </c>
      <c r="G27">
        <v>0</v>
      </c>
      <c r="H27">
        <v>0</v>
      </c>
      <c r="I27">
        <v>13905</v>
      </c>
      <c r="J27">
        <v>26</v>
      </c>
      <c r="K27" t="s">
        <v>3561</v>
      </c>
      <c r="L27" t="s">
        <v>3561</v>
      </c>
      <c r="M27" t="s">
        <v>3566</v>
      </c>
      <c r="N27" t="s">
        <v>3569</v>
      </c>
      <c r="O27">
        <v>148</v>
      </c>
      <c r="P27" t="s">
        <v>3574</v>
      </c>
      <c r="Q27" t="s">
        <v>84</v>
      </c>
    </row>
    <row r="28" spans="1:17">
      <c r="A28" t="s">
        <v>836</v>
      </c>
      <c r="B28" t="s">
        <v>9</v>
      </c>
      <c r="C28" t="s">
        <v>2279</v>
      </c>
      <c r="D28" t="s">
        <v>3552</v>
      </c>
      <c r="E28">
        <v>25</v>
      </c>
      <c r="F28" t="s">
        <v>3555</v>
      </c>
      <c r="G28">
        <v>0</v>
      </c>
      <c r="H28">
        <v>1</v>
      </c>
      <c r="I28">
        <v>11967</v>
      </c>
      <c r="J28">
        <v>91.0792</v>
      </c>
      <c r="K28" t="s">
        <v>85</v>
      </c>
      <c r="L28" t="s">
        <v>70</v>
      </c>
      <c r="M28" t="s">
        <v>3566</v>
      </c>
      <c r="N28">
        <v>7</v>
      </c>
      <c r="O28" t="s">
        <v>3573</v>
      </c>
      <c r="P28" t="s">
        <v>3573</v>
      </c>
      <c r="Q28" t="s">
        <v>86</v>
      </c>
    </row>
    <row r="29" spans="1:17">
      <c r="A29" t="s">
        <v>836</v>
      </c>
      <c r="B29" t="s">
        <v>9</v>
      </c>
      <c r="C29" t="s">
        <v>2280</v>
      </c>
      <c r="D29" t="s">
        <v>3551</v>
      </c>
      <c r="E29">
        <v>19</v>
      </c>
      <c r="F29" t="s">
        <v>3555</v>
      </c>
      <c r="G29">
        <v>0</v>
      </c>
      <c r="H29">
        <v>1</v>
      </c>
      <c r="I29">
        <v>11967</v>
      </c>
      <c r="J29">
        <v>91.0792</v>
      </c>
      <c r="K29" t="s">
        <v>85</v>
      </c>
      <c r="L29" t="s">
        <v>70</v>
      </c>
      <c r="M29" t="s">
        <v>3566</v>
      </c>
      <c r="N29">
        <v>7</v>
      </c>
      <c r="O29" t="s">
        <v>3573</v>
      </c>
      <c r="P29" t="s">
        <v>3573</v>
      </c>
      <c r="Q29" t="s">
        <v>86</v>
      </c>
    </row>
    <row r="30" spans="1:17">
      <c r="A30" t="s">
        <v>836</v>
      </c>
      <c r="B30" t="s">
        <v>9</v>
      </c>
      <c r="C30" t="s">
        <v>2281</v>
      </c>
      <c r="D30" t="s">
        <v>3551</v>
      </c>
      <c r="E30">
        <v>35</v>
      </c>
      <c r="F30" t="s">
        <v>3557</v>
      </c>
      <c r="G30">
        <v>0</v>
      </c>
      <c r="H30">
        <v>0</v>
      </c>
      <c r="I30" t="s">
        <v>87</v>
      </c>
      <c r="J30">
        <v>135.63329999999999</v>
      </c>
      <c r="K30" t="s">
        <v>88</v>
      </c>
      <c r="L30" t="s">
        <v>62</v>
      </c>
      <c r="M30" t="s">
        <v>457</v>
      </c>
      <c r="N30">
        <v>8</v>
      </c>
      <c r="O30" t="s">
        <v>3573</v>
      </c>
      <c r="P30" t="s">
        <v>3573</v>
      </c>
    </row>
    <row r="31" spans="1:17">
      <c r="A31" t="s">
        <v>836</v>
      </c>
      <c r="B31" t="s">
        <v>9</v>
      </c>
      <c r="C31" t="s">
        <v>2282</v>
      </c>
      <c r="D31" t="s">
        <v>3552</v>
      </c>
      <c r="E31">
        <v>28</v>
      </c>
      <c r="F31" t="s">
        <v>3555</v>
      </c>
      <c r="G31">
        <v>0</v>
      </c>
      <c r="H31">
        <v>0</v>
      </c>
      <c r="I31">
        <v>110564</v>
      </c>
      <c r="J31">
        <v>26.55</v>
      </c>
      <c r="K31" t="s">
        <v>89</v>
      </c>
      <c r="L31" t="s">
        <v>62</v>
      </c>
      <c r="M31" t="s">
        <v>457</v>
      </c>
      <c r="N31" t="s">
        <v>59</v>
      </c>
      <c r="O31" t="s">
        <v>3573</v>
      </c>
      <c r="P31" t="s">
        <v>3573</v>
      </c>
      <c r="Q31" t="s">
        <v>90</v>
      </c>
    </row>
    <row r="32" spans="1:17">
      <c r="A32" t="s">
        <v>836</v>
      </c>
      <c r="B32" t="s">
        <v>840</v>
      </c>
      <c r="C32" t="s">
        <v>2283</v>
      </c>
      <c r="D32" t="s">
        <v>3552</v>
      </c>
      <c r="E32">
        <v>45</v>
      </c>
      <c r="F32" t="s">
        <v>3557</v>
      </c>
      <c r="G32">
        <v>0</v>
      </c>
      <c r="H32">
        <v>0</v>
      </c>
      <c r="I32">
        <v>113784</v>
      </c>
      <c r="J32">
        <v>35.5</v>
      </c>
      <c r="K32" t="s">
        <v>91</v>
      </c>
      <c r="L32" t="s">
        <v>91</v>
      </c>
      <c r="M32" t="s">
        <v>457</v>
      </c>
      <c r="N32" t="s">
        <v>3569</v>
      </c>
      <c r="O32" t="s">
        <v>3573</v>
      </c>
      <c r="P32" t="s">
        <v>3573</v>
      </c>
      <c r="Q32" t="s">
        <v>92</v>
      </c>
    </row>
    <row r="33" spans="1:17">
      <c r="A33" t="s">
        <v>836</v>
      </c>
      <c r="B33" t="s">
        <v>9</v>
      </c>
      <c r="C33" t="s">
        <v>2284</v>
      </c>
      <c r="D33" t="s">
        <v>3552</v>
      </c>
      <c r="E33">
        <v>40</v>
      </c>
      <c r="F33" t="s">
        <v>3557</v>
      </c>
      <c r="G33">
        <v>0</v>
      </c>
      <c r="H33">
        <v>0</v>
      </c>
      <c r="I33">
        <v>112277</v>
      </c>
      <c r="J33">
        <v>31</v>
      </c>
      <c r="K33" t="s">
        <v>93</v>
      </c>
      <c r="L33" t="s">
        <v>78</v>
      </c>
      <c r="M33" t="s">
        <v>3566</v>
      </c>
      <c r="N33">
        <v>7</v>
      </c>
      <c r="O33" t="s">
        <v>3573</v>
      </c>
      <c r="P33" t="s">
        <v>3573</v>
      </c>
      <c r="Q33" t="s">
        <v>94</v>
      </c>
    </row>
    <row r="34" spans="1:17">
      <c r="A34" t="s">
        <v>836</v>
      </c>
      <c r="B34" t="s">
        <v>9</v>
      </c>
      <c r="C34" t="s">
        <v>2285</v>
      </c>
      <c r="D34" t="s">
        <v>3551</v>
      </c>
      <c r="E34">
        <v>30</v>
      </c>
      <c r="F34" t="s">
        <v>3557</v>
      </c>
      <c r="G34">
        <v>0</v>
      </c>
      <c r="H34">
        <v>0</v>
      </c>
      <c r="I34">
        <v>36928</v>
      </c>
      <c r="J34">
        <v>164.86670000000001</v>
      </c>
      <c r="K34" t="s">
        <v>95</v>
      </c>
      <c r="L34" t="s">
        <v>62</v>
      </c>
      <c r="M34" t="s">
        <v>457</v>
      </c>
      <c r="N34">
        <v>8</v>
      </c>
      <c r="O34" t="s">
        <v>3573</v>
      </c>
      <c r="P34" t="s">
        <v>3573</v>
      </c>
      <c r="Q34" t="s">
        <v>96</v>
      </c>
    </row>
    <row r="35" spans="1:17">
      <c r="A35" t="s">
        <v>836</v>
      </c>
      <c r="B35" t="s">
        <v>9</v>
      </c>
      <c r="C35" t="s">
        <v>2286</v>
      </c>
      <c r="D35" t="s">
        <v>3551</v>
      </c>
      <c r="E35">
        <v>58</v>
      </c>
      <c r="F35" t="s">
        <v>3557</v>
      </c>
      <c r="G35">
        <v>0</v>
      </c>
      <c r="H35">
        <v>0</v>
      </c>
      <c r="I35">
        <v>113783</v>
      </c>
      <c r="J35">
        <v>26.55</v>
      </c>
      <c r="K35" t="s">
        <v>97</v>
      </c>
      <c r="L35" t="s">
        <v>62</v>
      </c>
      <c r="M35" t="s">
        <v>457</v>
      </c>
      <c r="N35">
        <v>8</v>
      </c>
      <c r="O35" t="s">
        <v>3573</v>
      </c>
      <c r="P35" t="s">
        <v>3573</v>
      </c>
      <c r="Q35" t="s">
        <v>98</v>
      </c>
    </row>
    <row r="36" spans="1:17">
      <c r="A36" t="s">
        <v>836</v>
      </c>
      <c r="B36" t="s">
        <v>840</v>
      </c>
      <c r="C36" t="s">
        <v>2287</v>
      </c>
      <c r="D36" t="s">
        <v>3552</v>
      </c>
      <c r="E36">
        <v>42</v>
      </c>
      <c r="F36" t="s">
        <v>3557</v>
      </c>
      <c r="G36">
        <v>0</v>
      </c>
      <c r="H36">
        <v>0</v>
      </c>
      <c r="I36">
        <v>110489</v>
      </c>
      <c r="J36">
        <v>26.55</v>
      </c>
      <c r="K36" t="s">
        <v>99</v>
      </c>
      <c r="L36" t="s">
        <v>59</v>
      </c>
      <c r="M36" t="s">
        <v>457</v>
      </c>
      <c r="N36" t="s">
        <v>3569</v>
      </c>
      <c r="O36" t="s">
        <v>3573</v>
      </c>
      <c r="P36" t="s">
        <v>3573</v>
      </c>
      <c r="Q36" t="s">
        <v>100</v>
      </c>
    </row>
    <row r="37" spans="1:17">
      <c r="A37" t="s">
        <v>836</v>
      </c>
      <c r="B37" t="s">
        <v>9</v>
      </c>
      <c r="C37" t="s">
        <v>2288</v>
      </c>
      <c r="D37" t="s">
        <v>3551</v>
      </c>
      <c r="E37">
        <v>45</v>
      </c>
      <c r="F37" t="s">
        <v>3557</v>
      </c>
      <c r="G37">
        <v>0</v>
      </c>
      <c r="H37">
        <v>0</v>
      </c>
      <c r="I37" t="s">
        <v>101</v>
      </c>
      <c r="J37">
        <v>262.375</v>
      </c>
      <c r="K37" t="s">
        <v>3561</v>
      </c>
      <c r="L37" t="s">
        <v>3561</v>
      </c>
      <c r="M37" t="s">
        <v>3566</v>
      </c>
      <c r="N37">
        <v>4</v>
      </c>
      <c r="O37" t="s">
        <v>3573</v>
      </c>
      <c r="P37" t="s">
        <v>3573</v>
      </c>
      <c r="Q37" t="s">
        <v>102</v>
      </c>
    </row>
    <row r="38" spans="1:17">
      <c r="A38" t="s">
        <v>836</v>
      </c>
      <c r="B38" t="s">
        <v>9</v>
      </c>
      <c r="C38" t="s">
        <v>2289</v>
      </c>
      <c r="D38" t="s">
        <v>3551</v>
      </c>
      <c r="E38">
        <v>22</v>
      </c>
      <c r="F38" t="s">
        <v>3555</v>
      </c>
      <c r="G38">
        <v>1</v>
      </c>
      <c r="H38">
        <v>0</v>
      </c>
      <c r="I38">
        <v>113505</v>
      </c>
      <c r="J38">
        <v>55</v>
      </c>
      <c r="K38" t="s">
        <v>103</v>
      </c>
      <c r="L38" t="s">
        <v>3564</v>
      </c>
      <c r="M38" t="s">
        <v>457</v>
      </c>
      <c r="N38">
        <v>6</v>
      </c>
      <c r="O38" t="s">
        <v>3573</v>
      </c>
      <c r="P38" t="s">
        <v>3573</v>
      </c>
      <c r="Q38" t="s">
        <v>104</v>
      </c>
    </row>
    <row r="39" spans="1:17">
      <c r="A39" t="s">
        <v>836</v>
      </c>
      <c r="B39" t="s">
        <v>9</v>
      </c>
      <c r="C39" t="s">
        <v>2290</v>
      </c>
      <c r="D39" t="s">
        <v>3552</v>
      </c>
      <c r="E39">
        <v>28</v>
      </c>
      <c r="F39" t="s">
        <v>3555</v>
      </c>
      <c r="G39">
        <v>0</v>
      </c>
      <c r="H39">
        <v>0</v>
      </c>
      <c r="I39">
        <v>111427</v>
      </c>
      <c r="J39">
        <v>26.55</v>
      </c>
      <c r="K39" t="s">
        <v>3561</v>
      </c>
      <c r="L39" t="s">
        <v>3561</v>
      </c>
      <c r="M39" t="s">
        <v>457</v>
      </c>
      <c r="N39">
        <v>9</v>
      </c>
      <c r="O39" t="s">
        <v>3573</v>
      </c>
      <c r="P39" t="s">
        <v>3573</v>
      </c>
      <c r="Q39" t="s">
        <v>105</v>
      </c>
    </row>
    <row r="40" spans="1:17">
      <c r="A40" t="s">
        <v>836</v>
      </c>
      <c r="B40" t="s">
        <v>840</v>
      </c>
      <c r="C40" t="s">
        <v>2291</v>
      </c>
      <c r="D40" t="s">
        <v>3552</v>
      </c>
      <c r="E40">
        <v>41</v>
      </c>
      <c r="F40" t="s">
        <v>3557</v>
      </c>
      <c r="G40">
        <v>0</v>
      </c>
      <c r="H40">
        <v>0</v>
      </c>
      <c r="I40">
        <v>113054</v>
      </c>
      <c r="J40">
        <v>30.5</v>
      </c>
      <c r="K40" t="s">
        <v>106</v>
      </c>
      <c r="L40" t="s">
        <v>78</v>
      </c>
      <c r="M40" t="s">
        <v>457</v>
      </c>
      <c r="N40" t="s">
        <v>3569</v>
      </c>
      <c r="O40" t="s">
        <v>3573</v>
      </c>
      <c r="P40" t="s">
        <v>3573</v>
      </c>
      <c r="Q40" t="s">
        <v>107</v>
      </c>
    </row>
    <row r="41" spans="1:17">
      <c r="A41" t="s">
        <v>836</v>
      </c>
      <c r="B41" t="s">
        <v>840</v>
      </c>
      <c r="C41" t="s">
        <v>2292</v>
      </c>
      <c r="D41" t="s">
        <v>3552</v>
      </c>
      <c r="E41">
        <v>48</v>
      </c>
      <c r="F41" t="s">
        <v>3557</v>
      </c>
      <c r="G41">
        <v>0</v>
      </c>
      <c r="H41">
        <v>0</v>
      </c>
      <c r="I41" t="s">
        <v>108</v>
      </c>
      <c r="J41">
        <v>50.495800000000003</v>
      </c>
      <c r="K41" t="s">
        <v>109</v>
      </c>
      <c r="L41" t="s">
        <v>70</v>
      </c>
      <c r="M41" t="s">
        <v>3566</v>
      </c>
      <c r="N41" t="s">
        <v>3569</v>
      </c>
      <c r="O41">
        <v>208</v>
      </c>
      <c r="P41" t="s">
        <v>3574</v>
      </c>
      <c r="Q41" t="s">
        <v>110</v>
      </c>
    </row>
    <row r="42" spans="1:17">
      <c r="A42" t="s">
        <v>836</v>
      </c>
      <c r="B42" t="s">
        <v>840</v>
      </c>
      <c r="C42" t="s">
        <v>2293</v>
      </c>
      <c r="D42" t="s">
        <v>3552</v>
      </c>
      <c r="E42">
        <v>28</v>
      </c>
      <c r="F42" t="s">
        <v>3555</v>
      </c>
      <c r="G42">
        <v>0</v>
      </c>
      <c r="H42">
        <v>0</v>
      </c>
      <c r="I42">
        <v>112379</v>
      </c>
      <c r="J42">
        <v>39.6</v>
      </c>
      <c r="K42" t="s">
        <v>3561</v>
      </c>
      <c r="L42" t="s">
        <v>3561</v>
      </c>
      <c r="M42" t="s">
        <v>3566</v>
      </c>
      <c r="N42" t="s">
        <v>3569</v>
      </c>
      <c r="O42" t="s">
        <v>3573</v>
      </c>
      <c r="P42" t="s">
        <v>3573</v>
      </c>
      <c r="Q42" t="s">
        <v>111</v>
      </c>
    </row>
    <row r="43" spans="1:17">
      <c r="A43" t="s">
        <v>836</v>
      </c>
      <c r="B43" t="s">
        <v>9</v>
      </c>
      <c r="C43" t="s">
        <v>2294</v>
      </c>
      <c r="D43" t="s">
        <v>3551</v>
      </c>
      <c r="E43">
        <v>44</v>
      </c>
      <c r="F43" t="s">
        <v>3557</v>
      </c>
      <c r="G43">
        <v>0</v>
      </c>
      <c r="H43">
        <v>0</v>
      </c>
      <c r="I43" t="s">
        <v>112</v>
      </c>
      <c r="J43">
        <v>27.720800000000001</v>
      </c>
      <c r="K43" t="s">
        <v>113</v>
      </c>
      <c r="L43" t="s">
        <v>70</v>
      </c>
      <c r="M43" t="s">
        <v>3566</v>
      </c>
      <c r="N43">
        <v>6</v>
      </c>
      <c r="O43" t="s">
        <v>3573</v>
      </c>
      <c r="P43" t="s">
        <v>3573</v>
      </c>
      <c r="Q43" t="s">
        <v>114</v>
      </c>
    </row>
    <row r="44" spans="1:17">
      <c r="A44" t="s">
        <v>836</v>
      </c>
      <c r="B44" t="s">
        <v>9</v>
      </c>
      <c r="C44" t="s">
        <v>2295</v>
      </c>
      <c r="D44" t="s">
        <v>3551</v>
      </c>
      <c r="E44">
        <v>59</v>
      </c>
      <c r="F44" t="s">
        <v>3557</v>
      </c>
      <c r="G44">
        <v>0</v>
      </c>
      <c r="H44">
        <v>2</v>
      </c>
      <c r="I44">
        <v>11769</v>
      </c>
      <c r="J44">
        <v>51.479199999999999</v>
      </c>
      <c r="K44" t="s">
        <v>58</v>
      </c>
      <c r="L44" t="s">
        <v>62</v>
      </c>
      <c r="M44" t="s">
        <v>457</v>
      </c>
      <c r="N44" t="s">
        <v>59</v>
      </c>
      <c r="O44" t="s">
        <v>3573</v>
      </c>
      <c r="P44" t="s">
        <v>3573</v>
      </c>
      <c r="Q44" t="s">
        <v>115</v>
      </c>
    </row>
    <row r="45" spans="1:17">
      <c r="A45" t="s">
        <v>836</v>
      </c>
      <c r="B45" t="s">
        <v>9</v>
      </c>
      <c r="C45" t="s">
        <v>2296</v>
      </c>
      <c r="D45" t="s">
        <v>3551</v>
      </c>
      <c r="E45">
        <v>60</v>
      </c>
      <c r="F45" t="s">
        <v>3559</v>
      </c>
      <c r="G45">
        <v>0</v>
      </c>
      <c r="H45">
        <v>0</v>
      </c>
      <c r="I45">
        <v>11813</v>
      </c>
      <c r="J45">
        <v>76.291700000000006</v>
      </c>
      <c r="K45" t="s">
        <v>76</v>
      </c>
      <c r="L45" t="s">
        <v>59</v>
      </c>
      <c r="M45" t="s">
        <v>3566</v>
      </c>
      <c r="N45">
        <v>8</v>
      </c>
      <c r="O45" t="s">
        <v>3573</v>
      </c>
      <c r="P45" t="s">
        <v>3573</v>
      </c>
      <c r="Q45" t="s">
        <v>111</v>
      </c>
    </row>
    <row r="46" spans="1:17">
      <c r="A46" t="s">
        <v>836</v>
      </c>
      <c r="B46" t="s">
        <v>9</v>
      </c>
      <c r="C46" t="s">
        <v>2297</v>
      </c>
      <c r="D46" t="s">
        <v>3551</v>
      </c>
      <c r="E46">
        <v>41</v>
      </c>
      <c r="F46" t="s">
        <v>3557</v>
      </c>
      <c r="G46">
        <v>0</v>
      </c>
      <c r="H46">
        <v>0</v>
      </c>
      <c r="I46">
        <v>16966</v>
      </c>
      <c r="J46">
        <v>134.5</v>
      </c>
      <c r="K46" t="s">
        <v>116</v>
      </c>
      <c r="L46" t="s">
        <v>3564</v>
      </c>
      <c r="M46" t="s">
        <v>3566</v>
      </c>
      <c r="N46">
        <v>3</v>
      </c>
      <c r="O46" t="s">
        <v>3573</v>
      </c>
      <c r="P46" t="s">
        <v>3573</v>
      </c>
    </row>
    <row r="47" spans="1:17">
      <c r="A47" t="s">
        <v>836</v>
      </c>
      <c r="B47" t="s">
        <v>840</v>
      </c>
      <c r="C47" t="s">
        <v>2298</v>
      </c>
      <c r="D47" t="s">
        <v>3552</v>
      </c>
      <c r="E47">
        <v>45</v>
      </c>
      <c r="F47" t="s">
        <v>3557</v>
      </c>
      <c r="G47">
        <v>0</v>
      </c>
      <c r="H47">
        <v>0</v>
      </c>
      <c r="I47">
        <v>113050</v>
      </c>
      <c r="J47">
        <v>26.55</v>
      </c>
      <c r="K47" t="s">
        <v>117</v>
      </c>
      <c r="L47" t="s">
        <v>70</v>
      </c>
      <c r="M47" t="s">
        <v>457</v>
      </c>
      <c r="N47" t="s">
        <v>3569</v>
      </c>
      <c r="O47" t="s">
        <v>3573</v>
      </c>
      <c r="P47" t="s">
        <v>3573</v>
      </c>
      <c r="Q47" t="s">
        <v>118</v>
      </c>
    </row>
    <row r="48" spans="1:17">
      <c r="A48" t="s">
        <v>836</v>
      </c>
      <c r="B48" t="s">
        <v>840</v>
      </c>
      <c r="C48" t="s">
        <v>2299</v>
      </c>
      <c r="D48" t="s">
        <v>3552</v>
      </c>
      <c r="E48">
        <v>28</v>
      </c>
      <c r="F48" t="s">
        <v>3555</v>
      </c>
      <c r="G48">
        <v>0</v>
      </c>
      <c r="H48">
        <v>0</v>
      </c>
      <c r="I48">
        <v>113798</v>
      </c>
      <c r="J48">
        <v>31</v>
      </c>
      <c r="K48" t="s">
        <v>3561</v>
      </c>
      <c r="L48" t="s">
        <v>3561</v>
      </c>
      <c r="M48" t="s">
        <v>457</v>
      </c>
      <c r="N48" t="s">
        <v>3569</v>
      </c>
      <c r="O48" t="s">
        <v>3573</v>
      </c>
      <c r="P48" t="s">
        <v>3573</v>
      </c>
    </row>
    <row r="49" spans="1:17">
      <c r="A49" t="s">
        <v>836</v>
      </c>
      <c r="B49" t="s">
        <v>9</v>
      </c>
      <c r="C49" t="s">
        <v>2300</v>
      </c>
      <c r="D49" t="s">
        <v>3552</v>
      </c>
      <c r="E49">
        <v>42</v>
      </c>
      <c r="F49" t="s">
        <v>3557</v>
      </c>
      <c r="G49">
        <v>0</v>
      </c>
      <c r="H49">
        <v>0</v>
      </c>
      <c r="I49" t="s">
        <v>119</v>
      </c>
      <c r="J49">
        <v>26.287500000000001</v>
      </c>
      <c r="K49" t="s">
        <v>120</v>
      </c>
      <c r="L49" t="s">
        <v>3564</v>
      </c>
      <c r="M49" t="s">
        <v>457</v>
      </c>
      <c r="N49">
        <v>5</v>
      </c>
      <c r="O49" t="s">
        <v>3573</v>
      </c>
      <c r="P49" t="s">
        <v>3573</v>
      </c>
      <c r="Q49" t="s">
        <v>53</v>
      </c>
    </row>
    <row r="50" spans="1:17">
      <c r="A50" t="s">
        <v>836</v>
      </c>
      <c r="B50" t="s">
        <v>9</v>
      </c>
      <c r="C50" t="s">
        <v>2301</v>
      </c>
      <c r="D50" t="s">
        <v>3551</v>
      </c>
      <c r="E50">
        <v>53</v>
      </c>
      <c r="F50" t="s">
        <v>3557</v>
      </c>
      <c r="G50">
        <v>0</v>
      </c>
      <c r="H50">
        <v>0</v>
      </c>
      <c r="I50" t="s">
        <v>121</v>
      </c>
      <c r="J50">
        <v>27.445799999999998</v>
      </c>
      <c r="K50" t="s">
        <v>3561</v>
      </c>
      <c r="L50" t="s">
        <v>3561</v>
      </c>
      <c r="M50" t="s">
        <v>3566</v>
      </c>
      <c r="N50">
        <v>6</v>
      </c>
      <c r="O50" t="s">
        <v>3573</v>
      </c>
      <c r="P50" t="s">
        <v>3573</v>
      </c>
      <c r="Q50" t="s">
        <v>118</v>
      </c>
    </row>
    <row r="51" spans="1:17">
      <c r="A51" t="s">
        <v>836</v>
      </c>
      <c r="B51" t="s">
        <v>9</v>
      </c>
      <c r="C51" t="s">
        <v>2302</v>
      </c>
      <c r="D51" t="s">
        <v>3552</v>
      </c>
      <c r="E51">
        <v>36</v>
      </c>
      <c r="F51" t="s">
        <v>3557</v>
      </c>
      <c r="G51">
        <v>1</v>
      </c>
      <c r="H51">
        <v>0</v>
      </c>
      <c r="I51" t="s">
        <v>122</v>
      </c>
      <c r="J51">
        <v>512.32920000000001</v>
      </c>
      <c r="K51" t="s">
        <v>123</v>
      </c>
      <c r="L51" t="s">
        <v>70</v>
      </c>
      <c r="M51" t="s">
        <v>3566</v>
      </c>
      <c r="N51">
        <v>3</v>
      </c>
      <c r="O51" t="s">
        <v>3573</v>
      </c>
      <c r="P51" t="s">
        <v>3573</v>
      </c>
      <c r="Q51" t="s">
        <v>124</v>
      </c>
    </row>
    <row r="52" spans="1:17">
      <c r="A52" t="s">
        <v>836</v>
      </c>
      <c r="B52" t="s">
        <v>9</v>
      </c>
      <c r="C52" t="s">
        <v>2303</v>
      </c>
      <c r="D52" t="s">
        <v>3551</v>
      </c>
      <c r="E52">
        <v>58</v>
      </c>
      <c r="F52" t="s">
        <v>3557</v>
      </c>
      <c r="G52">
        <v>1</v>
      </c>
      <c r="H52">
        <v>0</v>
      </c>
      <c r="I52" t="s">
        <v>122</v>
      </c>
      <c r="J52">
        <v>512.32920000000001</v>
      </c>
      <c r="K52" t="s">
        <v>123</v>
      </c>
      <c r="L52" t="s">
        <v>70</v>
      </c>
      <c r="M52" t="s">
        <v>3566</v>
      </c>
      <c r="N52">
        <v>3</v>
      </c>
      <c r="O52" t="s">
        <v>3573</v>
      </c>
      <c r="P52" t="s">
        <v>3573</v>
      </c>
      <c r="Q52" t="s">
        <v>125</v>
      </c>
    </row>
    <row r="53" spans="1:17">
      <c r="A53" t="s">
        <v>836</v>
      </c>
      <c r="B53" t="s">
        <v>840</v>
      </c>
      <c r="C53" t="s">
        <v>2304</v>
      </c>
      <c r="D53" t="s">
        <v>3552</v>
      </c>
      <c r="E53">
        <v>33</v>
      </c>
      <c r="F53" t="s">
        <v>3557</v>
      </c>
      <c r="G53">
        <v>0</v>
      </c>
      <c r="H53">
        <v>0</v>
      </c>
      <c r="I53">
        <v>695</v>
      </c>
      <c r="J53">
        <v>5</v>
      </c>
      <c r="K53" t="s">
        <v>123</v>
      </c>
      <c r="L53" t="s">
        <v>70</v>
      </c>
      <c r="M53" t="s">
        <v>457</v>
      </c>
      <c r="N53" t="s">
        <v>3569</v>
      </c>
      <c r="O53" t="s">
        <v>3573</v>
      </c>
      <c r="P53" t="s">
        <v>3573</v>
      </c>
      <c r="Q53" t="s">
        <v>53</v>
      </c>
    </row>
    <row r="54" spans="1:17">
      <c r="A54" t="s">
        <v>836</v>
      </c>
      <c r="B54" t="s">
        <v>840</v>
      </c>
      <c r="C54" t="s">
        <v>2305</v>
      </c>
      <c r="D54" t="s">
        <v>3552</v>
      </c>
      <c r="E54">
        <v>28</v>
      </c>
      <c r="F54" t="s">
        <v>3555</v>
      </c>
      <c r="G54">
        <v>0</v>
      </c>
      <c r="H54">
        <v>0</v>
      </c>
      <c r="I54">
        <v>113059</v>
      </c>
      <c r="J54">
        <v>47.1</v>
      </c>
      <c r="K54" t="s">
        <v>3561</v>
      </c>
      <c r="L54" t="s">
        <v>3561</v>
      </c>
      <c r="M54" t="s">
        <v>457</v>
      </c>
      <c r="N54" t="s">
        <v>3569</v>
      </c>
      <c r="O54" t="s">
        <v>3573</v>
      </c>
      <c r="P54" t="s">
        <v>3573</v>
      </c>
      <c r="Q54" t="s">
        <v>63</v>
      </c>
    </row>
    <row r="55" spans="1:17">
      <c r="A55" t="s">
        <v>836</v>
      </c>
      <c r="B55" t="s">
        <v>840</v>
      </c>
      <c r="C55" t="s">
        <v>2306</v>
      </c>
      <c r="D55" t="s">
        <v>3552</v>
      </c>
      <c r="E55">
        <v>17</v>
      </c>
      <c r="F55" t="s">
        <v>3560</v>
      </c>
      <c r="G55">
        <v>0</v>
      </c>
      <c r="H55">
        <v>0</v>
      </c>
      <c r="I55">
        <v>113059</v>
      </c>
      <c r="J55">
        <v>47.1</v>
      </c>
      <c r="K55" t="s">
        <v>3561</v>
      </c>
      <c r="L55" t="s">
        <v>3561</v>
      </c>
      <c r="M55" t="s">
        <v>457</v>
      </c>
      <c r="N55" t="s">
        <v>3569</v>
      </c>
      <c r="O55" t="s">
        <v>3573</v>
      </c>
      <c r="P55" t="s">
        <v>3573</v>
      </c>
      <c r="Q55" t="s">
        <v>63</v>
      </c>
    </row>
    <row r="56" spans="1:17">
      <c r="A56" t="s">
        <v>836</v>
      </c>
      <c r="B56" t="s">
        <v>9</v>
      </c>
      <c r="C56" t="s">
        <v>2307</v>
      </c>
      <c r="D56" t="s">
        <v>3552</v>
      </c>
      <c r="E56">
        <v>11</v>
      </c>
      <c r="F56" t="s">
        <v>3560</v>
      </c>
      <c r="G56">
        <v>2</v>
      </c>
      <c r="H56">
        <v>1</v>
      </c>
      <c r="I56">
        <v>113760</v>
      </c>
      <c r="J56">
        <v>120</v>
      </c>
      <c r="K56" t="s">
        <v>126</v>
      </c>
      <c r="L56" t="s">
        <v>70</v>
      </c>
      <c r="M56" t="s">
        <v>457</v>
      </c>
      <c r="N56">
        <v>4</v>
      </c>
      <c r="O56" t="s">
        <v>3573</v>
      </c>
      <c r="P56" t="s">
        <v>3573</v>
      </c>
      <c r="Q56" t="s">
        <v>127</v>
      </c>
    </row>
    <row r="57" spans="1:17">
      <c r="A57" t="s">
        <v>836</v>
      </c>
      <c r="B57" t="s">
        <v>9</v>
      </c>
      <c r="C57" t="s">
        <v>2308</v>
      </c>
      <c r="D57" t="s">
        <v>3551</v>
      </c>
      <c r="E57">
        <v>14</v>
      </c>
      <c r="F57" t="s">
        <v>3560</v>
      </c>
      <c r="G57">
        <v>2</v>
      </c>
      <c r="H57">
        <v>1</v>
      </c>
      <c r="I57">
        <v>113760</v>
      </c>
      <c r="J57">
        <v>120</v>
      </c>
      <c r="K57" t="s">
        <v>126</v>
      </c>
      <c r="L57" t="s">
        <v>70</v>
      </c>
      <c r="M57" t="s">
        <v>457</v>
      </c>
      <c r="N57">
        <v>4</v>
      </c>
      <c r="O57" t="s">
        <v>3573</v>
      </c>
      <c r="P57" t="s">
        <v>3573</v>
      </c>
      <c r="Q57" t="s">
        <v>127</v>
      </c>
    </row>
    <row r="58" spans="1:17">
      <c r="A58" t="s">
        <v>836</v>
      </c>
      <c r="B58" t="s">
        <v>9</v>
      </c>
      <c r="C58" t="s">
        <v>2309</v>
      </c>
      <c r="D58" t="s">
        <v>3552</v>
      </c>
      <c r="E58">
        <v>36</v>
      </c>
      <c r="F58" t="s">
        <v>3557</v>
      </c>
      <c r="G58">
        <v>2</v>
      </c>
      <c r="H58">
        <v>1</v>
      </c>
      <c r="I58">
        <v>113760</v>
      </c>
      <c r="J58">
        <v>120</v>
      </c>
      <c r="K58" t="s">
        <v>126</v>
      </c>
      <c r="L58" t="s">
        <v>70</v>
      </c>
      <c r="M58" t="s">
        <v>457</v>
      </c>
      <c r="N58" t="s">
        <v>62</v>
      </c>
      <c r="O58" t="s">
        <v>3573</v>
      </c>
      <c r="P58" t="s">
        <v>3573</v>
      </c>
      <c r="Q58" t="s">
        <v>127</v>
      </c>
    </row>
    <row r="59" spans="1:17">
      <c r="A59" t="s">
        <v>836</v>
      </c>
      <c r="B59" t="s">
        <v>9</v>
      </c>
      <c r="C59" t="s">
        <v>2310</v>
      </c>
      <c r="D59" t="s">
        <v>3551</v>
      </c>
      <c r="E59">
        <v>36</v>
      </c>
      <c r="F59" t="s">
        <v>3557</v>
      </c>
      <c r="G59">
        <v>2</v>
      </c>
      <c r="H59">
        <v>1</v>
      </c>
      <c r="I59">
        <v>113760</v>
      </c>
      <c r="J59">
        <v>120</v>
      </c>
      <c r="K59" t="s">
        <v>126</v>
      </c>
      <c r="L59" t="s">
        <v>70</v>
      </c>
      <c r="M59" t="s">
        <v>457</v>
      </c>
      <c r="N59">
        <v>4</v>
      </c>
      <c r="O59" t="s">
        <v>3573</v>
      </c>
      <c r="P59" t="s">
        <v>3573</v>
      </c>
      <c r="Q59" t="s">
        <v>127</v>
      </c>
    </row>
    <row r="60" spans="1:17">
      <c r="A60" t="s">
        <v>836</v>
      </c>
      <c r="B60" t="s">
        <v>840</v>
      </c>
      <c r="C60" t="s">
        <v>2311</v>
      </c>
      <c r="D60" t="s">
        <v>3552</v>
      </c>
      <c r="E60">
        <v>49</v>
      </c>
      <c r="F60" t="s">
        <v>3557</v>
      </c>
      <c r="G60">
        <v>0</v>
      </c>
      <c r="H60">
        <v>0</v>
      </c>
      <c r="I60">
        <v>19924</v>
      </c>
      <c r="J60">
        <v>26</v>
      </c>
      <c r="K60" t="s">
        <v>3561</v>
      </c>
      <c r="L60" t="s">
        <v>3561</v>
      </c>
      <c r="M60" t="s">
        <v>457</v>
      </c>
      <c r="N60" t="s">
        <v>3569</v>
      </c>
      <c r="O60" t="s">
        <v>3573</v>
      </c>
      <c r="P60" t="s">
        <v>3573</v>
      </c>
      <c r="Q60" t="s">
        <v>128</v>
      </c>
    </row>
    <row r="61" spans="1:17">
      <c r="A61" t="s">
        <v>836</v>
      </c>
      <c r="B61" t="s">
        <v>9</v>
      </c>
      <c r="C61" t="s">
        <v>2312</v>
      </c>
      <c r="D61" t="s">
        <v>3551</v>
      </c>
      <c r="E61">
        <v>28</v>
      </c>
      <c r="F61" t="s">
        <v>3555</v>
      </c>
      <c r="G61">
        <v>0</v>
      </c>
      <c r="H61">
        <v>0</v>
      </c>
      <c r="I61">
        <v>17770</v>
      </c>
      <c r="J61">
        <v>27.720800000000001</v>
      </c>
      <c r="K61" t="s">
        <v>3561</v>
      </c>
      <c r="L61" t="s">
        <v>3561</v>
      </c>
      <c r="M61" t="s">
        <v>3566</v>
      </c>
      <c r="N61">
        <v>5</v>
      </c>
      <c r="O61" t="s">
        <v>3573</v>
      </c>
      <c r="P61" t="s">
        <v>3573</v>
      </c>
      <c r="Q61" t="s">
        <v>53</v>
      </c>
    </row>
    <row r="62" spans="1:17">
      <c r="A62" t="s">
        <v>836</v>
      </c>
      <c r="B62" t="s">
        <v>840</v>
      </c>
      <c r="C62" t="s">
        <v>2313</v>
      </c>
      <c r="D62" t="s">
        <v>3552</v>
      </c>
      <c r="E62">
        <v>36</v>
      </c>
      <c r="F62" t="s">
        <v>3557</v>
      </c>
      <c r="G62">
        <v>0</v>
      </c>
      <c r="H62">
        <v>1</v>
      </c>
      <c r="I62">
        <v>19877</v>
      </c>
      <c r="J62">
        <v>78.849999999999994</v>
      </c>
      <c r="K62" t="s">
        <v>129</v>
      </c>
      <c r="L62" t="s">
        <v>62</v>
      </c>
      <c r="M62" t="s">
        <v>457</v>
      </c>
      <c r="N62" t="s">
        <v>3569</v>
      </c>
      <c r="O62">
        <v>172</v>
      </c>
      <c r="P62" t="s">
        <v>3574</v>
      </c>
      <c r="Q62" t="s">
        <v>130</v>
      </c>
    </row>
    <row r="63" spans="1:17">
      <c r="A63" t="s">
        <v>836</v>
      </c>
      <c r="B63" t="s">
        <v>9</v>
      </c>
      <c r="C63" t="s">
        <v>2314</v>
      </c>
      <c r="D63" t="s">
        <v>3551</v>
      </c>
      <c r="E63">
        <v>76</v>
      </c>
      <c r="F63" t="s">
        <v>3559</v>
      </c>
      <c r="G63">
        <v>0</v>
      </c>
      <c r="H63">
        <v>1</v>
      </c>
      <c r="I63">
        <v>19877</v>
      </c>
      <c r="J63">
        <v>78.849999999999994</v>
      </c>
      <c r="K63" t="s">
        <v>129</v>
      </c>
      <c r="L63" t="s">
        <v>62</v>
      </c>
      <c r="M63" t="s">
        <v>457</v>
      </c>
      <c r="N63">
        <v>6</v>
      </c>
      <c r="O63" t="s">
        <v>3573</v>
      </c>
      <c r="P63" t="s">
        <v>3573</v>
      </c>
      <c r="Q63" t="s">
        <v>130</v>
      </c>
    </row>
    <row r="64" spans="1:17">
      <c r="A64" t="s">
        <v>836</v>
      </c>
      <c r="B64" t="s">
        <v>840</v>
      </c>
      <c r="C64" t="s">
        <v>2315</v>
      </c>
      <c r="D64" t="s">
        <v>3552</v>
      </c>
      <c r="E64">
        <v>46</v>
      </c>
      <c r="F64" t="s">
        <v>3557</v>
      </c>
      <c r="G64">
        <v>0</v>
      </c>
      <c r="H64">
        <v>1</v>
      </c>
      <c r="I64" t="s">
        <v>131</v>
      </c>
      <c r="J64">
        <v>61.174999999999997</v>
      </c>
      <c r="K64" t="s">
        <v>132</v>
      </c>
      <c r="L64" t="s">
        <v>3564</v>
      </c>
      <c r="M64" t="s">
        <v>457</v>
      </c>
      <c r="N64" t="s">
        <v>3569</v>
      </c>
      <c r="O64" t="s">
        <v>3573</v>
      </c>
      <c r="P64" t="s">
        <v>3573</v>
      </c>
      <c r="Q64" t="s">
        <v>133</v>
      </c>
    </row>
    <row r="65" spans="1:17">
      <c r="A65" t="s">
        <v>836</v>
      </c>
      <c r="B65" t="s">
        <v>9</v>
      </c>
      <c r="C65" t="s">
        <v>2316</v>
      </c>
      <c r="D65" t="s">
        <v>3551</v>
      </c>
      <c r="E65">
        <v>47</v>
      </c>
      <c r="F65" t="s">
        <v>3557</v>
      </c>
      <c r="G65">
        <v>0</v>
      </c>
      <c r="H65">
        <v>1</v>
      </c>
      <c r="I65" t="s">
        <v>131</v>
      </c>
      <c r="J65">
        <v>61.174999999999997</v>
      </c>
      <c r="K65" t="s">
        <v>132</v>
      </c>
      <c r="L65" t="s">
        <v>3564</v>
      </c>
      <c r="M65" t="s">
        <v>457</v>
      </c>
      <c r="N65">
        <v>4</v>
      </c>
      <c r="O65" t="s">
        <v>3573</v>
      </c>
      <c r="P65" t="s">
        <v>3573</v>
      </c>
      <c r="Q65" t="s">
        <v>133</v>
      </c>
    </row>
    <row r="66" spans="1:17">
      <c r="A66" t="s">
        <v>836</v>
      </c>
      <c r="B66" t="s">
        <v>9</v>
      </c>
      <c r="C66" t="s">
        <v>2317</v>
      </c>
      <c r="D66" t="s">
        <v>3552</v>
      </c>
      <c r="E66">
        <v>27</v>
      </c>
      <c r="F66" t="s">
        <v>3555</v>
      </c>
      <c r="G66">
        <v>0</v>
      </c>
      <c r="H66">
        <v>1</v>
      </c>
      <c r="I66">
        <v>113806</v>
      </c>
      <c r="J66">
        <v>53.1</v>
      </c>
      <c r="K66" t="s">
        <v>134</v>
      </c>
      <c r="L66" t="s">
        <v>3564</v>
      </c>
      <c r="M66" t="s">
        <v>457</v>
      </c>
      <c r="N66">
        <v>5</v>
      </c>
      <c r="O66" t="s">
        <v>3573</v>
      </c>
      <c r="P66" t="s">
        <v>3573</v>
      </c>
      <c r="Q66" t="s">
        <v>135</v>
      </c>
    </row>
    <row r="67" spans="1:17">
      <c r="A67" t="s">
        <v>836</v>
      </c>
      <c r="B67" t="s">
        <v>9</v>
      </c>
      <c r="C67" t="s">
        <v>2318</v>
      </c>
      <c r="D67" t="s">
        <v>3551</v>
      </c>
      <c r="E67">
        <v>33</v>
      </c>
      <c r="F67" t="s">
        <v>3557</v>
      </c>
      <c r="G67">
        <v>0</v>
      </c>
      <c r="H67">
        <v>1</v>
      </c>
      <c r="I67">
        <v>113806</v>
      </c>
      <c r="J67">
        <v>53.1</v>
      </c>
      <c r="K67" t="s">
        <v>134</v>
      </c>
      <c r="L67" t="s">
        <v>3564</v>
      </c>
      <c r="M67" t="s">
        <v>457</v>
      </c>
      <c r="N67">
        <v>5</v>
      </c>
      <c r="O67" t="s">
        <v>3573</v>
      </c>
      <c r="P67" t="s">
        <v>3573</v>
      </c>
      <c r="Q67" t="s">
        <v>135</v>
      </c>
    </row>
    <row r="68" spans="1:17">
      <c r="A68" t="s">
        <v>836</v>
      </c>
      <c r="B68" t="s">
        <v>9</v>
      </c>
      <c r="C68" t="s">
        <v>2319</v>
      </c>
      <c r="D68" t="s">
        <v>3551</v>
      </c>
      <c r="E68">
        <v>36</v>
      </c>
      <c r="F68" t="s">
        <v>3557</v>
      </c>
      <c r="G68">
        <v>0</v>
      </c>
      <c r="H68">
        <v>0</v>
      </c>
      <c r="I68" t="s">
        <v>101</v>
      </c>
      <c r="J68">
        <v>262.375</v>
      </c>
      <c r="K68" t="s">
        <v>136</v>
      </c>
      <c r="L68" t="s">
        <v>70</v>
      </c>
      <c r="M68" t="s">
        <v>3566</v>
      </c>
      <c r="N68">
        <v>4</v>
      </c>
      <c r="O68" t="s">
        <v>3573</v>
      </c>
      <c r="P68" t="s">
        <v>3573</v>
      </c>
    </row>
    <row r="69" spans="1:17">
      <c r="A69" t="s">
        <v>836</v>
      </c>
      <c r="B69" t="s">
        <v>9</v>
      </c>
      <c r="C69" t="s">
        <v>2320</v>
      </c>
      <c r="D69" t="s">
        <v>3551</v>
      </c>
      <c r="E69">
        <v>30</v>
      </c>
      <c r="F69" t="s">
        <v>3557</v>
      </c>
      <c r="G69">
        <v>0</v>
      </c>
      <c r="H69">
        <v>0</v>
      </c>
      <c r="I69">
        <v>110152</v>
      </c>
      <c r="J69">
        <v>86.5</v>
      </c>
      <c r="K69" t="s">
        <v>137</v>
      </c>
      <c r="L69" t="s">
        <v>70</v>
      </c>
      <c r="M69" t="s">
        <v>457</v>
      </c>
      <c r="N69">
        <v>8</v>
      </c>
      <c r="O69" t="s">
        <v>3573</v>
      </c>
      <c r="P69" t="s">
        <v>3573</v>
      </c>
      <c r="Q69" t="s">
        <v>138</v>
      </c>
    </row>
    <row r="70" spans="1:17">
      <c r="A70" t="s">
        <v>836</v>
      </c>
      <c r="B70" t="s">
        <v>9</v>
      </c>
      <c r="C70" t="s">
        <v>2321</v>
      </c>
      <c r="D70" t="s">
        <v>3552</v>
      </c>
      <c r="E70">
        <v>45</v>
      </c>
      <c r="F70" t="s">
        <v>3557</v>
      </c>
      <c r="G70">
        <v>0</v>
      </c>
      <c r="H70">
        <v>0</v>
      </c>
      <c r="I70" t="s">
        <v>139</v>
      </c>
      <c r="J70">
        <v>29.7</v>
      </c>
      <c r="K70" t="s">
        <v>140</v>
      </c>
      <c r="L70" t="s">
        <v>78</v>
      </c>
      <c r="M70" t="s">
        <v>3566</v>
      </c>
      <c r="N70">
        <v>7</v>
      </c>
      <c r="O70" t="s">
        <v>3573</v>
      </c>
      <c r="P70" t="s">
        <v>3573</v>
      </c>
      <c r="Q70" t="s">
        <v>68</v>
      </c>
    </row>
    <row r="71" spans="1:17">
      <c r="A71" t="s">
        <v>836</v>
      </c>
      <c r="B71" t="s">
        <v>9</v>
      </c>
      <c r="C71" t="s">
        <v>2322</v>
      </c>
      <c r="D71" t="s">
        <v>3551</v>
      </c>
      <c r="E71">
        <v>28</v>
      </c>
      <c r="F71" t="s">
        <v>3555</v>
      </c>
      <c r="G71">
        <v>1</v>
      </c>
      <c r="H71">
        <v>0</v>
      </c>
      <c r="I71">
        <v>113505</v>
      </c>
      <c r="J71">
        <v>55</v>
      </c>
      <c r="K71" t="s">
        <v>103</v>
      </c>
      <c r="L71" t="s">
        <v>3564</v>
      </c>
      <c r="M71" t="s">
        <v>457</v>
      </c>
      <c r="N71">
        <v>6</v>
      </c>
      <c r="O71" t="s">
        <v>3573</v>
      </c>
      <c r="P71" t="s">
        <v>3573</v>
      </c>
      <c r="Q71" t="s">
        <v>104</v>
      </c>
    </row>
    <row r="72" spans="1:17">
      <c r="A72" t="s">
        <v>836</v>
      </c>
      <c r="B72" t="s">
        <v>840</v>
      </c>
      <c r="C72" t="s">
        <v>2323</v>
      </c>
      <c r="D72" t="s">
        <v>3552</v>
      </c>
      <c r="E72">
        <v>28</v>
      </c>
      <c r="F72" t="s">
        <v>3555</v>
      </c>
      <c r="G72">
        <v>0</v>
      </c>
      <c r="H72">
        <v>0</v>
      </c>
      <c r="I72">
        <v>112051</v>
      </c>
      <c r="J72">
        <v>0</v>
      </c>
      <c r="K72" t="s">
        <v>3561</v>
      </c>
      <c r="L72" t="s">
        <v>3561</v>
      </c>
      <c r="M72" t="s">
        <v>457</v>
      </c>
      <c r="N72" t="s">
        <v>3569</v>
      </c>
      <c r="O72" t="s">
        <v>3573</v>
      </c>
      <c r="P72" t="s">
        <v>3573</v>
      </c>
      <c r="Q72" t="s">
        <v>141</v>
      </c>
    </row>
    <row r="73" spans="1:17">
      <c r="A73" t="s">
        <v>836</v>
      </c>
      <c r="B73" t="s">
        <v>840</v>
      </c>
      <c r="C73" t="s">
        <v>2324</v>
      </c>
      <c r="D73" t="s">
        <v>3552</v>
      </c>
      <c r="E73">
        <v>27</v>
      </c>
      <c r="F73" t="s">
        <v>3555</v>
      </c>
      <c r="G73">
        <v>0</v>
      </c>
      <c r="H73">
        <v>1</v>
      </c>
      <c r="I73">
        <v>13508</v>
      </c>
      <c r="J73">
        <v>136.7792</v>
      </c>
      <c r="K73" t="s">
        <v>142</v>
      </c>
      <c r="L73" t="s">
        <v>62</v>
      </c>
      <c r="M73" t="s">
        <v>3566</v>
      </c>
      <c r="N73" t="s">
        <v>3569</v>
      </c>
      <c r="O73" t="s">
        <v>3573</v>
      </c>
      <c r="P73" t="s">
        <v>3573</v>
      </c>
      <c r="Q73" t="s">
        <v>105</v>
      </c>
    </row>
    <row r="74" spans="1:17">
      <c r="A74" t="s">
        <v>836</v>
      </c>
      <c r="B74" t="s">
        <v>9</v>
      </c>
      <c r="C74" t="s">
        <v>2325</v>
      </c>
      <c r="D74" t="s">
        <v>3551</v>
      </c>
      <c r="E74">
        <v>26</v>
      </c>
      <c r="F74" t="s">
        <v>3555</v>
      </c>
      <c r="G74">
        <v>0</v>
      </c>
      <c r="H74">
        <v>1</v>
      </c>
      <c r="I74">
        <v>13508</v>
      </c>
      <c r="J74">
        <v>136.7792</v>
      </c>
      <c r="K74" t="s">
        <v>142</v>
      </c>
      <c r="L74" t="s">
        <v>62</v>
      </c>
      <c r="M74" t="s">
        <v>3566</v>
      </c>
      <c r="N74">
        <v>4</v>
      </c>
      <c r="O74" t="s">
        <v>3573</v>
      </c>
      <c r="P74" t="s">
        <v>3573</v>
      </c>
      <c r="Q74" t="s">
        <v>105</v>
      </c>
    </row>
    <row r="75" spans="1:17">
      <c r="A75" t="s">
        <v>836</v>
      </c>
      <c r="B75" t="s">
        <v>9</v>
      </c>
      <c r="C75" t="s">
        <v>2326</v>
      </c>
      <c r="D75" t="s">
        <v>3551</v>
      </c>
      <c r="E75">
        <v>22</v>
      </c>
      <c r="F75" t="s">
        <v>3555</v>
      </c>
      <c r="G75">
        <v>0</v>
      </c>
      <c r="H75">
        <v>0</v>
      </c>
      <c r="I75">
        <v>113781</v>
      </c>
      <c r="J75">
        <v>151.55000000000001</v>
      </c>
      <c r="K75" t="s">
        <v>3561</v>
      </c>
      <c r="L75" t="s">
        <v>3561</v>
      </c>
      <c r="M75" t="s">
        <v>457</v>
      </c>
      <c r="N75">
        <v>11</v>
      </c>
      <c r="O75" t="s">
        <v>3573</v>
      </c>
      <c r="P75" t="s">
        <v>3573</v>
      </c>
    </row>
    <row r="76" spans="1:17">
      <c r="A76" t="s">
        <v>836</v>
      </c>
      <c r="B76" t="s">
        <v>840</v>
      </c>
      <c r="C76" t="s">
        <v>2327</v>
      </c>
      <c r="D76" t="s">
        <v>3552</v>
      </c>
      <c r="E76">
        <v>28</v>
      </c>
      <c r="F76" t="s">
        <v>3555</v>
      </c>
      <c r="G76">
        <v>0</v>
      </c>
      <c r="H76">
        <v>0</v>
      </c>
      <c r="I76">
        <v>110465</v>
      </c>
      <c r="J76">
        <v>52</v>
      </c>
      <c r="K76" t="s">
        <v>143</v>
      </c>
      <c r="L76" t="s">
        <v>78</v>
      </c>
      <c r="M76" t="s">
        <v>457</v>
      </c>
      <c r="N76" t="s">
        <v>3569</v>
      </c>
      <c r="O76" t="s">
        <v>3573</v>
      </c>
      <c r="P76" t="s">
        <v>3573</v>
      </c>
      <c r="Q76" t="s">
        <v>144</v>
      </c>
    </row>
    <row r="77" spans="1:17">
      <c r="A77" t="s">
        <v>836</v>
      </c>
      <c r="B77" t="s">
        <v>840</v>
      </c>
      <c r="C77" t="s">
        <v>2328</v>
      </c>
      <c r="D77" t="s">
        <v>3552</v>
      </c>
      <c r="E77">
        <v>47</v>
      </c>
      <c r="F77" t="s">
        <v>3557</v>
      </c>
      <c r="G77">
        <v>0</v>
      </c>
      <c r="H77">
        <v>0</v>
      </c>
      <c r="I77">
        <v>5727</v>
      </c>
      <c r="J77">
        <v>25.587499999999999</v>
      </c>
      <c r="K77" t="s">
        <v>145</v>
      </c>
      <c r="L77" t="s">
        <v>3564</v>
      </c>
      <c r="M77" t="s">
        <v>457</v>
      </c>
      <c r="N77" t="s">
        <v>3569</v>
      </c>
      <c r="O77" t="s">
        <v>3573</v>
      </c>
      <c r="P77" t="s">
        <v>3573</v>
      </c>
      <c r="Q77" t="s">
        <v>146</v>
      </c>
    </row>
    <row r="78" spans="1:17">
      <c r="A78" t="s">
        <v>836</v>
      </c>
      <c r="B78" t="s">
        <v>9</v>
      </c>
      <c r="C78" t="s">
        <v>2329</v>
      </c>
      <c r="D78" t="s">
        <v>3551</v>
      </c>
      <c r="E78">
        <v>39</v>
      </c>
      <c r="F78" t="s">
        <v>3557</v>
      </c>
      <c r="G78">
        <v>1</v>
      </c>
      <c r="H78">
        <v>1</v>
      </c>
      <c r="I78" t="s">
        <v>147</v>
      </c>
      <c r="J78">
        <v>83.158299999999997</v>
      </c>
      <c r="K78" t="s">
        <v>148</v>
      </c>
      <c r="L78" t="s">
        <v>3564</v>
      </c>
      <c r="M78" t="s">
        <v>3566</v>
      </c>
      <c r="N78">
        <v>14</v>
      </c>
      <c r="O78" t="s">
        <v>3573</v>
      </c>
      <c r="P78" t="s">
        <v>3573</v>
      </c>
      <c r="Q78" t="s">
        <v>149</v>
      </c>
    </row>
    <row r="79" spans="1:17">
      <c r="A79" t="s">
        <v>836</v>
      </c>
      <c r="B79" t="s">
        <v>840</v>
      </c>
      <c r="C79" t="s">
        <v>2330</v>
      </c>
      <c r="D79" t="s">
        <v>3552</v>
      </c>
      <c r="E79">
        <v>37</v>
      </c>
      <c r="F79" t="s">
        <v>3557</v>
      </c>
      <c r="G79">
        <v>1</v>
      </c>
      <c r="H79">
        <v>1</v>
      </c>
      <c r="I79" t="s">
        <v>147</v>
      </c>
      <c r="J79">
        <v>83.158299999999997</v>
      </c>
      <c r="K79" t="s">
        <v>150</v>
      </c>
      <c r="L79" t="s">
        <v>3564</v>
      </c>
      <c r="M79" t="s">
        <v>3566</v>
      </c>
      <c r="N79" t="s">
        <v>3569</v>
      </c>
      <c r="O79" t="s">
        <v>3573</v>
      </c>
      <c r="P79" t="s">
        <v>3573</v>
      </c>
      <c r="Q79" t="s">
        <v>149</v>
      </c>
    </row>
    <row r="80" spans="1:17">
      <c r="A80" t="s">
        <v>836</v>
      </c>
      <c r="B80" t="s">
        <v>9</v>
      </c>
      <c r="C80" t="s">
        <v>2331</v>
      </c>
      <c r="D80" t="s">
        <v>3551</v>
      </c>
      <c r="E80">
        <v>64</v>
      </c>
      <c r="F80" t="s">
        <v>3559</v>
      </c>
      <c r="G80">
        <v>2</v>
      </c>
      <c r="H80">
        <v>0</v>
      </c>
      <c r="I80" t="s">
        <v>147</v>
      </c>
      <c r="J80">
        <v>83.158299999999997</v>
      </c>
      <c r="K80" t="s">
        <v>151</v>
      </c>
      <c r="L80" t="s">
        <v>3564</v>
      </c>
      <c r="M80" t="s">
        <v>3566</v>
      </c>
      <c r="N80">
        <v>14</v>
      </c>
      <c r="O80" t="s">
        <v>3573</v>
      </c>
      <c r="P80" t="s">
        <v>3573</v>
      </c>
      <c r="Q80" t="s">
        <v>149</v>
      </c>
    </row>
    <row r="81" spans="1:17">
      <c r="A81" t="s">
        <v>836</v>
      </c>
      <c r="B81" t="s">
        <v>9</v>
      </c>
      <c r="C81" t="s">
        <v>2332</v>
      </c>
      <c r="D81" t="s">
        <v>3551</v>
      </c>
      <c r="E81">
        <v>55</v>
      </c>
      <c r="F81" t="s">
        <v>3557</v>
      </c>
      <c r="G81">
        <v>0</v>
      </c>
      <c r="H81">
        <v>2</v>
      </c>
      <c r="I81">
        <v>11770</v>
      </c>
      <c r="J81">
        <v>25.7</v>
      </c>
      <c r="K81" t="s">
        <v>58</v>
      </c>
      <c r="L81" t="s">
        <v>62</v>
      </c>
      <c r="M81" t="s">
        <v>457</v>
      </c>
      <c r="N81">
        <v>2</v>
      </c>
      <c r="O81" t="s">
        <v>3573</v>
      </c>
      <c r="P81" t="s">
        <v>3573</v>
      </c>
      <c r="Q81" t="s">
        <v>53</v>
      </c>
    </row>
    <row r="82" spans="1:17">
      <c r="A82" t="s">
        <v>836</v>
      </c>
      <c r="B82" t="s">
        <v>840</v>
      </c>
      <c r="C82" t="s">
        <v>2333</v>
      </c>
      <c r="D82" t="s">
        <v>3552</v>
      </c>
      <c r="E82">
        <v>28</v>
      </c>
      <c r="F82" t="s">
        <v>3555</v>
      </c>
      <c r="G82">
        <v>0</v>
      </c>
      <c r="H82">
        <v>0</v>
      </c>
      <c r="I82">
        <v>113791</v>
      </c>
      <c r="J82">
        <v>26.55</v>
      </c>
      <c r="K82" t="s">
        <v>3561</v>
      </c>
      <c r="L82" t="s">
        <v>3561</v>
      </c>
      <c r="M82" t="s">
        <v>457</v>
      </c>
      <c r="N82" t="s">
        <v>3569</v>
      </c>
      <c r="O82" t="s">
        <v>3573</v>
      </c>
      <c r="P82" t="s">
        <v>3573</v>
      </c>
      <c r="Q82" t="s">
        <v>152</v>
      </c>
    </row>
    <row r="83" spans="1:17">
      <c r="A83" t="s">
        <v>836</v>
      </c>
      <c r="B83" t="s">
        <v>840</v>
      </c>
      <c r="C83" t="s">
        <v>2334</v>
      </c>
      <c r="D83" t="s">
        <v>3552</v>
      </c>
      <c r="E83">
        <v>70</v>
      </c>
      <c r="F83" t="s">
        <v>3559</v>
      </c>
      <c r="G83">
        <v>1</v>
      </c>
      <c r="H83">
        <v>1</v>
      </c>
      <c r="I83" t="s">
        <v>153</v>
      </c>
      <c r="J83">
        <v>71</v>
      </c>
      <c r="K83" t="s">
        <v>154</v>
      </c>
      <c r="L83" t="s">
        <v>70</v>
      </c>
      <c r="M83" t="s">
        <v>457</v>
      </c>
      <c r="N83" t="s">
        <v>3569</v>
      </c>
      <c r="O83">
        <v>269</v>
      </c>
      <c r="P83" t="s">
        <v>3574</v>
      </c>
      <c r="Q83" t="s">
        <v>155</v>
      </c>
    </row>
    <row r="84" spans="1:17">
      <c r="A84" t="s">
        <v>836</v>
      </c>
      <c r="B84" t="s">
        <v>9</v>
      </c>
      <c r="C84" t="s">
        <v>2335</v>
      </c>
      <c r="D84" t="s">
        <v>3551</v>
      </c>
      <c r="E84">
        <v>36</v>
      </c>
      <c r="F84" t="s">
        <v>3557</v>
      </c>
      <c r="G84">
        <v>2</v>
      </c>
      <c r="H84">
        <v>0</v>
      </c>
      <c r="I84" t="s">
        <v>153</v>
      </c>
      <c r="J84">
        <v>71</v>
      </c>
      <c r="K84" t="s">
        <v>154</v>
      </c>
      <c r="L84" t="s">
        <v>70</v>
      </c>
      <c r="M84" t="s">
        <v>457</v>
      </c>
      <c r="N84">
        <v>7</v>
      </c>
      <c r="O84" t="s">
        <v>3573</v>
      </c>
      <c r="P84" t="s">
        <v>3573</v>
      </c>
      <c r="Q84" t="s">
        <v>155</v>
      </c>
    </row>
    <row r="85" spans="1:17">
      <c r="A85" t="s">
        <v>836</v>
      </c>
      <c r="B85" t="s">
        <v>9</v>
      </c>
      <c r="C85" t="s">
        <v>2336</v>
      </c>
      <c r="D85" t="s">
        <v>3551</v>
      </c>
      <c r="E85">
        <v>64</v>
      </c>
      <c r="F85" t="s">
        <v>3559</v>
      </c>
      <c r="G85">
        <v>1</v>
      </c>
      <c r="H85">
        <v>1</v>
      </c>
      <c r="I85">
        <v>112901</v>
      </c>
      <c r="J85">
        <v>26.55</v>
      </c>
      <c r="K85" t="s">
        <v>156</v>
      </c>
      <c r="L85" t="s">
        <v>70</v>
      </c>
      <c r="M85" t="s">
        <v>457</v>
      </c>
      <c r="N85">
        <v>7</v>
      </c>
      <c r="O85" t="s">
        <v>3573</v>
      </c>
      <c r="P85" t="s">
        <v>3573</v>
      </c>
      <c r="Q85" t="s">
        <v>155</v>
      </c>
    </row>
    <row r="86" spans="1:17">
      <c r="A86" t="s">
        <v>836</v>
      </c>
      <c r="B86" t="s">
        <v>840</v>
      </c>
      <c r="C86" t="s">
        <v>2337</v>
      </c>
      <c r="D86" t="s">
        <v>3552</v>
      </c>
      <c r="E86">
        <v>39</v>
      </c>
      <c r="F86" t="s">
        <v>3557</v>
      </c>
      <c r="G86">
        <v>0</v>
      </c>
      <c r="H86">
        <v>1</v>
      </c>
      <c r="I86" t="s">
        <v>157</v>
      </c>
      <c r="J86">
        <v>71.283299999999997</v>
      </c>
      <c r="K86" t="s">
        <v>35</v>
      </c>
      <c r="L86" t="s">
        <v>62</v>
      </c>
      <c r="M86" t="s">
        <v>3566</v>
      </c>
      <c r="N86" t="s">
        <v>3569</v>
      </c>
      <c r="O86" t="s">
        <v>3573</v>
      </c>
      <c r="P86" t="s">
        <v>3573</v>
      </c>
      <c r="Q86" t="s">
        <v>53</v>
      </c>
    </row>
    <row r="87" spans="1:17">
      <c r="A87" t="s">
        <v>836</v>
      </c>
      <c r="B87" t="s">
        <v>9</v>
      </c>
      <c r="C87" t="s">
        <v>2338</v>
      </c>
      <c r="D87" t="s">
        <v>3551</v>
      </c>
      <c r="E87">
        <v>38</v>
      </c>
      <c r="F87" t="s">
        <v>3557</v>
      </c>
      <c r="G87">
        <v>0</v>
      </c>
      <c r="H87">
        <v>1</v>
      </c>
      <c r="I87" t="s">
        <v>157</v>
      </c>
      <c r="J87">
        <v>71.283299999999997</v>
      </c>
      <c r="K87" t="s">
        <v>35</v>
      </c>
      <c r="L87" t="s">
        <v>62</v>
      </c>
      <c r="M87" t="s">
        <v>3566</v>
      </c>
      <c r="N87">
        <v>4</v>
      </c>
      <c r="O87" t="s">
        <v>3573</v>
      </c>
      <c r="P87" t="s">
        <v>3573</v>
      </c>
      <c r="Q87" t="s">
        <v>53</v>
      </c>
    </row>
    <row r="88" spans="1:17">
      <c r="A88" t="s">
        <v>836</v>
      </c>
      <c r="B88" t="s">
        <v>9</v>
      </c>
      <c r="C88" t="s">
        <v>2339</v>
      </c>
      <c r="D88" t="s">
        <v>3552</v>
      </c>
      <c r="E88">
        <v>51</v>
      </c>
      <c r="F88" t="s">
        <v>3557</v>
      </c>
      <c r="G88">
        <v>0</v>
      </c>
      <c r="H88">
        <v>0</v>
      </c>
      <c r="I88">
        <v>113055</v>
      </c>
      <c r="J88">
        <v>26.55</v>
      </c>
      <c r="K88" t="s">
        <v>158</v>
      </c>
      <c r="L88" t="s">
        <v>3564</v>
      </c>
      <c r="M88" t="s">
        <v>457</v>
      </c>
      <c r="N88" t="s">
        <v>159</v>
      </c>
      <c r="O88" t="s">
        <v>3573</v>
      </c>
      <c r="P88" t="s">
        <v>3573</v>
      </c>
      <c r="Q88" t="s">
        <v>160</v>
      </c>
    </row>
    <row r="89" spans="1:17">
      <c r="A89" t="s">
        <v>836</v>
      </c>
      <c r="B89" t="s">
        <v>9</v>
      </c>
      <c r="C89" t="s">
        <v>2340</v>
      </c>
      <c r="D89" t="s">
        <v>3552</v>
      </c>
      <c r="E89">
        <v>27</v>
      </c>
      <c r="F89" t="s">
        <v>3555</v>
      </c>
      <c r="G89">
        <v>0</v>
      </c>
      <c r="H89">
        <v>0</v>
      </c>
      <c r="I89">
        <v>113804</v>
      </c>
      <c r="J89">
        <v>30.5</v>
      </c>
      <c r="K89" t="s">
        <v>3561</v>
      </c>
      <c r="L89" t="s">
        <v>3561</v>
      </c>
      <c r="M89" t="s">
        <v>457</v>
      </c>
      <c r="N89">
        <v>3</v>
      </c>
      <c r="O89" t="s">
        <v>3573</v>
      </c>
      <c r="P89" t="s">
        <v>3573</v>
      </c>
      <c r="Q89" t="s">
        <v>111</v>
      </c>
    </row>
    <row r="90" spans="1:17">
      <c r="A90" t="s">
        <v>836</v>
      </c>
      <c r="B90" t="s">
        <v>9</v>
      </c>
      <c r="C90" t="s">
        <v>2341</v>
      </c>
      <c r="D90" t="s">
        <v>3551</v>
      </c>
      <c r="E90">
        <v>33</v>
      </c>
      <c r="F90" t="s">
        <v>3557</v>
      </c>
      <c r="G90">
        <v>0</v>
      </c>
      <c r="H90">
        <v>0</v>
      </c>
      <c r="I90">
        <v>113781</v>
      </c>
      <c r="J90">
        <v>151.55000000000001</v>
      </c>
      <c r="K90" t="s">
        <v>3561</v>
      </c>
      <c r="L90" t="s">
        <v>3561</v>
      </c>
      <c r="M90" t="s">
        <v>457</v>
      </c>
      <c r="N90">
        <v>8</v>
      </c>
      <c r="O90" t="s">
        <v>3573</v>
      </c>
      <c r="P90" t="s">
        <v>3573</v>
      </c>
    </row>
    <row r="91" spans="1:17">
      <c r="A91" t="s">
        <v>836</v>
      </c>
      <c r="B91" t="s">
        <v>840</v>
      </c>
      <c r="C91" t="s">
        <v>2342</v>
      </c>
      <c r="D91" t="s">
        <v>3552</v>
      </c>
      <c r="E91">
        <v>31</v>
      </c>
      <c r="F91" t="s">
        <v>3557</v>
      </c>
      <c r="G91">
        <v>0</v>
      </c>
      <c r="H91">
        <v>1</v>
      </c>
      <c r="I91" t="s">
        <v>161</v>
      </c>
      <c r="J91">
        <v>52</v>
      </c>
      <c r="K91" t="s">
        <v>162</v>
      </c>
      <c r="L91" t="s">
        <v>70</v>
      </c>
      <c r="M91" t="s">
        <v>457</v>
      </c>
      <c r="N91" t="s">
        <v>3569</v>
      </c>
      <c r="O91" t="s">
        <v>3573</v>
      </c>
      <c r="P91" t="s">
        <v>3573</v>
      </c>
      <c r="Q91" t="s">
        <v>75</v>
      </c>
    </row>
    <row r="92" spans="1:17">
      <c r="A92" t="s">
        <v>836</v>
      </c>
      <c r="B92" t="s">
        <v>9</v>
      </c>
      <c r="C92" t="s">
        <v>2343</v>
      </c>
      <c r="D92" t="s">
        <v>3551</v>
      </c>
      <c r="E92">
        <v>27</v>
      </c>
      <c r="F92" t="s">
        <v>3555</v>
      </c>
      <c r="G92">
        <v>2</v>
      </c>
      <c r="H92">
        <v>1</v>
      </c>
      <c r="I92" t="s">
        <v>161</v>
      </c>
      <c r="J92">
        <v>52</v>
      </c>
      <c r="K92" t="s">
        <v>162</v>
      </c>
      <c r="L92" t="s">
        <v>70</v>
      </c>
      <c r="M92" t="s">
        <v>457</v>
      </c>
      <c r="N92">
        <v>3</v>
      </c>
      <c r="O92" t="s">
        <v>3573</v>
      </c>
      <c r="P92" t="s">
        <v>3573</v>
      </c>
      <c r="Q92" t="s">
        <v>75</v>
      </c>
    </row>
    <row r="93" spans="1:17">
      <c r="A93" t="s">
        <v>836</v>
      </c>
      <c r="B93" t="s">
        <v>9</v>
      </c>
      <c r="C93" t="s">
        <v>2344</v>
      </c>
      <c r="D93" t="s">
        <v>3552</v>
      </c>
      <c r="E93">
        <v>31</v>
      </c>
      <c r="F93" t="s">
        <v>3557</v>
      </c>
      <c r="G93">
        <v>0</v>
      </c>
      <c r="H93">
        <v>1</v>
      </c>
      <c r="I93">
        <v>17474</v>
      </c>
      <c r="J93">
        <v>57</v>
      </c>
      <c r="K93" t="s">
        <v>163</v>
      </c>
      <c r="L93" t="s">
        <v>70</v>
      </c>
      <c r="M93" t="s">
        <v>457</v>
      </c>
      <c r="N93">
        <v>3</v>
      </c>
      <c r="O93" t="s">
        <v>3573</v>
      </c>
      <c r="P93" t="s">
        <v>3573</v>
      </c>
      <c r="Q93" t="s">
        <v>164</v>
      </c>
    </row>
    <row r="94" spans="1:17">
      <c r="A94" t="s">
        <v>836</v>
      </c>
      <c r="B94" t="s">
        <v>9</v>
      </c>
      <c r="C94" t="s">
        <v>2345</v>
      </c>
      <c r="D94" t="s">
        <v>3551</v>
      </c>
      <c r="E94">
        <v>17</v>
      </c>
      <c r="F94" t="s">
        <v>3560</v>
      </c>
      <c r="G94">
        <v>0</v>
      </c>
      <c r="H94">
        <v>1</v>
      </c>
      <c r="I94">
        <v>17474</v>
      </c>
      <c r="J94">
        <v>57</v>
      </c>
      <c r="K94" t="s">
        <v>163</v>
      </c>
      <c r="L94" t="s">
        <v>70</v>
      </c>
      <c r="M94" t="s">
        <v>457</v>
      </c>
      <c r="N94">
        <v>3</v>
      </c>
      <c r="O94" t="s">
        <v>3573</v>
      </c>
      <c r="P94" t="s">
        <v>3573</v>
      </c>
      <c r="Q94" t="s">
        <v>164</v>
      </c>
    </row>
    <row r="95" spans="1:17">
      <c r="A95" t="s">
        <v>836</v>
      </c>
      <c r="B95" t="s">
        <v>9</v>
      </c>
      <c r="C95" t="s">
        <v>2346</v>
      </c>
      <c r="D95" t="s">
        <v>3552</v>
      </c>
      <c r="E95">
        <v>53</v>
      </c>
      <c r="F95" t="s">
        <v>3557</v>
      </c>
      <c r="G95">
        <v>1</v>
      </c>
      <c r="H95">
        <v>1</v>
      </c>
      <c r="I95">
        <v>33638</v>
      </c>
      <c r="J95">
        <v>81.8583</v>
      </c>
      <c r="K95" t="s">
        <v>165</v>
      </c>
      <c r="L95" t="s">
        <v>78</v>
      </c>
      <c r="M95" t="s">
        <v>457</v>
      </c>
      <c r="N95">
        <v>13</v>
      </c>
      <c r="O95" t="s">
        <v>3573</v>
      </c>
      <c r="P95" t="s">
        <v>3573</v>
      </c>
      <c r="Q95" t="s">
        <v>84</v>
      </c>
    </row>
    <row r="96" spans="1:17">
      <c r="A96" t="s">
        <v>836</v>
      </c>
      <c r="B96" t="s">
        <v>9</v>
      </c>
      <c r="C96" t="s">
        <v>2347</v>
      </c>
      <c r="D96" t="s">
        <v>3552</v>
      </c>
      <c r="E96">
        <v>4</v>
      </c>
      <c r="F96" t="s">
        <v>3556</v>
      </c>
      <c r="G96">
        <v>2</v>
      </c>
      <c r="H96">
        <v>0</v>
      </c>
      <c r="I96">
        <v>33638</v>
      </c>
      <c r="J96">
        <v>81.8583</v>
      </c>
      <c r="K96" t="s">
        <v>165</v>
      </c>
      <c r="L96" t="s">
        <v>78</v>
      </c>
      <c r="M96" t="s">
        <v>457</v>
      </c>
      <c r="N96">
        <v>5</v>
      </c>
      <c r="O96" t="s">
        <v>3573</v>
      </c>
      <c r="P96" t="s">
        <v>3573</v>
      </c>
      <c r="Q96" t="s">
        <v>84</v>
      </c>
    </row>
    <row r="97" spans="1:17">
      <c r="A97" t="s">
        <v>836</v>
      </c>
      <c r="B97" t="s">
        <v>9</v>
      </c>
      <c r="C97" t="s">
        <v>2348</v>
      </c>
      <c r="D97" t="s">
        <v>3551</v>
      </c>
      <c r="E97">
        <v>54</v>
      </c>
      <c r="F97" t="s">
        <v>3557</v>
      </c>
      <c r="G97">
        <v>1</v>
      </c>
      <c r="H97">
        <v>1</v>
      </c>
      <c r="I97">
        <v>33638</v>
      </c>
      <c r="J97">
        <v>81.8583</v>
      </c>
      <c r="K97" t="s">
        <v>165</v>
      </c>
      <c r="L97" t="s">
        <v>78</v>
      </c>
      <c r="M97" t="s">
        <v>457</v>
      </c>
      <c r="N97">
        <v>5</v>
      </c>
      <c r="O97" t="s">
        <v>3573</v>
      </c>
      <c r="P97" t="s">
        <v>3573</v>
      </c>
      <c r="Q97" t="s">
        <v>84</v>
      </c>
    </row>
    <row r="98" spans="1:17">
      <c r="A98" t="s">
        <v>836</v>
      </c>
      <c r="B98" t="s">
        <v>840</v>
      </c>
      <c r="C98" t="s">
        <v>2349</v>
      </c>
      <c r="D98" t="s">
        <v>3552</v>
      </c>
      <c r="E98">
        <v>50</v>
      </c>
      <c r="F98" t="s">
        <v>3557</v>
      </c>
      <c r="G98">
        <v>0</v>
      </c>
      <c r="H98">
        <v>1</v>
      </c>
      <c r="I98" t="s">
        <v>166</v>
      </c>
      <c r="J98">
        <v>106.425</v>
      </c>
      <c r="K98" t="s">
        <v>167</v>
      </c>
      <c r="L98" t="s">
        <v>62</v>
      </c>
      <c r="M98" t="s">
        <v>3566</v>
      </c>
      <c r="N98" t="s">
        <v>3569</v>
      </c>
      <c r="O98">
        <v>62</v>
      </c>
      <c r="P98" t="s">
        <v>3574</v>
      </c>
      <c r="Q98" t="s">
        <v>168</v>
      </c>
    </row>
    <row r="99" spans="1:17">
      <c r="A99" t="s">
        <v>836</v>
      </c>
      <c r="B99" t="s">
        <v>9</v>
      </c>
      <c r="C99" t="s">
        <v>2350</v>
      </c>
      <c r="D99" t="s">
        <v>3551</v>
      </c>
      <c r="E99">
        <v>27</v>
      </c>
      <c r="F99" t="s">
        <v>3555</v>
      </c>
      <c r="G99">
        <v>1</v>
      </c>
      <c r="H99">
        <v>1</v>
      </c>
      <c r="I99" t="s">
        <v>73</v>
      </c>
      <c r="J99">
        <v>247.52080000000001</v>
      </c>
      <c r="K99" t="s">
        <v>74</v>
      </c>
      <c r="L99" t="s">
        <v>70</v>
      </c>
      <c r="M99" t="s">
        <v>3566</v>
      </c>
      <c r="N99">
        <v>6</v>
      </c>
      <c r="O99" t="s">
        <v>3573</v>
      </c>
      <c r="P99" t="s">
        <v>3573</v>
      </c>
      <c r="Q99" t="s">
        <v>75</v>
      </c>
    </row>
    <row r="100" spans="1:17">
      <c r="A100" t="s">
        <v>836</v>
      </c>
      <c r="B100" t="s">
        <v>9</v>
      </c>
      <c r="C100" t="s">
        <v>2351</v>
      </c>
      <c r="D100" t="s">
        <v>3551</v>
      </c>
      <c r="E100">
        <v>48</v>
      </c>
      <c r="F100" t="s">
        <v>3557</v>
      </c>
      <c r="G100">
        <v>0</v>
      </c>
      <c r="H100">
        <v>1</v>
      </c>
      <c r="I100" t="s">
        <v>166</v>
      </c>
      <c r="J100">
        <v>106.425</v>
      </c>
      <c r="K100" t="s">
        <v>167</v>
      </c>
      <c r="L100" t="s">
        <v>62</v>
      </c>
      <c r="M100" t="s">
        <v>3566</v>
      </c>
      <c r="N100">
        <v>2</v>
      </c>
      <c r="O100" t="s">
        <v>3573</v>
      </c>
      <c r="P100" t="s">
        <v>3573</v>
      </c>
      <c r="Q100" t="s">
        <v>168</v>
      </c>
    </row>
    <row r="101" spans="1:17">
      <c r="A101" t="s">
        <v>836</v>
      </c>
      <c r="B101" t="s">
        <v>9</v>
      </c>
      <c r="C101" t="s">
        <v>2352</v>
      </c>
      <c r="D101" t="s">
        <v>3551</v>
      </c>
      <c r="E101">
        <v>48</v>
      </c>
      <c r="F101" t="s">
        <v>3557</v>
      </c>
      <c r="G101">
        <v>0</v>
      </c>
      <c r="H101">
        <v>1</v>
      </c>
      <c r="I101">
        <v>11755</v>
      </c>
      <c r="J101">
        <v>39.6</v>
      </c>
      <c r="K101" t="s">
        <v>169</v>
      </c>
      <c r="L101" t="s">
        <v>78</v>
      </c>
      <c r="M101" t="s">
        <v>3566</v>
      </c>
      <c r="N101">
        <v>1</v>
      </c>
      <c r="O101" t="s">
        <v>3573</v>
      </c>
      <c r="P101" t="s">
        <v>3573</v>
      </c>
      <c r="Q101" t="s">
        <v>170</v>
      </c>
    </row>
    <row r="102" spans="1:17">
      <c r="A102" t="s">
        <v>836</v>
      </c>
      <c r="B102" t="s">
        <v>9</v>
      </c>
      <c r="C102" t="s">
        <v>2353</v>
      </c>
      <c r="D102" t="s">
        <v>3552</v>
      </c>
      <c r="E102">
        <v>49</v>
      </c>
      <c r="F102" t="s">
        <v>3557</v>
      </c>
      <c r="G102">
        <v>0</v>
      </c>
      <c r="H102">
        <v>1</v>
      </c>
      <c r="I102" t="s">
        <v>171</v>
      </c>
      <c r="J102">
        <v>56.929200000000002</v>
      </c>
      <c r="K102" t="s">
        <v>172</v>
      </c>
      <c r="L102" t="s">
        <v>78</v>
      </c>
      <c r="M102" t="s">
        <v>3566</v>
      </c>
      <c r="N102">
        <v>1</v>
      </c>
      <c r="O102" t="s">
        <v>3573</v>
      </c>
      <c r="P102" t="s">
        <v>3573</v>
      </c>
      <c r="Q102" t="s">
        <v>170</v>
      </c>
    </row>
    <row r="103" spans="1:17">
      <c r="A103" t="s">
        <v>836</v>
      </c>
      <c r="B103" t="s">
        <v>840</v>
      </c>
      <c r="C103" t="s">
        <v>2354</v>
      </c>
      <c r="D103" t="s">
        <v>3552</v>
      </c>
      <c r="E103">
        <v>39</v>
      </c>
      <c r="F103" t="s">
        <v>3557</v>
      </c>
      <c r="G103">
        <v>0</v>
      </c>
      <c r="H103">
        <v>0</v>
      </c>
      <c r="I103" t="s">
        <v>173</v>
      </c>
      <c r="J103">
        <v>29.7</v>
      </c>
      <c r="K103" t="s">
        <v>174</v>
      </c>
      <c r="L103" t="s">
        <v>78</v>
      </c>
      <c r="M103" t="s">
        <v>3566</v>
      </c>
      <c r="N103" t="s">
        <v>3569</v>
      </c>
      <c r="O103">
        <v>133</v>
      </c>
      <c r="P103" t="s">
        <v>3574</v>
      </c>
      <c r="Q103" t="s">
        <v>111</v>
      </c>
    </row>
    <row r="104" spans="1:17">
      <c r="A104" t="s">
        <v>836</v>
      </c>
      <c r="B104" t="s">
        <v>9</v>
      </c>
      <c r="C104" t="s">
        <v>2355</v>
      </c>
      <c r="D104" t="s">
        <v>3551</v>
      </c>
      <c r="E104">
        <v>23</v>
      </c>
      <c r="F104" t="s">
        <v>3555</v>
      </c>
      <c r="G104">
        <v>1</v>
      </c>
      <c r="H104">
        <v>0</v>
      </c>
      <c r="I104">
        <v>11767</v>
      </c>
      <c r="J104">
        <v>83.158299999999997</v>
      </c>
      <c r="K104" t="s">
        <v>175</v>
      </c>
      <c r="L104" t="s">
        <v>62</v>
      </c>
      <c r="M104" t="s">
        <v>3566</v>
      </c>
      <c r="N104">
        <v>7</v>
      </c>
      <c r="O104" t="s">
        <v>3573</v>
      </c>
      <c r="P104" t="s">
        <v>3573</v>
      </c>
      <c r="Q104" t="s">
        <v>176</v>
      </c>
    </row>
    <row r="105" spans="1:17">
      <c r="A105" t="s">
        <v>836</v>
      </c>
      <c r="B105" t="s">
        <v>9</v>
      </c>
      <c r="C105" t="s">
        <v>2356</v>
      </c>
      <c r="D105" t="s">
        <v>3551</v>
      </c>
      <c r="E105">
        <v>38</v>
      </c>
      <c r="F105" t="s">
        <v>3557</v>
      </c>
      <c r="G105">
        <v>0</v>
      </c>
      <c r="H105">
        <v>0</v>
      </c>
      <c r="I105" t="s">
        <v>64</v>
      </c>
      <c r="J105">
        <v>227.52500000000001</v>
      </c>
      <c r="K105" t="s">
        <v>177</v>
      </c>
      <c r="L105" t="s">
        <v>62</v>
      </c>
      <c r="M105" t="s">
        <v>3566</v>
      </c>
      <c r="N105">
        <v>4</v>
      </c>
      <c r="O105" t="s">
        <v>3573</v>
      </c>
      <c r="P105" t="s">
        <v>3573</v>
      </c>
      <c r="Q105" t="s">
        <v>53</v>
      </c>
    </row>
    <row r="106" spans="1:17">
      <c r="A106" t="s">
        <v>836</v>
      </c>
      <c r="B106" t="s">
        <v>9</v>
      </c>
      <c r="C106" t="s">
        <v>2357</v>
      </c>
      <c r="D106" t="s">
        <v>3551</v>
      </c>
      <c r="E106">
        <v>54</v>
      </c>
      <c r="F106" t="s">
        <v>3557</v>
      </c>
      <c r="G106">
        <v>0</v>
      </c>
      <c r="H106">
        <v>1</v>
      </c>
      <c r="I106">
        <v>36947</v>
      </c>
      <c r="J106">
        <v>78.2667</v>
      </c>
      <c r="K106" t="s">
        <v>178</v>
      </c>
      <c r="L106" t="s">
        <v>59</v>
      </c>
      <c r="M106" t="s">
        <v>3566</v>
      </c>
      <c r="N106">
        <v>4</v>
      </c>
      <c r="O106" t="s">
        <v>3573</v>
      </c>
      <c r="P106" t="s">
        <v>3573</v>
      </c>
      <c r="Q106" t="s">
        <v>179</v>
      </c>
    </row>
    <row r="107" spans="1:17">
      <c r="A107" t="s">
        <v>836</v>
      </c>
      <c r="B107" t="s">
        <v>840</v>
      </c>
      <c r="C107" t="s">
        <v>2358</v>
      </c>
      <c r="D107" t="s">
        <v>3551</v>
      </c>
      <c r="E107">
        <v>36</v>
      </c>
      <c r="F107" t="s">
        <v>3557</v>
      </c>
      <c r="G107">
        <v>0</v>
      </c>
      <c r="H107">
        <v>0</v>
      </c>
      <c r="I107" t="s">
        <v>180</v>
      </c>
      <c r="J107">
        <v>31.679200000000002</v>
      </c>
      <c r="K107" t="s">
        <v>181</v>
      </c>
      <c r="L107" t="s">
        <v>78</v>
      </c>
      <c r="M107" t="s">
        <v>3566</v>
      </c>
      <c r="N107" t="s">
        <v>3569</v>
      </c>
      <c r="O107" t="s">
        <v>3573</v>
      </c>
      <c r="P107" t="s">
        <v>3573</v>
      </c>
      <c r="Q107" t="s">
        <v>53</v>
      </c>
    </row>
    <row r="108" spans="1:17">
      <c r="A108" t="s">
        <v>836</v>
      </c>
      <c r="B108" t="s">
        <v>840</v>
      </c>
      <c r="C108" t="s">
        <v>2359</v>
      </c>
      <c r="D108" t="s">
        <v>3552</v>
      </c>
      <c r="E108">
        <v>28</v>
      </c>
      <c r="F108" t="s">
        <v>3555</v>
      </c>
      <c r="G108">
        <v>0</v>
      </c>
      <c r="H108">
        <v>0</v>
      </c>
      <c r="I108" t="s">
        <v>82</v>
      </c>
      <c r="J108">
        <v>221.7792</v>
      </c>
      <c r="K108" t="s">
        <v>182</v>
      </c>
      <c r="L108" t="s">
        <v>62</v>
      </c>
      <c r="M108" t="s">
        <v>457</v>
      </c>
      <c r="N108" t="s">
        <v>3569</v>
      </c>
      <c r="O108" t="s">
        <v>3573</v>
      </c>
      <c r="P108" t="s">
        <v>3573</v>
      </c>
    </row>
    <row r="109" spans="1:17">
      <c r="A109" t="s">
        <v>836</v>
      </c>
      <c r="B109" t="s">
        <v>9</v>
      </c>
      <c r="C109" t="s">
        <v>2360</v>
      </c>
      <c r="D109" t="s">
        <v>3551</v>
      </c>
      <c r="E109">
        <v>28</v>
      </c>
      <c r="F109" t="s">
        <v>3555</v>
      </c>
      <c r="G109">
        <v>0</v>
      </c>
      <c r="H109">
        <v>0</v>
      </c>
      <c r="I109" t="s">
        <v>183</v>
      </c>
      <c r="J109">
        <v>31.683299999999999</v>
      </c>
      <c r="K109" t="s">
        <v>3561</v>
      </c>
      <c r="L109" t="s">
        <v>3561</v>
      </c>
      <c r="M109" t="s">
        <v>457</v>
      </c>
      <c r="N109">
        <v>7</v>
      </c>
      <c r="O109" t="s">
        <v>3573</v>
      </c>
      <c r="P109" t="s">
        <v>3573</v>
      </c>
      <c r="Q109" t="s">
        <v>53</v>
      </c>
    </row>
    <row r="110" spans="1:17">
      <c r="A110" t="s">
        <v>836</v>
      </c>
      <c r="B110" t="s">
        <v>9</v>
      </c>
      <c r="C110" t="s">
        <v>2361</v>
      </c>
      <c r="D110" t="s">
        <v>3551</v>
      </c>
      <c r="E110">
        <v>28</v>
      </c>
      <c r="F110" t="s">
        <v>3555</v>
      </c>
      <c r="G110">
        <v>0</v>
      </c>
      <c r="H110">
        <v>0</v>
      </c>
      <c r="I110">
        <v>17421</v>
      </c>
      <c r="J110">
        <v>110.88330000000001</v>
      </c>
      <c r="K110" t="s">
        <v>3561</v>
      </c>
      <c r="L110" t="s">
        <v>3561</v>
      </c>
      <c r="M110" t="s">
        <v>3566</v>
      </c>
      <c r="N110">
        <v>4</v>
      </c>
      <c r="O110" t="s">
        <v>3573</v>
      </c>
      <c r="P110" t="s">
        <v>3573</v>
      </c>
    </row>
    <row r="111" spans="1:17">
      <c r="A111" t="s">
        <v>836</v>
      </c>
      <c r="B111" t="s">
        <v>9</v>
      </c>
      <c r="C111" t="s">
        <v>2362</v>
      </c>
      <c r="D111" t="s">
        <v>3552</v>
      </c>
      <c r="E111">
        <v>36</v>
      </c>
      <c r="F111" t="s">
        <v>3557</v>
      </c>
      <c r="G111">
        <v>0</v>
      </c>
      <c r="H111">
        <v>0</v>
      </c>
      <c r="I111" t="s">
        <v>184</v>
      </c>
      <c r="J111">
        <v>26.387499999999999</v>
      </c>
      <c r="K111" t="s">
        <v>185</v>
      </c>
      <c r="L111" t="s">
        <v>3564</v>
      </c>
      <c r="M111" t="s">
        <v>457</v>
      </c>
      <c r="N111">
        <v>5</v>
      </c>
      <c r="O111" t="s">
        <v>3573</v>
      </c>
      <c r="P111" t="s">
        <v>3573</v>
      </c>
      <c r="Q111" t="s">
        <v>186</v>
      </c>
    </row>
    <row r="112" spans="1:17">
      <c r="A112" t="s">
        <v>836</v>
      </c>
      <c r="B112" t="s">
        <v>840</v>
      </c>
      <c r="C112" t="s">
        <v>2363</v>
      </c>
      <c r="D112" t="s">
        <v>3552</v>
      </c>
      <c r="E112">
        <v>30</v>
      </c>
      <c r="F112" t="s">
        <v>3557</v>
      </c>
      <c r="G112">
        <v>0</v>
      </c>
      <c r="H112">
        <v>0</v>
      </c>
      <c r="I112">
        <v>113051</v>
      </c>
      <c r="J112">
        <v>27.75</v>
      </c>
      <c r="K112" t="s">
        <v>187</v>
      </c>
      <c r="L112" t="s">
        <v>62</v>
      </c>
      <c r="M112" t="s">
        <v>3566</v>
      </c>
      <c r="N112" t="s">
        <v>3569</v>
      </c>
      <c r="O112" t="s">
        <v>3573</v>
      </c>
      <c r="P112" t="s">
        <v>3573</v>
      </c>
      <c r="Q112" t="s">
        <v>53</v>
      </c>
    </row>
    <row r="113" spans="1:17">
      <c r="A113" t="s">
        <v>836</v>
      </c>
      <c r="B113" t="s">
        <v>9</v>
      </c>
      <c r="C113" t="s">
        <v>2364</v>
      </c>
      <c r="D113" t="s">
        <v>3551</v>
      </c>
      <c r="E113">
        <v>24</v>
      </c>
      <c r="F113" t="s">
        <v>3555</v>
      </c>
      <c r="G113">
        <v>2</v>
      </c>
      <c r="H113">
        <v>3</v>
      </c>
      <c r="I113">
        <v>19950</v>
      </c>
      <c r="J113">
        <v>263</v>
      </c>
      <c r="K113" t="s">
        <v>188</v>
      </c>
      <c r="L113" t="s">
        <v>62</v>
      </c>
      <c r="M113" t="s">
        <v>457</v>
      </c>
      <c r="N113">
        <v>10</v>
      </c>
      <c r="O113" t="s">
        <v>3573</v>
      </c>
      <c r="P113" t="s">
        <v>3573</v>
      </c>
      <c r="Q113" t="s">
        <v>189</v>
      </c>
    </row>
    <row r="114" spans="1:17">
      <c r="A114" t="s">
        <v>836</v>
      </c>
      <c r="B114" t="s">
        <v>9</v>
      </c>
      <c r="C114" t="s">
        <v>2365</v>
      </c>
      <c r="D114" t="s">
        <v>3551</v>
      </c>
      <c r="E114">
        <v>28</v>
      </c>
      <c r="F114" t="s">
        <v>3555</v>
      </c>
      <c r="G114">
        <v>2</v>
      </c>
      <c r="H114">
        <v>3</v>
      </c>
      <c r="I114">
        <v>19950</v>
      </c>
      <c r="J114">
        <v>263</v>
      </c>
      <c r="K114" t="s">
        <v>188</v>
      </c>
      <c r="L114" t="s">
        <v>62</v>
      </c>
      <c r="M114" t="s">
        <v>457</v>
      </c>
      <c r="N114">
        <v>10</v>
      </c>
      <c r="O114" t="s">
        <v>3573</v>
      </c>
      <c r="P114" t="s">
        <v>3573</v>
      </c>
      <c r="Q114" t="s">
        <v>189</v>
      </c>
    </row>
    <row r="115" spans="1:17">
      <c r="A115" t="s">
        <v>836</v>
      </c>
      <c r="B115" t="s">
        <v>9</v>
      </c>
      <c r="C115" t="s">
        <v>2366</v>
      </c>
      <c r="D115" t="s">
        <v>3551</v>
      </c>
      <c r="E115">
        <v>23</v>
      </c>
      <c r="F115" t="s">
        <v>3555</v>
      </c>
      <c r="G115">
        <v>2</v>
      </c>
      <c r="H115">
        <v>3</v>
      </c>
      <c r="I115">
        <v>19950</v>
      </c>
      <c r="J115">
        <v>263</v>
      </c>
      <c r="K115" t="s">
        <v>188</v>
      </c>
      <c r="L115" t="s">
        <v>62</v>
      </c>
      <c r="M115" t="s">
        <v>457</v>
      </c>
      <c r="N115">
        <v>10</v>
      </c>
      <c r="O115" t="s">
        <v>3573</v>
      </c>
      <c r="P115" t="s">
        <v>3573</v>
      </c>
      <c r="Q115" t="s">
        <v>189</v>
      </c>
    </row>
    <row r="116" spans="1:17">
      <c r="A116" t="s">
        <v>836</v>
      </c>
      <c r="B116" t="s">
        <v>840</v>
      </c>
      <c r="C116" t="s">
        <v>2367</v>
      </c>
      <c r="D116" t="s">
        <v>3552</v>
      </c>
      <c r="E116">
        <v>19</v>
      </c>
      <c r="F116" t="s">
        <v>3555</v>
      </c>
      <c r="G116">
        <v>2</v>
      </c>
      <c r="H116">
        <v>3</v>
      </c>
      <c r="I116">
        <v>19950</v>
      </c>
      <c r="J116">
        <v>263</v>
      </c>
      <c r="K116" t="s">
        <v>188</v>
      </c>
      <c r="L116" t="s">
        <v>62</v>
      </c>
      <c r="M116" t="s">
        <v>457</v>
      </c>
      <c r="N116" t="s">
        <v>3569</v>
      </c>
      <c r="O116" t="s">
        <v>3573</v>
      </c>
      <c r="P116" t="s">
        <v>3573</v>
      </c>
      <c r="Q116" t="s">
        <v>189</v>
      </c>
    </row>
    <row r="117" spans="1:17">
      <c r="A117" t="s">
        <v>836</v>
      </c>
      <c r="B117" t="s">
        <v>840</v>
      </c>
      <c r="C117" t="s">
        <v>2368</v>
      </c>
      <c r="D117" t="s">
        <v>3552</v>
      </c>
      <c r="E117">
        <v>64</v>
      </c>
      <c r="F117" t="s">
        <v>3559</v>
      </c>
      <c r="G117">
        <v>4</v>
      </c>
      <c r="H117">
        <v>1</v>
      </c>
      <c r="I117">
        <v>19950</v>
      </c>
      <c r="J117">
        <v>263</v>
      </c>
      <c r="K117" t="s">
        <v>188</v>
      </c>
      <c r="L117" t="s">
        <v>62</v>
      </c>
      <c r="M117" t="s">
        <v>457</v>
      </c>
      <c r="N117" t="s">
        <v>3569</v>
      </c>
      <c r="O117" t="s">
        <v>3573</v>
      </c>
      <c r="P117" t="s">
        <v>3573</v>
      </c>
      <c r="Q117" t="s">
        <v>189</v>
      </c>
    </row>
    <row r="118" spans="1:17">
      <c r="A118" t="s">
        <v>836</v>
      </c>
      <c r="B118" t="s">
        <v>9</v>
      </c>
      <c r="C118" t="s">
        <v>2369</v>
      </c>
      <c r="D118" t="s">
        <v>3551</v>
      </c>
      <c r="E118">
        <v>60</v>
      </c>
      <c r="F118" t="s">
        <v>3559</v>
      </c>
      <c r="G118">
        <v>4</v>
      </c>
      <c r="H118">
        <v>1</v>
      </c>
      <c r="I118">
        <v>19950</v>
      </c>
      <c r="J118">
        <v>263</v>
      </c>
      <c r="K118" t="s">
        <v>188</v>
      </c>
      <c r="L118" t="s">
        <v>62</v>
      </c>
      <c r="M118" t="s">
        <v>457</v>
      </c>
      <c r="N118">
        <v>10</v>
      </c>
      <c r="O118" t="s">
        <v>3573</v>
      </c>
      <c r="P118" t="s">
        <v>3573</v>
      </c>
      <c r="Q118" t="s">
        <v>189</v>
      </c>
    </row>
    <row r="119" spans="1:17">
      <c r="A119" t="s">
        <v>836</v>
      </c>
      <c r="B119" t="s">
        <v>9</v>
      </c>
      <c r="C119" t="s">
        <v>2370</v>
      </c>
      <c r="D119" t="s">
        <v>3551</v>
      </c>
      <c r="E119">
        <v>30</v>
      </c>
      <c r="F119" t="s">
        <v>3557</v>
      </c>
      <c r="G119">
        <v>0</v>
      </c>
      <c r="H119">
        <v>0</v>
      </c>
      <c r="I119" t="s">
        <v>171</v>
      </c>
      <c r="J119">
        <v>56.929200000000002</v>
      </c>
      <c r="K119" t="s">
        <v>190</v>
      </c>
      <c r="L119" t="s">
        <v>3564</v>
      </c>
      <c r="M119" t="s">
        <v>3566</v>
      </c>
      <c r="N119">
        <v>1</v>
      </c>
      <c r="O119" t="s">
        <v>3573</v>
      </c>
      <c r="P119" t="s">
        <v>3573</v>
      </c>
    </row>
    <row r="120" spans="1:17">
      <c r="A120" t="s">
        <v>836</v>
      </c>
      <c r="B120" t="s">
        <v>840</v>
      </c>
      <c r="C120" t="s">
        <v>2371</v>
      </c>
      <c r="D120" t="s">
        <v>3552</v>
      </c>
      <c r="E120">
        <v>28</v>
      </c>
      <c r="F120" t="s">
        <v>3555</v>
      </c>
      <c r="G120">
        <v>0</v>
      </c>
      <c r="H120">
        <v>0</v>
      </c>
      <c r="I120">
        <v>113778</v>
      </c>
      <c r="J120">
        <v>26.55</v>
      </c>
      <c r="K120" t="s">
        <v>191</v>
      </c>
      <c r="L120" t="s">
        <v>59</v>
      </c>
      <c r="M120" t="s">
        <v>457</v>
      </c>
      <c r="N120" t="s">
        <v>3569</v>
      </c>
      <c r="O120" t="s">
        <v>3573</v>
      </c>
      <c r="P120" t="s">
        <v>3573</v>
      </c>
      <c r="Q120" t="s">
        <v>192</v>
      </c>
    </row>
    <row r="121" spans="1:17">
      <c r="A121" t="s">
        <v>836</v>
      </c>
      <c r="B121" t="s">
        <v>9</v>
      </c>
      <c r="C121" t="s">
        <v>2372</v>
      </c>
      <c r="D121" t="s">
        <v>3552</v>
      </c>
      <c r="E121">
        <v>50</v>
      </c>
      <c r="F121" t="s">
        <v>3557</v>
      </c>
      <c r="G121">
        <v>0</v>
      </c>
      <c r="H121">
        <v>2</v>
      </c>
      <c r="I121" t="s">
        <v>193</v>
      </c>
      <c r="J121">
        <v>133.65</v>
      </c>
      <c r="K121" t="s">
        <v>3561</v>
      </c>
      <c r="L121" t="s">
        <v>3561</v>
      </c>
      <c r="M121" t="s">
        <v>457</v>
      </c>
      <c r="N121">
        <v>5</v>
      </c>
      <c r="O121" t="s">
        <v>3573</v>
      </c>
      <c r="P121" t="s">
        <v>3573</v>
      </c>
      <c r="Q121" t="s">
        <v>53</v>
      </c>
    </row>
    <row r="122" spans="1:17">
      <c r="A122" t="s">
        <v>836</v>
      </c>
      <c r="B122" t="s">
        <v>9</v>
      </c>
      <c r="C122" t="s">
        <v>2373</v>
      </c>
      <c r="D122" t="s">
        <v>3552</v>
      </c>
      <c r="E122">
        <v>43</v>
      </c>
      <c r="F122" t="s">
        <v>3557</v>
      </c>
      <c r="G122">
        <v>0</v>
      </c>
      <c r="H122">
        <v>1</v>
      </c>
      <c r="I122">
        <v>17765</v>
      </c>
      <c r="J122">
        <v>27.720800000000001</v>
      </c>
      <c r="K122" t="s">
        <v>194</v>
      </c>
      <c r="L122" t="s">
        <v>59</v>
      </c>
      <c r="M122" t="s">
        <v>3566</v>
      </c>
      <c r="N122">
        <v>5</v>
      </c>
      <c r="O122" t="s">
        <v>3573</v>
      </c>
      <c r="P122" t="s">
        <v>3573</v>
      </c>
      <c r="Q122" t="s">
        <v>53</v>
      </c>
    </row>
    <row r="123" spans="1:17">
      <c r="A123" t="s">
        <v>836</v>
      </c>
      <c r="B123" t="s">
        <v>9</v>
      </c>
      <c r="C123" t="s">
        <v>2374</v>
      </c>
      <c r="D123" t="s">
        <v>3551</v>
      </c>
      <c r="E123">
        <v>28</v>
      </c>
      <c r="F123" t="s">
        <v>3555</v>
      </c>
      <c r="G123">
        <v>0</v>
      </c>
      <c r="H123">
        <v>1</v>
      </c>
      <c r="I123" t="s">
        <v>193</v>
      </c>
      <c r="J123">
        <v>133.65</v>
      </c>
      <c r="K123" t="s">
        <v>3561</v>
      </c>
      <c r="L123" t="s">
        <v>3561</v>
      </c>
      <c r="M123" t="s">
        <v>457</v>
      </c>
      <c r="N123">
        <v>5</v>
      </c>
      <c r="O123" t="s">
        <v>3573</v>
      </c>
      <c r="P123" t="s">
        <v>3573</v>
      </c>
      <c r="Q123" t="s">
        <v>53</v>
      </c>
    </row>
    <row r="124" spans="1:17">
      <c r="A124" t="s">
        <v>836</v>
      </c>
      <c r="B124" t="s">
        <v>9</v>
      </c>
      <c r="C124" t="s">
        <v>2375</v>
      </c>
      <c r="D124" t="s">
        <v>3551</v>
      </c>
      <c r="E124">
        <v>22</v>
      </c>
      <c r="F124" t="s">
        <v>3555</v>
      </c>
      <c r="G124">
        <v>2</v>
      </c>
      <c r="H124">
        <v>0</v>
      </c>
      <c r="I124">
        <v>13568</v>
      </c>
      <c r="J124">
        <v>49.5</v>
      </c>
      <c r="K124" t="s">
        <v>195</v>
      </c>
      <c r="L124" t="s">
        <v>70</v>
      </c>
      <c r="M124" t="s">
        <v>3566</v>
      </c>
      <c r="N124">
        <v>5</v>
      </c>
      <c r="O124" t="s">
        <v>3573</v>
      </c>
      <c r="P124" t="s">
        <v>3573</v>
      </c>
      <c r="Q124" t="s">
        <v>196</v>
      </c>
    </row>
    <row r="125" spans="1:17">
      <c r="A125" t="s">
        <v>836</v>
      </c>
      <c r="B125" t="s">
        <v>9</v>
      </c>
      <c r="C125" t="s">
        <v>2376</v>
      </c>
      <c r="D125" t="s">
        <v>3552</v>
      </c>
      <c r="E125">
        <v>60</v>
      </c>
      <c r="F125" t="s">
        <v>3559</v>
      </c>
      <c r="G125">
        <v>1</v>
      </c>
      <c r="H125">
        <v>1</v>
      </c>
      <c r="I125">
        <v>13567</v>
      </c>
      <c r="J125">
        <v>79.2</v>
      </c>
      <c r="K125" t="s">
        <v>197</v>
      </c>
      <c r="L125" t="s">
        <v>70</v>
      </c>
      <c r="M125" t="s">
        <v>3566</v>
      </c>
      <c r="N125">
        <v>5</v>
      </c>
      <c r="O125" t="s">
        <v>3573</v>
      </c>
      <c r="P125" t="s">
        <v>3573</v>
      </c>
      <c r="Q125" t="s">
        <v>196</v>
      </c>
    </row>
    <row r="126" spans="1:17">
      <c r="A126" t="s">
        <v>836</v>
      </c>
      <c r="B126" t="s">
        <v>9</v>
      </c>
      <c r="C126" t="s">
        <v>2377</v>
      </c>
      <c r="D126" t="s">
        <v>3551</v>
      </c>
      <c r="E126">
        <v>48</v>
      </c>
      <c r="F126" t="s">
        <v>3557</v>
      </c>
      <c r="G126">
        <v>1</v>
      </c>
      <c r="H126">
        <v>1</v>
      </c>
      <c r="I126">
        <v>13567</v>
      </c>
      <c r="J126">
        <v>79.2</v>
      </c>
      <c r="K126" t="s">
        <v>197</v>
      </c>
      <c r="L126" t="s">
        <v>70</v>
      </c>
      <c r="M126" t="s">
        <v>3566</v>
      </c>
      <c r="N126">
        <v>5</v>
      </c>
      <c r="O126" t="s">
        <v>3573</v>
      </c>
      <c r="P126" t="s">
        <v>3573</v>
      </c>
      <c r="Q126" t="s">
        <v>196</v>
      </c>
    </row>
    <row r="127" spans="1:17">
      <c r="A127" t="s">
        <v>836</v>
      </c>
      <c r="B127" t="s">
        <v>840</v>
      </c>
      <c r="C127" t="s">
        <v>2378</v>
      </c>
      <c r="D127" t="s">
        <v>3552</v>
      </c>
      <c r="E127">
        <v>28</v>
      </c>
      <c r="F127" t="s">
        <v>3555</v>
      </c>
      <c r="G127">
        <v>0</v>
      </c>
      <c r="H127">
        <v>0</v>
      </c>
      <c r="I127">
        <v>112058</v>
      </c>
      <c r="J127">
        <v>0</v>
      </c>
      <c r="K127" t="s">
        <v>198</v>
      </c>
      <c r="L127" t="s">
        <v>70</v>
      </c>
      <c r="M127" t="s">
        <v>457</v>
      </c>
      <c r="N127" t="s">
        <v>3569</v>
      </c>
      <c r="O127" t="s">
        <v>3573</v>
      </c>
      <c r="P127" t="s">
        <v>3573</v>
      </c>
    </row>
    <row r="128" spans="1:17">
      <c r="A128" t="s">
        <v>836</v>
      </c>
      <c r="B128" t="s">
        <v>840</v>
      </c>
      <c r="C128" t="s">
        <v>2379</v>
      </c>
      <c r="D128" t="s">
        <v>3552</v>
      </c>
      <c r="E128">
        <v>37</v>
      </c>
      <c r="F128" t="s">
        <v>3557</v>
      </c>
      <c r="G128">
        <v>0</v>
      </c>
      <c r="H128">
        <v>1</v>
      </c>
      <c r="I128">
        <v>113803</v>
      </c>
      <c r="J128">
        <v>53.1</v>
      </c>
      <c r="K128" t="s">
        <v>199</v>
      </c>
      <c r="L128" t="s">
        <v>62</v>
      </c>
      <c r="M128" t="s">
        <v>457</v>
      </c>
      <c r="N128" t="s">
        <v>3569</v>
      </c>
      <c r="O128" t="s">
        <v>3573</v>
      </c>
      <c r="P128" t="s">
        <v>3573</v>
      </c>
      <c r="Q128" t="s">
        <v>200</v>
      </c>
    </row>
    <row r="129" spans="1:17">
      <c r="A129" t="s">
        <v>836</v>
      </c>
      <c r="B129" t="s">
        <v>9</v>
      </c>
      <c r="C129" t="s">
        <v>2380</v>
      </c>
      <c r="D129" t="s">
        <v>3551</v>
      </c>
      <c r="E129">
        <v>35</v>
      </c>
      <c r="F129" t="s">
        <v>3557</v>
      </c>
      <c r="G129">
        <v>0</v>
      </c>
      <c r="H129">
        <v>1</v>
      </c>
      <c r="I129">
        <v>113803</v>
      </c>
      <c r="J129">
        <v>53.1</v>
      </c>
      <c r="K129" t="s">
        <v>199</v>
      </c>
      <c r="L129" t="s">
        <v>62</v>
      </c>
      <c r="M129" t="s">
        <v>457</v>
      </c>
      <c r="N129" t="s">
        <v>59</v>
      </c>
      <c r="O129" t="s">
        <v>3573</v>
      </c>
      <c r="P129" t="s">
        <v>3573</v>
      </c>
      <c r="Q129" t="s">
        <v>200</v>
      </c>
    </row>
    <row r="130" spans="1:17">
      <c r="A130" t="s">
        <v>836</v>
      </c>
      <c r="B130" t="s">
        <v>840</v>
      </c>
      <c r="C130" t="s">
        <v>2381</v>
      </c>
      <c r="D130" t="s">
        <v>3552</v>
      </c>
      <c r="E130">
        <v>47</v>
      </c>
      <c r="F130" t="s">
        <v>3557</v>
      </c>
      <c r="G130">
        <v>0</v>
      </c>
      <c r="H130">
        <v>0</v>
      </c>
      <c r="I130">
        <v>111320</v>
      </c>
      <c r="J130">
        <v>38.5</v>
      </c>
      <c r="K130" t="s">
        <v>201</v>
      </c>
      <c r="L130" t="s">
        <v>3564</v>
      </c>
      <c r="M130" t="s">
        <v>457</v>
      </c>
      <c r="N130" t="s">
        <v>3569</v>
      </c>
      <c r="O130">
        <v>275</v>
      </c>
      <c r="P130" t="s">
        <v>3574</v>
      </c>
      <c r="Q130" t="s">
        <v>202</v>
      </c>
    </row>
    <row r="131" spans="1:17">
      <c r="A131" t="s">
        <v>836</v>
      </c>
      <c r="B131" t="s">
        <v>9</v>
      </c>
      <c r="C131" t="s">
        <v>2382</v>
      </c>
      <c r="D131" t="s">
        <v>3551</v>
      </c>
      <c r="E131">
        <v>35</v>
      </c>
      <c r="F131" t="s">
        <v>3557</v>
      </c>
      <c r="G131">
        <v>0</v>
      </c>
      <c r="H131">
        <v>0</v>
      </c>
      <c r="I131">
        <v>113503</v>
      </c>
      <c r="J131">
        <v>211.5</v>
      </c>
      <c r="K131" t="s">
        <v>203</v>
      </c>
      <c r="L131" t="s">
        <v>62</v>
      </c>
      <c r="M131" t="s">
        <v>3566</v>
      </c>
      <c r="N131">
        <v>4</v>
      </c>
      <c r="O131" t="s">
        <v>3573</v>
      </c>
      <c r="P131" t="s">
        <v>3573</v>
      </c>
    </row>
    <row r="132" spans="1:17">
      <c r="A132" t="s">
        <v>836</v>
      </c>
      <c r="B132" t="s">
        <v>9</v>
      </c>
      <c r="C132" t="s">
        <v>2383</v>
      </c>
      <c r="D132" t="s">
        <v>3551</v>
      </c>
      <c r="E132">
        <v>22</v>
      </c>
      <c r="F132" t="s">
        <v>3555</v>
      </c>
      <c r="G132">
        <v>1</v>
      </c>
      <c r="H132">
        <v>0</v>
      </c>
      <c r="I132">
        <v>112378</v>
      </c>
      <c r="J132">
        <v>59.4</v>
      </c>
      <c r="K132" t="s">
        <v>3561</v>
      </c>
      <c r="L132" t="s">
        <v>3561</v>
      </c>
      <c r="M132" t="s">
        <v>3566</v>
      </c>
      <c r="N132">
        <v>7</v>
      </c>
      <c r="O132" t="s">
        <v>3573</v>
      </c>
      <c r="P132" t="s">
        <v>3573</v>
      </c>
      <c r="Q132" t="s">
        <v>53</v>
      </c>
    </row>
    <row r="133" spans="1:17">
      <c r="A133" t="s">
        <v>836</v>
      </c>
      <c r="B133" t="s">
        <v>9</v>
      </c>
      <c r="C133" t="s">
        <v>2384</v>
      </c>
      <c r="D133" t="s">
        <v>3551</v>
      </c>
      <c r="E133">
        <v>45</v>
      </c>
      <c r="F133" t="s">
        <v>3557</v>
      </c>
      <c r="G133">
        <v>1</v>
      </c>
      <c r="H133">
        <v>0</v>
      </c>
      <c r="I133">
        <v>112378</v>
      </c>
      <c r="J133">
        <v>59.4</v>
      </c>
      <c r="K133" t="s">
        <v>3561</v>
      </c>
      <c r="L133" t="s">
        <v>3561</v>
      </c>
      <c r="M133" t="s">
        <v>3566</v>
      </c>
      <c r="N133">
        <v>7</v>
      </c>
      <c r="O133" t="s">
        <v>3573</v>
      </c>
      <c r="P133" t="s">
        <v>3573</v>
      </c>
      <c r="Q133" t="s">
        <v>53</v>
      </c>
    </row>
    <row r="134" spans="1:17">
      <c r="A134" t="s">
        <v>836</v>
      </c>
      <c r="B134" t="s">
        <v>840</v>
      </c>
      <c r="C134" t="s">
        <v>2385</v>
      </c>
      <c r="D134" t="s">
        <v>3552</v>
      </c>
      <c r="E134">
        <v>24</v>
      </c>
      <c r="F134" t="s">
        <v>3555</v>
      </c>
      <c r="G134">
        <v>0</v>
      </c>
      <c r="H134">
        <v>0</v>
      </c>
      <c r="I134" t="s">
        <v>204</v>
      </c>
      <c r="J134">
        <v>79.2</v>
      </c>
      <c r="K134" t="s">
        <v>205</v>
      </c>
      <c r="L134" t="s">
        <v>70</v>
      </c>
      <c r="M134" t="s">
        <v>3566</v>
      </c>
      <c r="N134" t="s">
        <v>3569</v>
      </c>
      <c r="O134" t="s">
        <v>3573</v>
      </c>
      <c r="P134" t="s">
        <v>3573</v>
      </c>
    </row>
    <row r="135" spans="1:17">
      <c r="A135" t="s">
        <v>836</v>
      </c>
      <c r="B135" t="s">
        <v>9</v>
      </c>
      <c r="C135" t="s">
        <v>2386</v>
      </c>
      <c r="D135" t="s">
        <v>3552</v>
      </c>
      <c r="E135">
        <v>49</v>
      </c>
      <c r="F135" t="s">
        <v>3557</v>
      </c>
      <c r="G135">
        <v>0</v>
      </c>
      <c r="H135">
        <v>1</v>
      </c>
      <c r="I135">
        <v>17453</v>
      </c>
      <c r="J135">
        <v>89.104200000000006</v>
      </c>
      <c r="K135" t="s">
        <v>206</v>
      </c>
      <c r="L135" t="s">
        <v>62</v>
      </c>
      <c r="M135" t="s">
        <v>3566</v>
      </c>
      <c r="N135">
        <v>5</v>
      </c>
      <c r="O135" t="s">
        <v>3573</v>
      </c>
      <c r="P135" t="s">
        <v>3573</v>
      </c>
      <c r="Q135" t="s">
        <v>207</v>
      </c>
    </row>
    <row r="136" spans="1:17">
      <c r="A136" t="s">
        <v>836</v>
      </c>
      <c r="B136" t="s">
        <v>9</v>
      </c>
      <c r="C136" t="s">
        <v>2387</v>
      </c>
      <c r="D136" t="s">
        <v>3551</v>
      </c>
      <c r="E136">
        <v>28</v>
      </c>
      <c r="F136" t="s">
        <v>3555</v>
      </c>
      <c r="G136">
        <v>0</v>
      </c>
      <c r="H136">
        <v>1</v>
      </c>
      <c r="I136">
        <v>17453</v>
      </c>
      <c r="J136">
        <v>89.104200000000006</v>
      </c>
      <c r="K136" t="s">
        <v>206</v>
      </c>
      <c r="L136" t="s">
        <v>62</v>
      </c>
      <c r="M136" t="s">
        <v>3566</v>
      </c>
      <c r="N136">
        <v>5</v>
      </c>
      <c r="O136" t="s">
        <v>3573</v>
      </c>
      <c r="P136" t="s">
        <v>3573</v>
      </c>
      <c r="Q136" t="s">
        <v>207</v>
      </c>
    </row>
    <row r="137" spans="1:17">
      <c r="A137" t="s">
        <v>836</v>
      </c>
      <c r="B137" t="s">
        <v>840</v>
      </c>
      <c r="C137" t="s">
        <v>2388</v>
      </c>
      <c r="D137" t="s">
        <v>3552</v>
      </c>
      <c r="E137">
        <v>71</v>
      </c>
      <c r="F137" t="s">
        <v>3559</v>
      </c>
      <c r="G137">
        <v>0</v>
      </c>
      <c r="H137">
        <v>0</v>
      </c>
      <c r="I137" t="s">
        <v>208</v>
      </c>
      <c r="J137">
        <v>34.654200000000003</v>
      </c>
      <c r="K137" t="s">
        <v>209</v>
      </c>
      <c r="L137" t="s">
        <v>78</v>
      </c>
      <c r="M137" t="s">
        <v>3566</v>
      </c>
      <c r="N137" t="s">
        <v>3569</v>
      </c>
      <c r="O137" t="s">
        <v>3573</v>
      </c>
      <c r="P137" t="s">
        <v>3573</v>
      </c>
      <c r="Q137" t="s">
        <v>53</v>
      </c>
    </row>
    <row r="138" spans="1:17">
      <c r="A138" t="s">
        <v>836</v>
      </c>
      <c r="B138" t="s">
        <v>9</v>
      </c>
      <c r="C138" t="s">
        <v>2389</v>
      </c>
      <c r="D138" t="s">
        <v>3552</v>
      </c>
      <c r="E138">
        <v>53</v>
      </c>
      <c r="F138" t="s">
        <v>3557</v>
      </c>
      <c r="G138">
        <v>0</v>
      </c>
      <c r="H138">
        <v>0</v>
      </c>
      <c r="I138">
        <v>113780</v>
      </c>
      <c r="J138">
        <v>28.5</v>
      </c>
      <c r="K138" t="s">
        <v>210</v>
      </c>
      <c r="L138" t="s">
        <v>62</v>
      </c>
      <c r="M138" t="s">
        <v>3566</v>
      </c>
      <c r="N138" t="s">
        <v>70</v>
      </c>
      <c r="O138" t="s">
        <v>3573</v>
      </c>
      <c r="P138" t="s">
        <v>3573</v>
      </c>
      <c r="Q138" t="s">
        <v>118</v>
      </c>
    </row>
    <row r="139" spans="1:17">
      <c r="A139" t="s">
        <v>836</v>
      </c>
      <c r="B139" t="s">
        <v>9</v>
      </c>
      <c r="C139" t="s">
        <v>2390</v>
      </c>
      <c r="D139" t="s">
        <v>3551</v>
      </c>
      <c r="E139">
        <v>19</v>
      </c>
      <c r="F139" t="s">
        <v>3555</v>
      </c>
      <c r="G139">
        <v>0</v>
      </c>
      <c r="H139">
        <v>0</v>
      </c>
      <c r="I139">
        <v>112053</v>
      </c>
      <c r="J139">
        <v>30</v>
      </c>
      <c r="K139" t="s">
        <v>211</v>
      </c>
      <c r="L139" t="s">
        <v>70</v>
      </c>
      <c r="M139" t="s">
        <v>457</v>
      </c>
      <c r="N139">
        <v>3</v>
      </c>
      <c r="O139" t="s">
        <v>3573</v>
      </c>
      <c r="P139" t="s">
        <v>3573</v>
      </c>
      <c r="Q139" t="s">
        <v>212</v>
      </c>
    </row>
    <row r="140" spans="1:17">
      <c r="A140" t="s">
        <v>836</v>
      </c>
      <c r="B140" t="s">
        <v>840</v>
      </c>
      <c r="C140" t="s">
        <v>2391</v>
      </c>
      <c r="D140" t="s">
        <v>3552</v>
      </c>
      <c r="E140">
        <v>38</v>
      </c>
      <c r="F140" t="s">
        <v>3557</v>
      </c>
      <c r="G140">
        <v>1</v>
      </c>
      <c r="H140">
        <v>0</v>
      </c>
      <c r="I140" t="s">
        <v>213</v>
      </c>
      <c r="J140">
        <v>153.46250000000001</v>
      </c>
      <c r="K140" t="s">
        <v>214</v>
      </c>
      <c r="L140" t="s">
        <v>62</v>
      </c>
      <c r="M140" t="s">
        <v>457</v>
      </c>
      <c r="N140" t="s">
        <v>3569</v>
      </c>
      <c r="O140">
        <v>147</v>
      </c>
      <c r="P140" t="s">
        <v>3574</v>
      </c>
      <c r="Q140" t="s">
        <v>189</v>
      </c>
    </row>
    <row r="141" spans="1:17">
      <c r="A141" t="s">
        <v>836</v>
      </c>
      <c r="B141" t="s">
        <v>9</v>
      </c>
      <c r="C141" t="s">
        <v>2392</v>
      </c>
      <c r="D141" t="s">
        <v>3551</v>
      </c>
      <c r="E141">
        <v>58</v>
      </c>
      <c r="F141" t="s">
        <v>3557</v>
      </c>
      <c r="G141">
        <v>1</v>
      </c>
      <c r="H141">
        <v>0</v>
      </c>
      <c r="I141" t="s">
        <v>213</v>
      </c>
      <c r="J141">
        <v>153.46250000000001</v>
      </c>
      <c r="K141" t="s">
        <v>215</v>
      </c>
      <c r="L141" t="s">
        <v>62</v>
      </c>
      <c r="M141" t="s">
        <v>457</v>
      </c>
      <c r="N141">
        <v>3</v>
      </c>
      <c r="O141" t="s">
        <v>3573</v>
      </c>
      <c r="P141" t="s">
        <v>3573</v>
      </c>
      <c r="Q141" t="s">
        <v>212</v>
      </c>
    </row>
    <row r="142" spans="1:17">
      <c r="A142" t="s">
        <v>836</v>
      </c>
      <c r="B142" t="s">
        <v>9</v>
      </c>
      <c r="C142" t="s">
        <v>2393</v>
      </c>
      <c r="D142" t="s">
        <v>3552</v>
      </c>
      <c r="E142">
        <v>23</v>
      </c>
      <c r="F142" t="s">
        <v>3555</v>
      </c>
      <c r="G142">
        <v>1</v>
      </c>
      <c r="H142">
        <v>0</v>
      </c>
      <c r="I142" t="s">
        <v>216</v>
      </c>
      <c r="J142">
        <v>63.3583</v>
      </c>
      <c r="K142" t="s">
        <v>217</v>
      </c>
      <c r="L142" t="s">
        <v>59</v>
      </c>
      <c r="M142" t="s">
        <v>3566</v>
      </c>
      <c r="N142">
        <v>7</v>
      </c>
      <c r="O142" t="s">
        <v>3573</v>
      </c>
      <c r="P142" t="s">
        <v>3573</v>
      </c>
      <c r="Q142" t="s">
        <v>53</v>
      </c>
    </row>
    <row r="143" spans="1:17">
      <c r="A143" t="s">
        <v>836</v>
      </c>
      <c r="B143" t="s">
        <v>9</v>
      </c>
      <c r="C143" t="s">
        <v>2394</v>
      </c>
      <c r="D143" t="s">
        <v>3551</v>
      </c>
      <c r="E143">
        <v>45</v>
      </c>
      <c r="F143" t="s">
        <v>3557</v>
      </c>
      <c r="G143">
        <v>1</v>
      </c>
      <c r="H143">
        <v>0</v>
      </c>
      <c r="I143" t="s">
        <v>216</v>
      </c>
      <c r="J143">
        <v>63.3583</v>
      </c>
      <c r="K143" t="s">
        <v>217</v>
      </c>
      <c r="L143" t="s">
        <v>59</v>
      </c>
      <c r="M143" t="s">
        <v>3566</v>
      </c>
      <c r="N143">
        <v>7</v>
      </c>
      <c r="O143" t="s">
        <v>3573</v>
      </c>
      <c r="P143" t="s">
        <v>3573</v>
      </c>
      <c r="Q143" t="s">
        <v>53</v>
      </c>
    </row>
    <row r="144" spans="1:17">
      <c r="A144" t="s">
        <v>836</v>
      </c>
      <c r="B144" t="s">
        <v>840</v>
      </c>
      <c r="C144" t="s">
        <v>2395</v>
      </c>
      <c r="D144" t="s">
        <v>3552</v>
      </c>
      <c r="E144">
        <v>46</v>
      </c>
      <c r="F144" t="s">
        <v>3557</v>
      </c>
      <c r="G144">
        <v>0</v>
      </c>
      <c r="H144">
        <v>0</v>
      </c>
      <c r="I144" t="s">
        <v>204</v>
      </c>
      <c r="J144">
        <v>79.2</v>
      </c>
      <c r="K144" t="s">
        <v>218</v>
      </c>
      <c r="L144" t="s">
        <v>70</v>
      </c>
      <c r="M144" t="s">
        <v>3566</v>
      </c>
      <c r="N144" t="s">
        <v>3569</v>
      </c>
      <c r="O144" t="s">
        <v>3573</v>
      </c>
      <c r="P144" t="s">
        <v>3573</v>
      </c>
      <c r="Q144" t="s">
        <v>53</v>
      </c>
    </row>
    <row r="145" spans="1:17">
      <c r="A145" t="s">
        <v>836</v>
      </c>
      <c r="B145" t="s">
        <v>9</v>
      </c>
      <c r="C145" t="s">
        <v>2396</v>
      </c>
      <c r="D145" t="s">
        <v>3552</v>
      </c>
      <c r="E145">
        <v>25</v>
      </c>
      <c r="F145" t="s">
        <v>3555</v>
      </c>
      <c r="G145">
        <v>0</v>
      </c>
      <c r="H145">
        <v>1</v>
      </c>
      <c r="I145">
        <v>11765</v>
      </c>
      <c r="J145">
        <v>55.441699999999997</v>
      </c>
      <c r="K145" t="s">
        <v>219</v>
      </c>
      <c r="L145" t="s">
        <v>3564</v>
      </c>
      <c r="M145" t="s">
        <v>3566</v>
      </c>
      <c r="N145">
        <v>5</v>
      </c>
      <c r="O145" t="s">
        <v>3573</v>
      </c>
      <c r="P145" t="s">
        <v>3573</v>
      </c>
      <c r="Q145" t="s">
        <v>186</v>
      </c>
    </row>
    <row r="146" spans="1:17">
      <c r="A146" t="s">
        <v>836</v>
      </c>
      <c r="B146" t="s">
        <v>9</v>
      </c>
      <c r="C146" t="s">
        <v>2397</v>
      </c>
      <c r="D146" t="s">
        <v>3551</v>
      </c>
      <c r="E146">
        <v>25</v>
      </c>
      <c r="F146" t="s">
        <v>3555</v>
      </c>
      <c r="G146">
        <v>0</v>
      </c>
      <c r="H146">
        <v>1</v>
      </c>
      <c r="I146">
        <v>11765</v>
      </c>
      <c r="J146">
        <v>55.441699999999997</v>
      </c>
      <c r="K146" t="s">
        <v>219</v>
      </c>
      <c r="L146" t="s">
        <v>3564</v>
      </c>
      <c r="M146" t="s">
        <v>3566</v>
      </c>
      <c r="N146">
        <v>5</v>
      </c>
      <c r="O146" t="s">
        <v>3573</v>
      </c>
      <c r="P146" t="s">
        <v>3573</v>
      </c>
      <c r="Q146" t="s">
        <v>186</v>
      </c>
    </row>
    <row r="147" spans="1:17">
      <c r="A147" t="s">
        <v>836</v>
      </c>
      <c r="B147" t="s">
        <v>9</v>
      </c>
      <c r="C147" t="s">
        <v>2398</v>
      </c>
      <c r="D147" t="s">
        <v>3552</v>
      </c>
      <c r="E147">
        <v>48</v>
      </c>
      <c r="F147" t="s">
        <v>3557</v>
      </c>
      <c r="G147">
        <v>0</v>
      </c>
      <c r="H147">
        <v>1</v>
      </c>
      <c r="I147" t="s">
        <v>220</v>
      </c>
      <c r="J147">
        <v>76.729200000000006</v>
      </c>
      <c r="K147" t="s">
        <v>221</v>
      </c>
      <c r="L147" t="s">
        <v>59</v>
      </c>
      <c r="M147" t="s">
        <v>3566</v>
      </c>
      <c r="N147">
        <v>3</v>
      </c>
      <c r="O147" t="s">
        <v>3573</v>
      </c>
      <c r="P147" t="s">
        <v>3573</v>
      </c>
      <c r="Q147" t="s">
        <v>53</v>
      </c>
    </row>
    <row r="148" spans="1:17">
      <c r="A148" t="s">
        <v>836</v>
      </c>
      <c r="B148" t="s">
        <v>9</v>
      </c>
      <c r="C148" t="s">
        <v>2399</v>
      </c>
      <c r="D148" t="s">
        <v>3551</v>
      </c>
      <c r="E148">
        <v>49</v>
      </c>
      <c r="F148" t="s">
        <v>3557</v>
      </c>
      <c r="G148">
        <v>0</v>
      </c>
      <c r="H148">
        <v>1</v>
      </c>
      <c r="I148" t="s">
        <v>220</v>
      </c>
      <c r="J148">
        <v>76.729200000000006</v>
      </c>
      <c r="K148" t="s">
        <v>221</v>
      </c>
      <c r="L148" t="s">
        <v>59</v>
      </c>
      <c r="M148" t="s">
        <v>3566</v>
      </c>
      <c r="N148">
        <v>3</v>
      </c>
      <c r="O148" t="s">
        <v>3573</v>
      </c>
      <c r="P148" t="s">
        <v>3573</v>
      </c>
      <c r="Q148" t="s">
        <v>53</v>
      </c>
    </row>
    <row r="149" spans="1:17">
      <c r="A149" t="s">
        <v>836</v>
      </c>
      <c r="B149" t="s">
        <v>840</v>
      </c>
      <c r="C149" t="s">
        <v>2400</v>
      </c>
      <c r="D149" t="s">
        <v>3552</v>
      </c>
      <c r="E149">
        <v>28</v>
      </c>
      <c r="F149" t="s">
        <v>3555</v>
      </c>
      <c r="G149">
        <v>0</v>
      </c>
      <c r="H149">
        <v>0</v>
      </c>
      <c r="I149">
        <v>113796</v>
      </c>
      <c r="J149">
        <v>42.4</v>
      </c>
      <c r="K149" t="s">
        <v>3561</v>
      </c>
      <c r="L149" t="s">
        <v>3561</v>
      </c>
      <c r="M149" t="s">
        <v>457</v>
      </c>
      <c r="N149" t="s">
        <v>3569</v>
      </c>
      <c r="O149" t="s">
        <v>3573</v>
      </c>
      <c r="P149" t="s">
        <v>3573</v>
      </c>
    </row>
    <row r="150" spans="1:17">
      <c r="A150" t="s">
        <v>836</v>
      </c>
      <c r="B150" t="s">
        <v>840</v>
      </c>
      <c r="C150" t="s">
        <v>2401</v>
      </c>
      <c r="D150" t="s">
        <v>3552</v>
      </c>
      <c r="E150">
        <v>45</v>
      </c>
      <c r="F150" t="s">
        <v>3557</v>
      </c>
      <c r="G150">
        <v>0</v>
      </c>
      <c r="H150">
        <v>1</v>
      </c>
      <c r="I150">
        <v>36973</v>
      </c>
      <c r="J150">
        <v>83.474999999999994</v>
      </c>
      <c r="K150" t="s">
        <v>222</v>
      </c>
      <c r="L150" t="s">
        <v>62</v>
      </c>
      <c r="M150" t="s">
        <v>457</v>
      </c>
      <c r="N150" t="s">
        <v>3569</v>
      </c>
      <c r="O150" t="s">
        <v>3573</v>
      </c>
      <c r="P150" t="s">
        <v>3573</v>
      </c>
      <c r="Q150" t="s">
        <v>53</v>
      </c>
    </row>
    <row r="151" spans="1:17">
      <c r="A151" t="s">
        <v>836</v>
      </c>
      <c r="B151" t="s">
        <v>9</v>
      </c>
      <c r="C151" t="s">
        <v>2402</v>
      </c>
      <c r="D151" t="s">
        <v>3551</v>
      </c>
      <c r="E151">
        <v>35</v>
      </c>
      <c r="F151" t="s">
        <v>3557</v>
      </c>
      <c r="G151">
        <v>0</v>
      </c>
      <c r="H151">
        <v>1</v>
      </c>
      <c r="I151">
        <v>36973</v>
      </c>
      <c r="J151">
        <v>83.474999999999994</v>
      </c>
      <c r="K151" t="s">
        <v>222</v>
      </c>
      <c r="L151" t="s">
        <v>62</v>
      </c>
      <c r="M151" t="s">
        <v>457</v>
      </c>
      <c r="N151" t="s">
        <v>59</v>
      </c>
      <c r="O151" t="s">
        <v>3573</v>
      </c>
      <c r="P151" t="s">
        <v>3573</v>
      </c>
      <c r="Q151" t="s">
        <v>53</v>
      </c>
    </row>
    <row r="152" spans="1:17">
      <c r="A152" t="s">
        <v>836</v>
      </c>
      <c r="B152" t="s">
        <v>840</v>
      </c>
      <c r="C152" t="s">
        <v>2403</v>
      </c>
      <c r="D152" t="s">
        <v>3552</v>
      </c>
      <c r="E152">
        <v>40</v>
      </c>
      <c r="F152" t="s">
        <v>3557</v>
      </c>
      <c r="G152">
        <v>0</v>
      </c>
      <c r="H152">
        <v>0</v>
      </c>
      <c r="I152">
        <v>112059</v>
      </c>
      <c r="J152">
        <v>0</v>
      </c>
      <c r="K152" t="s">
        <v>223</v>
      </c>
      <c r="L152" t="s">
        <v>70</v>
      </c>
      <c r="M152" t="s">
        <v>457</v>
      </c>
      <c r="N152" t="s">
        <v>3569</v>
      </c>
      <c r="O152">
        <v>110</v>
      </c>
      <c r="P152" t="s">
        <v>3574</v>
      </c>
    </row>
    <row r="153" spans="1:17">
      <c r="A153" t="s">
        <v>836</v>
      </c>
      <c r="B153" t="s">
        <v>9</v>
      </c>
      <c r="C153" t="s">
        <v>2404</v>
      </c>
      <c r="D153" t="s">
        <v>3552</v>
      </c>
      <c r="E153">
        <v>27</v>
      </c>
      <c r="F153" t="s">
        <v>3555</v>
      </c>
      <c r="G153">
        <v>0</v>
      </c>
      <c r="H153">
        <v>0</v>
      </c>
      <c r="I153" t="s">
        <v>220</v>
      </c>
      <c r="J153">
        <v>76.729200000000006</v>
      </c>
      <c r="K153" t="s">
        <v>224</v>
      </c>
      <c r="L153" t="s">
        <v>59</v>
      </c>
      <c r="M153" t="s">
        <v>3566</v>
      </c>
      <c r="N153">
        <v>3</v>
      </c>
      <c r="O153" t="s">
        <v>3573</v>
      </c>
      <c r="P153" t="s">
        <v>3573</v>
      </c>
    </row>
    <row r="154" spans="1:17">
      <c r="A154" t="s">
        <v>836</v>
      </c>
      <c r="B154" t="s">
        <v>9</v>
      </c>
      <c r="C154" t="s">
        <v>2405</v>
      </c>
      <c r="D154" t="s">
        <v>3552</v>
      </c>
      <c r="E154">
        <v>28</v>
      </c>
      <c r="F154" t="s">
        <v>3555</v>
      </c>
      <c r="G154">
        <v>0</v>
      </c>
      <c r="H154">
        <v>0</v>
      </c>
      <c r="I154">
        <v>16988</v>
      </c>
      <c r="J154">
        <v>30</v>
      </c>
      <c r="K154" t="s">
        <v>225</v>
      </c>
      <c r="L154" t="s">
        <v>59</v>
      </c>
      <c r="M154" t="s">
        <v>457</v>
      </c>
      <c r="N154">
        <v>3</v>
      </c>
      <c r="O154" t="s">
        <v>3573</v>
      </c>
      <c r="P154" t="s">
        <v>3573</v>
      </c>
      <c r="Q154" t="s">
        <v>226</v>
      </c>
    </row>
    <row r="155" spans="1:17">
      <c r="A155" t="s">
        <v>836</v>
      </c>
      <c r="B155" t="s">
        <v>9</v>
      </c>
      <c r="C155" t="s">
        <v>2406</v>
      </c>
      <c r="D155" t="s">
        <v>3551</v>
      </c>
      <c r="E155">
        <v>24</v>
      </c>
      <c r="F155" t="s">
        <v>3555</v>
      </c>
      <c r="G155">
        <v>0</v>
      </c>
      <c r="H155">
        <v>0</v>
      </c>
      <c r="I155">
        <v>11767</v>
      </c>
      <c r="J155">
        <v>83.158299999999997</v>
      </c>
      <c r="K155" t="s">
        <v>175</v>
      </c>
      <c r="L155" t="s">
        <v>62</v>
      </c>
      <c r="M155" t="s">
        <v>3566</v>
      </c>
      <c r="N155">
        <v>7</v>
      </c>
      <c r="O155" t="s">
        <v>3573</v>
      </c>
      <c r="P155" t="s">
        <v>3573</v>
      </c>
      <c r="Q155" t="s">
        <v>53</v>
      </c>
    </row>
    <row r="156" spans="1:17">
      <c r="A156" t="s">
        <v>836</v>
      </c>
      <c r="B156" t="s">
        <v>840</v>
      </c>
      <c r="C156" t="s">
        <v>2407</v>
      </c>
      <c r="D156" t="s">
        <v>3552</v>
      </c>
      <c r="E156">
        <v>55</v>
      </c>
      <c r="F156" t="s">
        <v>3557</v>
      </c>
      <c r="G156">
        <v>1</v>
      </c>
      <c r="H156">
        <v>1</v>
      </c>
      <c r="I156">
        <v>12749</v>
      </c>
      <c r="J156">
        <v>93.5</v>
      </c>
      <c r="K156" t="s">
        <v>227</v>
      </c>
      <c r="L156" t="s">
        <v>70</v>
      </c>
      <c r="M156" t="s">
        <v>457</v>
      </c>
      <c r="N156" t="s">
        <v>3569</v>
      </c>
      <c r="O156">
        <v>307</v>
      </c>
      <c r="P156" t="s">
        <v>3574</v>
      </c>
      <c r="Q156" t="s">
        <v>75</v>
      </c>
    </row>
    <row r="157" spans="1:17">
      <c r="A157" t="s">
        <v>836</v>
      </c>
      <c r="B157" t="s">
        <v>9</v>
      </c>
      <c r="C157" t="s">
        <v>2408</v>
      </c>
      <c r="D157" t="s">
        <v>3551</v>
      </c>
      <c r="E157">
        <v>52</v>
      </c>
      <c r="F157" t="s">
        <v>3557</v>
      </c>
      <c r="G157">
        <v>1</v>
      </c>
      <c r="H157">
        <v>1</v>
      </c>
      <c r="I157">
        <v>12749</v>
      </c>
      <c r="J157">
        <v>93.5</v>
      </c>
      <c r="K157" t="s">
        <v>227</v>
      </c>
      <c r="L157" t="s">
        <v>70</v>
      </c>
      <c r="M157" t="s">
        <v>457</v>
      </c>
      <c r="N157">
        <v>3</v>
      </c>
      <c r="O157" t="s">
        <v>3573</v>
      </c>
      <c r="P157" t="s">
        <v>3573</v>
      </c>
      <c r="Q157" t="s">
        <v>75</v>
      </c>
    </row>
    <row r="158" spans="1:17">
      <c r="A158" t="s">
        <v>836</v>
      </c>
      <c r="B158" t="s">
        <v>840</v>
      </c>
      <c r="C158" t="s">
        <v>2409</v>
      </c>
      <c r="D158" t="s">
        <v>3552</v>
      </c>
      <c r="E158">
        <v>42</v>
      </c>
      <c r="F158" t="s">
        <v>3557</v>
      </c>
      <c r="G158">
        <v>0</v>
      </c>
      <c r="H158">
        <v>0</v>
      </c>
      <c r="I158">
        <v>113038</v>
      </c>
      <c r="J158">
        <v>42.5</v>
      </c>
      <c r="K158" t="s">
        <v>228</v>
      </c>
      <c r="L158" t="s">
        <v>70</v>
      </c>
      <c r="M158" t="s">
        <v>457</v>
      </c>
      <c r="N158" t="s">
        <v>3569</v>
      </c>
      <c r="O158" t="s">
        <v>3573</v>
      </c>
      <c r="P158" t="s">
        <v>3573</v>
      </c>
      <c r="Q158" t="s">
        <v>229</v>
      </c>
    </row>
    <row r="159" spans="1:17">
      <c r="A159" t="s">
        <v>836</v>
      </c>
      <c r="B159" t="s">
        <v>840</v>
      </c>
      <c r="C159" t="s">
        <v>2410</v>
      </c>
      <c r="D159" t="s">
        <v>3552</v>
      </c>
      <c r="E159">
        <v>28</v>
      </c>
      <c r="F159" t="s">
        <v>3555</v>
      </c>
      <c r="G159">
        <v>0</v>
      </c>
      <c r="H159">
        <v>0</v>
      </c>
      <c r="I159">
        <v>17463</v>
      </c>
      <c r="J159">
        <v>51.862499999999997</v>
      </c>
      <c r="K159" t="s">
        <v>230</v>
      </c>
      <c r="L159" t="s">
        <v>3564</v>
      </c>
      <c r="M159" t="s">
        <v>457</v>
      </c>
      <c r="N159" t="s">
        <v>3569</v>
      </c>
      <c r="O159" t="s">
        <v>3573</v>
      </c>
      <c r="P159" t="s">
        <v>3573</v>
      </c>
      <c r="Q159" t="s">
        <v>231</v>
      </c>
    </row>
    <row r="160" spans="1:17">
      <c r="A160" t="s">
        <v>836</v>
      </c>
      <c r="B160" t="s">
        <v>840</v>
      </c>
      <c r="C160" t="s">
        <v>2411</v>
      </c>
      <c r="D160" t="s">
        <v>3552</v>
      </c>
      <c r="E160">
        <v>55</v>
      </c>
      <c r="F160" t="s">
        <v>3557</v>
      </c>
      <c r="G160">
        <v>0</v>
      </c>
      <c r="H160">
        <v>0</v>
      </c>
      <c r="I160">
        <v>680</v>
      </c>
      <c r="J160">
        <v>50</v>
      </c>
      <c r="K160" t="s">
        <v>232</v>
      </c>
      <c r="L160" t="s">
        <v>62</v>
      </c>
      <c r="M160" t="s">
        <v>457</v>
      </c>
      <c r="N160" t="s">
        <v>3569</v>
      </c>
      <c r="O160" t="s">
        <v>3573</v>
      </c>
      <c r="P160" t="s">
        <v>3573</v>
      </c>
      <c r="Q160" t="s">
        <v>233</v>
      </c>
    </row>
    <row r="161" spans="1:17">
      <c r="A161" t="s">
        <v>836</v>
      </c>
      <c r="B161" t="s">
        <v>9</v>
      </c>
      <c r="C161" t="s">
        <v>2412</v>
      </c>
      <c r="D161" t="s">
        <v>3551</v>
      </c>
      <c r="E161">
        <v>16</v>
      </c>
      <c r="F161" t="s">
        <v>3560</v>
      </c>
      <c r="G161">
        <v>1</v>
      </c>
      <c r="H161">
        <v>0</v>
      </c>
      <c r="I161">
        <v>111361</v>
      </c>
      <c r="J161">
        <v>57.979199999999999</v>
      </c>
      <c r="K161" t="s">
        <v>234</v>
      </c>
      <c r="L161" t="s">
        <v>70</v>
      </c>
      <c r="M161" t="s">
        <v>3566</v>
      </c>
      <c r="N161">
        <v>4</v>
      </c>
      <c r="O161" t="s">
        <v>3573</v>
      </c>
      <c r="P161" t="s">
        <v>3573</v>
      </c>
      <c r="Q161" t="s">
        <v>235</v>
      </c>
    </row>
    <row r="162" spans="1:17">
      <c r="A162" t="s">
        <v>836</v>
      </c>
      <c r="B162" t="s">
        <v>9</v>
      </c>
      <c r="C162" t="s">
        <v>2413</v>
      </c>
      <c r="D162" t="s">
        <v>3551</v>
      </c>
      <c r="E162">
        <v>44</v>
      </c>
      <c r="F162" t="s">
        <v>3557</v>
      </c>
      <c r="G162">
        <v>1</v>
      </c>
      <c r="H162">
        <v>0</v>
      </c>
      <c r="I162">
        <v>111361</v>
      </c>
      <c r="J162">
        <v>57.979199999999999</v>
      </c>
      <c r="K162" t="s">
        <v>234</v>
      </c>
      <c r="L162" t="s">
        <v>70</v>
      </c>
      <c r="M162" t="s">
        <v>3566</v>
      </c>
      <c r="N162">
        <v>4</v>
      </c>
      <c r="O162" t="s">
        <v>3573</v>
      </c>
      <c r="P162" t="s">
        <v>3573</v>
      </c>
      <c r="Q162" t="s">
        <v>235</v>
      </c>
    </row>
    <row r="163" spans="1:17">
      <c r="A163" t="s">
        <v>836</v>
      </c>
      <c r="B163" t="s">
        <v>9</v>
      </c>
      <c r="C163" t="s">
        <v>2414</v>
      </c>
      <c r="D163" t="s">
        <v>3551</v>
      </c>
      <c r="E163">
        <v>51</v>
      </c>
      <c r="F163" t="s">
        <v>3557</v>
      </c>
      <c r="G163">
        <v>0</v>
      </c>
      <c r="H163">
        <v>1</v>
      </c>
      <c r="I163">
        <v>13502</v>
      </c>
      <c r="J163">
        <v>77.958299999999994</v>
      </c>
      <c r="K163" t="s">
        <v>236</v>
      </c>
      <c r="L163" t="s">
        <v>59</v>
      </c>
      <c r="M163" t="s">
        <v>457</v>
      </c>
      <c r="N163">
        <v>10</v>
      </c>
      <c r="O163" t="s">
        <v>3573</v>
      </c>
      <c r="P163" t="s">
        <v>3573</v>
      </c>
      <c r="Q163" t="s">
        <v>55</v>
      </c>
    </row>
    <row r="164" spans="1:17">
      <c r="A164" t="s">
        <v>836</v>
      </c>
      <c r="B164" t="s">
        <v>840</v>
      </c>
      <c r="C164" t="s">
        <v>2415</v>
      </c>
      <c r="D164" t="s">
        <v>3552</v>
      </c>
      <c r="E164">
        <v>42</v>
      </c>
      <c r="F164" t="s">
        <v>3557</v>
      </c>
      <c r="G164">
        <v>0</v>
      </c>
      <c r="H164">
        <v>1</v>
      </c>
      <c r="I164">
        <v>113789</v>
      </c>
      <c r="J164">
        <v>52</v>
      </c>
      <c r="K164" t="s">
        <v>3561</v>
      </c>
      <c r="L164" t="s">
        <v>3561</v>
      </c>
      <c r="M164" t="s">
        <v>457</v>
      </c>
      <c r="N164" t="s">
        <v>3569</v>
      </c>
      <c r="O164">
        <v>38</v>
      </c>
      <c r="P164" t="s">
        <v>3574</v>
      </c>
      <c r="Q164" t="s">
        <v>53</v>
      </c>
    </row>
    <row r="165" spans="1:17">
      <c r="A165" t="s">
        <v>836</v>
      </c>
      <c r="B165" t="s">
        <v>9</v>
      </c>
      <c r="C165" t="s">
        <v>2416</v>
      </c>
      <c r="D165" t="s">
        <v>3551</v>
      </c>
      <c r="E165">
        <v>35</v>
      </c>
      <c r="F165" t="s">
        <v>3557</v>
      </c>
      <c r="G165">
        <v>0</v>
      </c>
      <c r="H165">
        <v>1</v>
      </c>
      <c r="I165">
        <v>113789</v>
      </c>
      <c r="J165">
        <v>52</v>
      </c>
      <c r="K165" t="s">
        <v>3561</v>
      </c>
      <c r="L165" t="s">
        <v>3561</v>
      </c>
      <c r="M165" t="s">
        <v>457</v>
      </c>
      <c r="N165">
        <v>8</v>
      </c>
      <c r="O165" t="s">
        <v>3573</v>
      </c>
      <c r="P165" t="s">
        <v>3573</v>
      </c>
      <c r="Q165" t="s">
        <v>53</v>
      </c>
    </row>
    <row r="166" spans="1:17">
      <c r="A166" t="s">
        <v>836</v>
      </c>
      <c r="B166" t="s">
        <v>9</v>
      </c>
      <c r="C166" t="s">
        <v>2417</v>
      </c>
      <c r="D166" t="s">
        <v>3552</v>
      </c>
      <c r="E166">
        <v>35</v>
      </c>
      <c r="F166" t="s">
        <v>3557</v>
      </c>
      <c r="G166">
        <v>0</v>
      </c>
      <c r="H166">
        <v>0</v>
      </c>
      <c r="I166">
        <v>111426</v>
      </c>
      <c r="J166">
        <v>26.55</v>
      </c>
      <c r="K166" t="s">
        <v>3561</v>
      </c>
      <c r="L166" t="s">
        <v>3561</v>
      </c>
      <c r="M166" t="s">
        <v>3566</v>
      </c>
      <c r="N166">
        <v>15</v>
      </c>
      <c r="O166" t="s">
        <v>3573</v>
      </c>
      <c r="P166" t="s">
        <v>3573</v>
      </c>
      <c r="Q166" t="s">
        <v>237</v>
      </c>
    </row>
    <row r="167" spans="1:17">
      <c r="A167" t="s">
        <v>836</v>
      </c>
      <c r="B167" t="s">
        <v>9</v>
      </c>
      <c r="C167" t="s">
        <v>2418</v>
      </c>
      <c r="D167" t="s">
        <v>3552</v>
      </c>
      <c r="E167">
        <v>38</v>
      </c>
      <c r="F167" t="s">
        <v>3557</v>
      </c>
      <c r="G167">
        <v>0</v>
      </c>
      <c r="H167">
        <v>1</v>
      </c>
      <c r="I167">
        <v>19943</v>
      </c>
      <c r="J167">
        <v>90</v>
      </c>
      <c r="K167" t="s">
        <v>238</v>
      </c>
      <c r="L167" t="s">
        <v>62</v>
      </c>
      <c r="M167" t="s">
        <v>457</v>
      </c>
      <c r="N167" t="s">
        <v>59</v>
      </c>
      <c r="O167" t="s">
        <v>3573</v>
      </c>
      <c r="P167" t="s">
        <v>3573</v>
      </c>
      <c r="Q167" t="s">
        <v>239</v>
      </c>
    </row>
    <row r="168" spans="1:17">
      <c r="A168" t="s">
        <v>836</v>
      </c>
      <c r="B168" t="s">
        <v>840</v>
      </c>
      <c r="C168" t="s">
        <v>2419</v>
      </c>
      <c r="D168" t="s">
        <v>3552</v>
      </c>
      <c r="E168">
        <v>28</v>
      </c>
      <c r="F168" t="s">
        <v>3555</v>
      </c>
      <c r="G168">
        <v>0</v>
      </c>
      <c r="H168">
        <v>0</v>
      </c>
      <c r="I168" t="s">
        <v>240</v>
      </c>
      <c r="J168">
        <v>30.695799999999998</v>
      </c>
      <c r="K168" t="s">
        <v>3561</v>
      </c>
      <c r="L168" t="s">
        <v>3561</v>
      </c>
      <c r="M168" t="s">
        <v>3566</v>
      </c>
      <c r="N168">
        <v>14</v>
      </c>
      <c r="O168" t="s">
        <v>3573</v>
      </c>
      <c r="P168" t="s">
        <v>3573</v>
      </c>
      <c r="Q168" t="s">
        <v>53</v>
      </c>
    </row>
    <row r="169" spans="1:17">
      <c r="A169" t="s">
        <v>836</v>
      </c>
      <c r="B169" t="s">
        <v>9</v>
      </c>
      <c r="C169" t="s">
        <v>2420</v>
      </c>
      <c r="D169" t="s">
        <v>3551</v>
      </c>
      <c r="E169">
        <v>35</v>
      </c>
      <c r="F169" t="s">
        <v>3557</v>
      </c>
      <c r="G169">
        <v>0</v>
      </c>
      <c r="H169">
        <v>1</v>
      </c>
      <c r="I169">
        <v>19943</v>
      </c>
      <c r="J169">
        <v>90</v>
      </c>
      <c r="K169" t="s">
        <v>238</v>
      </c>
      <c r="L169" t="s">
        <v>62</v>
      </c>
      <c r="M169" t="s">
        <v>457</v>
      </c>
      <c r="N169" t="s">
        <v>59</v>
      </c>
      <c r="O169" t="s">
        <v>3573</v>
      </c>
      <c r="P169" t="s">
        <v>3573</v>
      </c>
      <c r="Q169" t="s">
        <v>239</v>
      </c>
    </row>
    <row r="170" spans="1:17">
      <c r="A170" t="s">
        <v>836</v>
      </c>
      <c r="B170" t="s">
        <v>9</v>
      </c>
      <c r="C170" t="s">
        <v>2421</v>
      </c>
      <c r="D170" t="s">
        <v>3551</v>
      </c>
      <c r="E170">
        <v>38</v>
      </c>
      <c r="F170" t="s">
        <v>3557</v>
      </c>
      <c r="G170">
        <v>0</v>
      </c>
      <c r="H170">
        <v>0</v>
      </c>
      <c r="I170">
        <v>113572</v>
      </c>
      <c r="J170">
        <v>80</v>
      </c>
      <c r="K170" t="s">
        <v>241</v>
      </c>
      <c r="L170" t="s">
        <v>70</v>
      </c>
      <c r="M170" t="s">
        <v>3561</v>
      </c>
      <c r="N170">
        <v>6</v>
      </c>
      <c r="O170" t="s">
        <v>3573</v>
      </c>
      <c r="P170" t="s">
        <v>3573</v>
      </c>
    </row>
    <row r="171" spans="1:17">
      <c r="A171" t="s">
        <v>836</v>
      </c>
      <c r="B171" t="s">
        <v>840</v>
      </c>
      <c r="C171" t="s">
        <v>2422</v>
      </c>
      <c r="D171" t="s">
        <v>3551</v>
      </c>
      <c r="E171">
        <v>50</v>
      </c>
      <c r="F171" t="s">
        <v>3557</v>
      </c>
      <c r="G171">
        <v>0</v>
      </c>
      <c r="H171">
        <v>0</v>
      </c>
      <c r="I171" t="s">
        <v>242</v>
      </c>
      <c r="J171">
        <v>28.712499999999999</v>
      </c>
      <c r="K171" t="s">
        <v>243</v>
      </c>
      <c r="L171" t="s">
        <v>62</v>
      </c>
      <c r="M171" t="s">
        <v>3566</v>
      </c>
      <c r="N171" t="s">
        <v>3569</v>
      </c>
      <c r="O171" t="s">
        <v>3573</v>
      </c>
      <c r="P171" t="s">
        <v>3573</v>
      </c>
      <c r="Q171" t="s">
        <v>244</v>
      </c>
    </row>
    <row r="172" spans="1:17">
      <c r="A172" t="s">
        <v>836</v>
      </c>
      <c r="B172" t="s">
        <v>9</v>
      </c>
      <c r="C172" t="s">
        <v>2423</v>
      </c>
      <c r="D172" t="s">
        <v>3552</v>
      </c>
      <c r="E172">
        <v>49</v>
      </c>
      <c r="F172" t="s">
        <v>3557</v>
      </c>
      <c r="G172">
        <v>0</v>
      </c>
      <c r="H172">
        <v>0</v>
      </c>
      <c r="I172">
        <v>112058</v>
      </c>
      <c r="J172">
        <v>0</v>
      </c>
      <c r="K172" t="s">
        <v>245</v>
      </c>
      <c r="L172" t="s">
        <v>70</v>
      </c>
      <c r="M172" t="s">
        <v>457</v>
      </c>
      <c r="N172" t="s">
        <v>62</v>
      </c>
      <c r="O172" t="s">
        <v>3573</v>
      </c>
      <c r="P172" t="s">
        <v>3573</v>
      </c>
      <c r="Q172" t="s">
        <v>246</v>
      </c>
    </row>
    <row r="173" spans="1:17">
      <c r="A173" t="s">
        <v>836</v>
      </c>
      <c r="B173" t="s">
        <v>840</v>
      </c>
      <c r="C173" t="s">
        <v>2424</v>
      </c>
      <c r="D173" t="s">
        <v>3552</v>
      </c>
      <c r="E173">
        <v>46</v>
      </c>
      <c r="F173" t="s">
        <v>3557</v>
      </c>
      <c r="G173">
        <v>0</v>
      </c>
      <c r="H173">
        <v>0</v>
      </c>
      <c r="I173">
        <v>694</v>
      </c>
      <c r="J173">
        <v>26</v>
      </c>
      <c r="K173" t="s">
        <v>3561</v>
      </c>
      <c r="L173" t="s">
        <v>3561</v>
      </c>
      <c r="M173" t="s">
        <v>457</v>
      </c>
      <c r="N173" t="s">
        <v>3569</v>
      </c>
      <c r="O173">
        <v>80</v>
      </c>
      <c r="P173" t="s">
        <v>3574</v>
      </c>
      <c r="Q173" t="s">
        <v>247</v>
      </c>
    </row>
    <row r="174" spans="1:17">
      <c r="A174" t="s">
        <v>836</v>
      </c>
      <c r="B174" t="s">
        <v>840</v>
      </c>
      <c r="C174" t="s">
        <v>2425</v>
      </c>
      <c r="D174" t="s">
        <v>3552</v>
      </c>
      <c r="E174">
        <v>50</v>
      </c>
      <c r="F174" t="s">
        <v>3557</v>
      </c>
      <c r="G174">
        <v>0</v>
      </c>
      <c r="H174">
        <v>0</v>
      </c>
      <c r="I174">
        <v>113044</v>
      </c>
      <c r="J174">
        <v>26</v>
      </c>
      <c r="K174" t="s">
        <v>248</v>
      </c>
      <c r="L174" t="s">
        <v>3564</v>
      </c>
      <c r="M174" t="s">
        <v>457</v>
      </c>
      <c r="N174" t="s">
        <v>3569</v>
      </c>
      <c r="O174" t="s">
        <v>3573</v>
      </c>
      <c r="P174" t="s">
        <v>3573</v>
      </c>
      <c r="Q174" t="s">
        <v>249</v>
      </c>
    </row>
    <row r="175" spans="1:17">
      <c r="A175" t="s">
        <v>836</v>
      </c>
      <c r="B175" t="s">
        <v>840</v>
      </c>
      <c r="C175" t="s">
        <v>2426</v>
      </c>
      <c r="D175" t="s">
        <v>3552</v>
      </c>
      <c r="E175">
        <v>33</v>
      </c>
      <c r="F175" t="s">
        <v>3557</v>
      </c>
      <c r="G175">
        <v>0</v>
      </c>
      <c r="H175">
        <v>0</v>
      </c>
      <c r="I175">
        <v>113503</v>
      </c>
      <c r="J175">
        <v>211.5</v>
      </c>
      <c r="K175" t="s">
        <v>250</v>
      </c>
      <c r="L175" t="s">
        <v>62</v>
      </c>
      <c r="M175" t="s">
        <v>3566</v>
      </c>
      <c r="N175" t="s">
        <v>3569</v>
      </c>
      <c r="O175">
        <v>45</v>
      </c>
      <c r="P175" t="s">
        <v>3574</v>
      </c>
    </row>
    <row r="176" spans="1:17">
      <c r="A176" t="s">
        <v>836</v>
      </c>
      <c r="B176" t="s">
        <v>840</v>
      </c>
      <c r="C176" t="s">
        <v>2427</v>
      </c>
      <c r="D176" t="s">
        <v>3552</v>
      </c>
      <c r="E176">
        <v>58</v>
      </c>
      <c r="F176" t="s">
        <v>3557</v>
      </c>
      <c r="G176">
        <v>0</v>
      </c>
      <c r="H176">
        <v>0</v>
      </c>
      <c r="I176">
        <v>11771</v>
      </c>
      <c r="J176">
        <v>29.7</v>
      </c>
      <c r="K176" t="s">
        <v>251</v>
      </c>
      <c r="L176" t="s">
        <v>70</v>
      </c>
      <c r="M176" t="s">
        <v>3566</v>
      </c>
      <c r="N176" t="s">
        <v>3569</v>
      </c>
      <c r="O176">
        <v>258</v>
      </c>
      <c r="P176" t="s">
        <v>3574</v>
      </c>
      <c r="Q176" t="s">
        <v>252</v>
      </c>
    </row>
    <row r="177" spans="1:17">
      <c r="A177" t="s">
        <v>836</v>
      </c>
      <c r="B177" t="s">
        <v>840</v>
      </c>
      <c r="C177" t="s">
        <v>2428</v>
      </c>
      <c r="D177" t="s">
        <v>3552</v>
      </c>
      <c r="E177">
        <v>41</v>
      </c>
      <c r="F177" t="s">
        <v>3557</v>
      </c>
      <c r="G177">
        <v>0</v>
      </c>
      <c r="H177">
        <v>1</v>
      </c>
      <c r="I177">
        <v>17464</v>
      </c>
      <c r="J177">
        <v>51.862499999999997</v>
      </c>
      <c r="K177" t="s">
        <v>253</v>
      </c>
      <c r="L177" t="s">
        <v>59</v>
      </c>
      <c r="M177" t="s">
        <v>457</v>
      </c>
      <c r="N177" t="s">
        <v>3569</v>
      </c>
      <c r="O177" t="s">
        <v>3573</v>
      </c>
      <c r="P177" t="s">
        <v>3573</v>
      </c>
      <c r="Q177" t="s">
        <v>254</v>
      </c>
    </row>
    <row r="178" spans="1:17">
      <c r="A178" t="s">
        <v>836</v>
      </c>
      <c r="B178" t="s">
        <v>9</v>
      </c>
      <c r="C178" t="s">
        <v>2429</v>
      </c>
      <c r="D178" t="s">
        <v>3551</v>
      </c>
      <c r="E178">
        <v>28</v>
      </c>
      <c r="F178" t="s">
        <v>3555</v>
      </c>
      <c r="G178">
        <v>0</v>
      </c>
      <c r="H178">
        <v>1</v>
      </c>
      <c r="I178">
        <v>17464</v>
      </c>
      <c r="J178">
        <v>51.862499999999997</v>
      </c>
      <c r="K178" t="s">
        <v>253</v>
      </c>
      <c r="L178" t="s">
        <v>59</v>
      </c>
      <c r="M178" t="s">
        <v>457</v>
      </c>
      <c r="N178">
        <v>8</v>
      </c>
      <c r="O178" t="s">
        <v>3573</v>
      </c>
      <c r="P178" t="s">
        <v>3573</v>
      </c>
      <c r="Q178" t="s">
        <v>254</v>
      </c>
    </row>
    <row r="179" spans="1:17">
      <c r="A179" t="s">
        <v>836</v>
      </c>
      <c r="B179" t="s">
        <v>9</v>
      </c>
      <c r="C179" t="s">
        <v>2430</v>
      </c>
      <c r="D179" t="s">
        <v>3552</v>
      </c>
      <c r="E179">
        <v>42</v>
      </c>
      <c r="F179" t="s">
        <v>3557</v>
      </c>
      <c r="G179">
        <v>0</v>
      </c>
      <c r="H179">
        <v>1</v>
      </c>
      <c r="I179">
        <v>11753</v>
      </c>
      <c r="J179">
        <v>52.554200000000002</v>
      </c>
      <c r="K179" t="s">
        <v>255</v>
      </c>
      <c r="L179" t="s">
        <v>59</v>
      </c>
      <c r="M179" t="s">
        <v>457</v>
      </c>
      <c r="N179">
        <v>5</v>
      </c>
      <c r="O179" t="s">
        <v>3573</v>
      </c>
      <c r="P179" t="s">
        <v>3573</v>
      </c>
      <c r="Q179" t="s">
        <v>256</v>
      </c>
    </row>
    <row r="180" spans="1:17">
      <c r="A180" t="s">
        <v>836</v>
      </c>
      <c r="B180" t="s">
        <v>9</v>
      </c>
      <c r="C180" t="s">
        <v>2431</v>
      </c>
      <c r="D180" t="s">
        <v>3551</v>
      </c>
      <c r="E180">
        <v>45</v>
      </c>
      <c r="F180" t="s">
        <v>3557</v>
      </c>
      <c r="G180">
        <v>0</v>
      </c>
      <c r="H180">
        <v>1</v>
      </c>
      <c r="I180">
        <v>11753</v>
      </c>
      <c r="J180">
        <v>52.554200000000002</v>
      </c>
      <c r="K180" t="s">
        <v>255</v>
      </c>
      <c r="L180" t="s">
        <v>59</v>
      </c>
      <c r="M180" t="s">
        <v>457</v>
      </c>
      <c r="N180">
        <v>5</v>
      </c>
      <c r="O180" t="s">
        <v>3573</v>
      </c>
      <c r="P180" t="s">
        <v>3573</v>
      </c>
      <c r="Q180" t="s">
        <v>256</v>
      </c>
    </row>
    <row r="181" spans="1:17">
      <c r="A181" t="s">
        <v>836</v>
      </c>
      <c r="B181" t="s">
        <v>840</v>
      </c>
      <c r="C181" t="s">
        <v>2432</v>
      </c>
      <c r="D181" t="s">
        <v>3552</v>
      </c>
      <c r="E181">
        <v>28</v>
      </c>
      <c r="F181" t="s">
        <v>3555</v>
      </c>
      <c r="G181">
        <v>0</v>
      </c>
      <c r="H181">
        <v>0</v>
      </c>
      <c r="I181">
        <v>113028</v>
      </c>
      <c r="J181">
        <v>26.55</v>
      </c>
      <c r="K181" t="s">
        <v>257</v>
      </c>
      <c r="L181" t="s">
        <v>62</v>
      </c>
      <c r="M181" t="s">
        <v>457</v>
      </c>
      <c r="N181" t="s">
        <v>3569</v>
      </c>
      <c r="O181" t="s">
        <v>3573</v>
      </c>
      <c r="P181" t="s">
        <v>3573</v>
      </c>
      <c r="Q181" t="s">
        <v>258</v>
      </c>
    </row>
    <row r="182" spans="1:17">
      <c r="A182" t="s">
        <v>836</v>
      </c>
      <c r="B182" t="s">
        <v>9</v>
      </c>
      <c r="C182" t="s">
        <v>2433</v>
      </c>
      <c r="D182" t="s">
        <v>3551</v>
      </c>
      <c r="E182">
        <v>39</v>
      </c>
      <c r="F182" t="s">
        <v>3557</v>
      </c>
      <c r="G182">
        <v>0</v>
      </c>
      <c r="H182">
        <v>0</v>
      </c>
      <c r="I182">
        <v>24160</v>
      </c>
      <c r="J182">
        <v>211.33750000000001</v>
      </c>
      <c r="K182" t="s">
        <v>3561</v>
      </c>
      <c r="L182" t="s">
        <v>3561</v>
      </c>
      <c r="M182" t="s">
        <v>457</v>
      </c>
      <c r="N182">
        <v>2</v>
      </c>
      <c r="O182" t="s">
        <v>3573</v>
      </c>
      <c r="P182" t="s">
        <v>3573</v>
      </c>
    </row>
    <row r="183" spans="1:17">
      <c r="A183" t="s">
        <v>836</v>
      </c>
      <c r="B183" t="s">
        <v>9</v>
      </c>
      <c r="C183" t="s">
        <v>2434</v>
      </c>
      <c r="D183" t="s">
        <v>3551</v>
      </c>
      <c r="E183">
        <v>49</v>
      </c>
      <c r="F183" t="s">
        <v>3557</v>
      </c>
      <c r="G183">
        <v>0</v>
      </c>
      <c r="H183">
        <v>0</v>
      </c>
      <c r="I183">
        <v>17465</v>
      </c>
      <c r="J183">
        <v>25.929200000000002</v>
      </c>
      <c r="K183" t="s">
        <v>259</v>
      </c>
      <c r="L183" t="s">
        <v>59</v>
      </c>
      <c r="M183" t="s">
        <v>457</v>
      </c>
      <c r="N183">
        <v>8</v>
      </c>
      <c r="O183" t="s">
        <v>3573</v>
      </c>
      <c r="P183" t="s">
        <v>3573</v>
      </c>
      <c r="Q183" t="s">
        <v>53</v>
      </c>
    </row>
    <row r="184" spans="1:17">
      <c r="A184" t="s">
        <v>836</v>
      </c>
      <c r="B184" t="s">
        <v>9</v>
      </c>
      <c r="C184" t="s">
        <v>2435</v>
      </c>
      <c r="D184" t="s">
        <v>3551</v>
      </c>
      <c r="E184">
        <v>30</v>
      </c>
      <c r="F184" t="s">
        <v>3557</v>
      </c>
      <c r="G184">
        <v>0</v>
      </c>
      <c r="H184">
        <v>0</v>
      </c>
      <c r="I184" t="s">
        <v>166</v>
      </c>
      <c r="J184">
        <v>106.425</v>
      </c>
      <c r="K184" t="s">
        <v>3561</v>
      </c>
      <c r="L184" t="s">
        <v>3561</v>
      </c>
      <c r="M184" t="s">
        <v>3566</v>
      </c>
      <c r="N184">
        <v>2</v>
      </c>
      <c r="O184" t="s">
        <v>3573</v>
      </c>
      <c r="P184" t="s">
        <v>3573</v>
      </c>
    </row>
    <row r="185" spans="1:17">
      <c r="A185" t="s">
        <v>836</v>
      </c>
      <c r="B185" t="s">
        <v>9</v>
      </c>
      <c r="C185" t="s">
        <v>2436</v>
      </c>
      <c r="D185" t="s">
        <v>3552</v>
      </c>
      <c r="E185">
        <v>35</v>
      </c>
      <c r="F185" t="s">
        <v>3557</v>
      </c>
      <c r="G185">
        <v>0</v>
      </c>
      <c r="H185">
        <v>0</v>
      </c>
      <c r="I185" t="s">
        <v>122</v>
      </c>
      <c r="J185">
        <v>512.32920000000001</v>
      </c>
      <c r="K185" t="s">
        <v>260</v>
      </c>
      <c r="L185" t="s">
        <v>70</v>
      </c>
      <c r="M185" t="s">
        <v>3566</v>
      </c>
      <c r="N185">
        <v>3</v>
      </c>
      <c r="O185" t="s">
        <v>3573</v>
      </c>
      <c r="P185" t="s">
        <v>3573</v>
      </c>
    </row>
    <row r="186" spans="1:17">
      <c r="A186" t="s">
        <v>836</v>
      </c>
      <c r="B186" t="s">
        <v>840</v>
      </c>
      <c r="C186" t="s">
        <v>2437</v>
      </c>
      <c r="D186" t="s">
        <v>3552</v>
      </c>
      <c r="E186">
        <v>28</v>
      </c>
      <c r="F186" t="s">
        <v>3555</v>
      </c>
      <c r="G186">
        <v>0</v>
      </c>
      <c r="H186">
        <v>0</v>
      </c>
      <c r="I186" t="s">
        <v>261</v>
      </c>
      <c r="J186">
        <v>27.720800000000001</v>
      </c>
      <c r="K186" t="s">
        <v>3561</v>
      </c>
      <c r="L186" t="s">
        <v>3561</v>
      </c>
      <c r="M186" t="s">
        <v>3566</v>
      </c>
      <c r="N186" t="s">
        <v>3569</v>
      </c>
      <c r="O186" t="s">
        <v>3573</v>
      </c>
      <c r="P186" t="s">
        <v>3573</v>
      </c>
      <c r="Q186" t="s">
        <v>235</v>
      </c>
    </row>
    <row r="187" spans="1:17">
      <c r="A187" t="s">
        <v>836</v>
      </c>
      <c r="B187" t="s">
        <v>840</v>
      </c>
      <c r="C187" t="s">
        <v>2438</v>
      </c>
      <c r="D187" t="s">
        <v>3552</v>
      </c>
      <c r="E187">
        <v>42</v>
      </c>
      <c r="F187" t="s">
        <v>3557</v>
      </c>
      <c r="G187">
        <v>0</v>
      </c>
      <c r="H187">
        <v>0</v>
      </c>
      <c r="I187">
        <v>17475</v>
      </c>
      <c r="J187">
        <v>26.55</v>
      </c>
      <c r="K187" t="s">
        <v>3561</v>
      </c>
      <c r="L187" t="s">
        <v>3561</v>
      </c>
      <c r="M187" t="s">
        <v>457</v>
      </c>
      <c r="N187" t="s">
        <v>3569</v>
      </c>
      <c r="O187" t="s">
        <v>3573</v>
      </c>
      <c r="P187" t="s">
        <v>3573</v>
      </c>
      <c r="Q187" t="s">
        <v>262</v>
      </c>
    </row>
    <row r="188" spans="1:17">
      <c r="A188" t="s">
        <v>836</v>
      </c>
      <c r="B188" t="s">
        <v>9</v>
      </c>
      <c r="C188" t="s">
        <v>2439</v>
      </c>
      <c r="D188" t="s">
        <v>3551</v>
      </c>
      <c r="E188">
        <v>55</v>
      </c>
      <c r="F188" t="s">
        <v>3557</v>
      </c>
      <c r="G188">
        <v>0</v>
      </c>
      <c r="H188">
        <v>0</v>
      </c>
      <c r="I188">
        <v>112377</v>
      </c>
      <c r="J188">
        <v>27.720800000000001</v>
      </c>
      <c r="K188" t="s">
        <v>3561</v>
      </c>
      <c r="L188" t="s">
        <v>3561</v>
      </c>
      <c r="M188" t="s">
        <v>3566</v>
      </c>
      <c r="N188">
        <v>6</v>
      </c>
      <c r="O188" t="s">
        <v>3573</v>
      </c>
      <c r="P188" t="s">
        <v>3573</v>
      </c>
      <c r="Q188" t="s">
        <v>262</v>
      </c>
    </row>
    <row r="189" spans="1:17">
      <c r="A189" t="s">
        <v>836</v>
      </c>
      <c r="B189" t="s">
        <v>9</v>
      </c>
      <c r="C189" t="s">
        <v>2440</v>
      </c>
      <c r="D189" t="s">
        <v>3551</v>
      </c>
      <c r="E189">
        <v>16</v>
      </c>
      <c r="F189" t="s">
        <v>3560</v>
      </c>
      <c r="G189">
        <v>1</v>
      </c>
      <c r="H189">
        <v>0</v>
      </c>
      <c r="I189" t="s">
        <v>263</v>
      </c>
      <c r="J189">
        <v>39.4</v>
      </c>
      <c r="K189" t="s">
        <v>264</v>
      </c>
      <c r="L189" t="s">
        <v>59</v>
      </c>
      <c r="M189" t="s">
        <v>457</v>
      </c>
      <c r="N189">
        <v>9</v>
      </c>
      <c r="O189" t="s">
        <v>3573</v>
      </c>
      <c r="P189" t="s">
        <v>3573</v>
      </c>
      <c r="Q189" t="s">
        <v>68</v>
      </c>
    </row>
    <row r="190" spans="1:17">
      <c r="A190" t="s">
        <v>836</v>
      </c>
      <c r="B190" t="s">
        <v>9</v>
      </c>
      <c r="C190" t="s">
        <v>2441</v>
      </c>
      <c r="D190" t="s">
        <v>3551</v>
      </c>
      <c r="E190">
        <v>51</v>
      </c>
      <c r="F190" t="s">
        <v>3557</v>
      </c>
      <c r="G190">
        <v>1</v>
      </c>
      <c r="H190">
        <v>0</v>
      </c>
      <c r="I190" t="s">
        <v>263</v>
      </c>
      <c r="J190">
        <v>39.4</v>
      </c>
      <c r="K190" t="s">
        <v>264</v>
      </c>
      <c r="L190" t="s">
        <v>59</v>
      </c>
      <c r="M190" t="s">
        <v>457</v>
      </c>
      <c r="N190">
        <v>9</v>
      </c>
      <c r="O190" t="s">
        <v>3573</v>
      </c>
      <c r="P190" t="s">
        <v>3573</v>
      </c>
      <c r="Q190" t="s">
        <v>68</v>
      </c>
    </row>
    <row r="191" spans="1:17">
      <c r="A191" t="s">
        <v>836</v>
      </c>
      <c r="B191" t="s">
        <v>840</v>
      </c>
      <c r="C191" t="s">
        <v>2442</v>
      </c>
      <c r="D191" t="s">
        <v>3552</v>
      </c>
      <c r="E191">
        <v>29</v>
      </c>
      <c r="F191" t="s">
        <v>3555</v>
      </c>
      <c r="G191">
        <v>0</v>
      </c>
      <c r="H191">
        <v>0</v>
      </c>
      <c r="I191">
        <v>113501</v>
      </c>
      <c r="J191">
        <v>30</v>
      </c>
      <c r="K191" t="s">
        <v>265</v>
      </c>
      <c r="L191" t="s">
        <v>59</v>
      </c>
      <c r="M191" t="s">
        <v>457</v>
      </c>
      <c r="N191" t="s">
        <v>3569</v>
      </c>
      <c r="O191">
        <v>126</v>
      </c>
      <c r="P191" t="s">
        <v>3574</v>
      </c>
      <c r="Q191" t="s">
        <v>266</v>
      </c>
    </row>
    <row r="192" spans="1:17">
      <c r="A192" t="s">
        <v>836</v>
      </c>
      <c r="B192" t="s">
        <v>9</v>
      </c>
      <c r="C192" t="s">
        <v>2443</v>
      </c>
      <c r="D192" t="s">
        <v>3551</v>
      </c>
      <c r="E192">
        <v>21</v>
      </c>
      <c r="F192" t="s">
        <v>3555</v>
      </c>
      <c r="G192">
        <v>0</v>
      </c>
      <c r="H192">
        <v>0</v>
      </c>
      <c r="I192">
        <v>13502</v>
      </c>
      <c r="J192">
        <v>77.958299999999994</v>
      </c>
      <c r="K192" t="s">
        <v>267</v>
      </c>
      <c r="L192" t="s">
        <v>59</v>
      </c>
      <c r="M192" t="s">
        <v>457</v>
      </c>
      <c r="N192">
        <v>10</v>
      </c>
      <c r="O192" t="s">
        <v>3573</v>
      </c>
      <c r="P192" t="s">
        <v>3573</v>
      </c>
      <c r="Q192" t="s">
        <v>55</v>
      </c>
    </row>
    <row r="193" spans="1:17">
      <c r="A193" t="s">
        <v>836</v>
      </c>
      <c r="B193" t="s">
        <v>840</v>
      </c>
      <c r="C193" t="s">
        <v>2444</v>
      </c>
      <c r="D193" t="s">
        <v>3552</v>
      </c>
      <c r="E193">
        <v>30</v>
      </c>
      <c r="F193" t="s">
        <v>3557</v>
      </c>
      <c r="G193">
        <v>0</v>
      </c>
      <c r="H193">
        <v>0</v>
      </c>
      <c r="I193">
        <v>113801</v>
      </c>
      <c r="J193">
        <v>45.5</v>
      </c>
      <c r="K193" t="s">
        <v>3561</v>
      </c>
      <c r="L193" t="s">
        <v>3561</v>
      </c>
      <c r="M193" t="s">
        <v>457</v>
      </c>
      <c r="N193" t="s">
        <v>3569</v>
      </c>
      <c r="O193" t="s">
        <v>3573</v>
      </c>
      <c r="P193" t="s">
        <v>3573</v>
      </c>
      <c r="Q193" t="s">
        <v>268</v>
      </c>
    </row>
    <row r="194" spans="1:17">
      <c r="A194" t="s">
        <v>836</v>
      </c>
      <c r="B194" t="s">
        <v>9</v>
      </c>
      <c r="C194" t="s">
        <v>2445</v>
      </c>
      <c r="D194" t="s">
        <v>3551</v>
      </c>
      <c r="E194">
        <v>58</v>
      </c>
      <c r="F194" t="s">
        <v>3557</v>
      </c>
      <c r="G194">
        <v>0</v>
      </c>
      <c r="H194">
        <v>0</v>
      </c>
      <c r="I194" t="s">
        <v>269</v>
      </c>
      <c r="J194">
        <v>146.52080000000001</v>
      </c>
      <c r="K194" t="s">
        <v>270</v>
      </c>
      <c r="L194" t="s">
        <v>70</v>
      </c>
      <c r="M194" t="s">
        <v>3566</v>
      </c>
      <c r="N194" t="s">
        <v>3569</v>
      </c>
      <c r="O194" t="s">
        <v>3573</v>
      </c>
      <c r="P194" t="s">
        <v>3573</v>
      </c>
    </row>
    <row r="195" spans="1:17">
      <c r="A195" t="s">
        <v>836</v>
      </c>
      <c r="B195" t="s">
        <v>9</v>
      </c>
      <c r="C195" t="s">
        <v>2446</v>
      </c>
      <c r="D195" t="s">
        <v>3551</v>
      </c>
      <c r="E195">
        <v>15</v>
      </c>
      <c r="F195" t="s">
        <v>3560</v>
      </c>
      <c r="G195">
        <v>1</v>
      </c>
      <c r="H195">
        <v>0</v>
      </c>
      <c r="I195">
        <v>24160</v>
      </c>
      <c r="J195">
        <v>211.33750000000001</v>
      </c>
      <c r="K195" t="s">
        <v>48</v>
      </c>
      <c r="L195" t="s">
        <v>70</v>
      </c>
      <c r="M195" t="s">
        <v>457</v>
      </c>
      <c r="N195">
        <v>2</v>
      </c>
      <c r="O195" t="s">
        <v>3573</v>
      </c>
      <c r="P195" t="s">
        <v>3573</v>
      </c>
      <c r="Q195" t="s">
        <v>49</v>
      </c>
    </row>
    <row r="196" spans="1:17">
      <c r="A196" t="s">
        <v>836</v>
      </c>
      <c r="B196" t="s">
        <v>840</v>
      </c>
      <c r="C196" t="s">
        <v>2447</v>
      </c>
      <c r="D196" t="s">
        <v>3552</v>
      </c>
      <c r="E196">
        <v>30</v>
      </c>
      <c r="F196" t="s">
        <v>3557</v>
      </c>
      <c r="G196">
        <v>0</v>
      </c>
      <c r="H196">
        <v>0</v>
      </c>
      <c r="I196">
        <v>110469</v>
      </c>
      <c r="J196">
        <v>26</v>
      </c>
      <c r="K196" t="s">
        <v>271</v>
      </c>
      <c r="L196" t="s">
        <v>62</v>
      </c>
      <c r="M196" t="s">
        <v>457</v>
      </c>
      <c r="N196" t="s">
        <v>3569</v>
      </c>
      <c r="O196" t="s">
        <v>3573</v>
      </c>
      <c r="P196" t="s">
        <v>3573</v>
      </c>
      <c r="Q196" t="s">
        <v>272</v>
      </c>
    </row>
    <row r="197" spans="1:17">
      <c r="A197" t="s">
        <v>836</v>
      </c>
      <c r="B197" t="s">
        <v>9</v>
      </c>
      <c r="C197" t="s">
        <v>2448</v>
      </c>
      <c r="D197" t="s">
        <v>3551</v>
      </c>
      <c r="E197">
        <v>16</v>
      </c>
      <c r="F197" t="s">
        <v>3560</v>
      </c>
      <c r="G197">
        <v>0</v>
      </c>
      <c r="H197">
        <v>0</v>
      </c>
      <c r="I197">
        <v>110152</v>
      </c>
      <c r="J197">
        <v>86.5</v>
      </c>
      <c r="K197" t="s">
        <v>273</v>
      </c>
      <c r="L197" t="s">
        <v>70</v>
      </c>
      <c r="M197" t="s">
        <v>457</v>
      </c>
      <c r="N197">
        <v>8</v>
      </c>
      <c r="O197" t="s">
        <v>3573</v>
      </c>
      <c r="P197" t="s">
        <v>3573</v>
      </c>
    </row>
    <row r="198" spans="1:17">
      <c r="A198" t="s">
        <v>836</v>
      </c>
      <c r="B198" t="s">
        <v>9</v>
      </c>
      <c r="C198" t="s">
        <v>2449</v>
      </c>
      <c r="D198" t="s">
        <v>3552</v>
      </c>
      <c r="E198">
        <v>28</v>
      </c>
      <c r="F198" t="s">
        <v>3555</v>
      </c>
      <c r="G198">
        <v>0</v>
      </c>
      <c r="H198">
        <v>0</v>
      </c>
      <c r="I198">
        <v>11774</v>
      </c>
      <c r="J198">
        <v>29.7</v>
      </c>
      <c r="K198" t="s">
        <v>274</v>
      </c>
      <c r="L198" t="s">
        <v>62</v>
      </c>
      <c r="M198" t="s">
        <v>3566</v>
      </c>
      <c r="N198">
        <v>7</v>
      </c>
      <c r="O198" t="s">
        <v>3573</v>
      </c>
      <c r="P198" t="s">
        <v>3573</v>
      </c>
      <c r="Q198" t="s">
        <v>68</v>
      </c>
    </row>
    <row r="199" spans="1:17">
      <c r="A199" t="s">
        <v>836</v>
      </c>
      <c r="B199" t="s">
        <v>840</v>
      </c>
      <c r="C199" t="s">
        <v>2450</v>
      </c>
      <c r="D199" t="s">
        <v>3552</v>
      </c>
      <c r="E199">
        <v>19</v>
      </c>
      <c r="F199" t="s">
        <v>3555</v>
      </c>
      <c r="G199">
        <v>0</v>
      </c>
      <c r="H199">
        <v>1</v>
      </c>
      <c r="I199">
        <v>113773</v>
      </c>
      <c r="J199">
        <v>53.1</v>
      </c>
      <c r="K199" t="s">
        <v>275</v>
      </c>
      <c r="L199" t="s">
        <v>59</v>
      </c>
      <c r="M199" t="s">
        <v>457</v>
      </c>
      <c r="N199" t="s">
        <v>3569</v>
      </c>
      <c r="O199" t="s">
        <v>3573</v>
      </c>
      <c r="P199" t="s">
        <v>3573</v>
      </c>
      <c r="Q199" t="s">
        <v>53</v>
      </c>
    </row>
    <row r="200" spans="1:17">
      <c r="A200" t="s">
        <v>836</v>
      </c>
      <c r="B200" t="s">
        <v>9</v>
      </c>
      <c r="C200" t="s">
        <v>2451</v>
      </c>
      <c r="D200" t="s">
        <v>3551</v>
      </c>
      <c r="E200">
        <v>18</v>
      </c>
      <c r="F200" t="s">
        <v>3555</v>
      </c>
      <c r="G200">
        <v>0</v>
      </c>
      <c r="H200">
        <v>1</v>
      </c>
      <c r="I200">
        <v>113773</v>
      </c>
      <c r="J200">
        <v>53.1</v>
      </c>
      <c r="K200" t="s">
        <v>275</v>
      </c>
      <c r="L200" t="s">
        <v>59</v>
      </c>
      <c r="M200" t="s">
        <v>457</v>
      </c>
      <c r="N200">
        <v>10</v>
      </c>
      <c r="O200" t="s">
        <v>3573</v>
      </c>
      <c r="P200" t="s">
        <v>3573</v>
      </c>
      <c r="Q200" t="s">
        <v>53</v>
      </c>
    </row>
    <row r="201" spans="1:17">
      <c r="A201" t="s">
        <v>836</v>
      </c>
      <c r="B201" t="s">
        <v>9</v>
      </c>
      <c r="C201" t="s">
        <v>2452</v>
      </c>
      <c r="D201" t="s">
        <v>3551</v>
      </c>
      <c r="E201">
        <v>24</v>
      </c>
      <c r="F201" t="s">
        <v>3555</v>
      </c>
      <c r="G201">
        <v>0</v>
      </c>
      <c r="H201">
        <v>0</v>
      </c>
      <c r="I201" t="s">
        <v>276</v>
      </c>
      <c r="J201">
        <v>49.504199999999997</v>
      </c>
      <c r="K201" t="s">
        <v>277</v>
      </c>
      <c r="L201" t="s">
        <v>62</v>
      </c>
      <c r="M201" t="s">
        <v>3566</v>
      </c>
      <c r="N201">
        <v>6</v>
      </c>
      <c r="O201" t="s">
        <v>3573</v>
      </c>
      <c r="P201" t="s">
        <v>3573</v>
      </c>
      <c r="Q201" t="s">
        <v>278</v>
      </c>
    </row>
    <row r="202" spans="1:17">
      <c r="A202" t="s">
        <v>836</v>
      </c>
      <c r="B202" t="s">
        <v>840</v>
      </c>
      <c r="C202" t="s">
        <v>2453</v>
      </c>
      <c r="D202" t="s">
        <v>3552</v>
      </c>
      <c r="E202">
        <v>46</v>
      </c>
      <c r="F202" t="s">
        <v>3557</v>
      </c>
      <c r="G202">
        <v>0</v>
      </c>
      <c r="H202">
        <v>0</v>
      </c>
      <c r="I202">
        <v>13050</v>
      </c>
      <c r="J202">
        <v>75.241699999999994</v>
      </c>
      <c r="K202" t="s">
        <v>77</v>
      </c>
      <c r="L202" t="s">
        <v>62</v>
      </c>
      <c r="M202" t="s">
        <v>3566</v>
      </c>
      <c r="N202" t="s">
        <v>3569</v>
      </c>
      <c r="O202">
        <v>292</v>
      </c>
      <c r="P202" t="s">
        <v>3574</v>
      </c>
      <c r="Q202" t="s">
        <v>279</v>
      </c>
    </row>
    <row r="203" spans="1:17">
      <c r="A203" t="s">
        <v>836</v>
      </c>
      <c r="B203" t="s">
        <v>840</v>
      </c>
      <c r="C203" t="s">
        <v>2454</v>
      </c>
      <c r="D203" t="s">
        <v>3552</v>
      </c>
      <c r="E203">
        <v>54</v>
      </c>
      <c r="F203" t="s">
        <v>3557</v>
      </c>
      <c r="G203">
        <v>0</v>
      </c>
      <c r="H203">
        <v>0</v>
      </c>
      <c r="I203">
        <v>17463</v>
      </c>
      <c r="J203">
        <v>51.862499999999997</v>
      </c>
      <c r="K203" t="s">
        <v>230</v>
      </c>
      <c r="L203" t="s">
        <v>3564</v>
      </c>
      <c r="M203" t="s">
        <v>457</v>
      </c>
      <c r="N203" t="s">
        <v>3569</v>
      </c>
      <c r="O203">
        <v>175</v>
      </c>
      <c r="P203" t="s">
        <v>3574</v>
      </c>
      <c r="Q203" t="s">
        <v>280</v>
      </c>
    </row>
    <row r="204" spans="1:17">
      <c r="A204" t="s">
        <v>836</v>
      </c>
      <c r="B204" t="s">
        <v>9</v>
      </c>
      <c r="C204" t="s">
        <v>2455</v>
      </c>
      <c r="D204" t="s">
        <v>3552</v>
      </c>
      <c r="E204">
        <v>36</v>
      </c>
      <c r="F204" t="s">
        <v>3557</v>
      </c>
      <c r="G204">
        <v>0</v>
      </c>
      <c r="H204">
        <v>0</v>
      </c>
      <c r="I204" t="s">
        <v>281</v>
      </c>
      <c r="J204">
        <v>26.287500000000001</v>
      </c>
      <c r="K204" t="s">
        <v>185</v>
      </c>
      <c r="L204" t="s">
        <v>3564</v>
      </c>
      <c r="M204" t="s">
        <v>457</v>
      </c>
      <c r="N204">
        <v>7</v>
      </c>
      <c r="O204" t="s">
        <v>3573</v>
      </c>
      <c r="P204" t="s">
        <v>3573</v>
      </c>
      <c r="Q204" t="s">
        <v>111</v>
      </c>
    </row>
    <row r="205" spans="1:17">
      <c r="A205" t="s">
        <v>836</v>
      </c>
      <c r="B205" t="s">
        <v>840</v>
      </c>
      <c r="C205" t="s">
        <v>2456</v>
      </c>
      <c r="D205" t="s">
        <v>3552</v>
      </c>
      <c r="E205">
        <v>28</v>
      </c>
      <c r="F205" t="s">
        <v>3555</v>
      </c>
      <c r="G205">
        <v>0</v>
      </c>
      <c r="H205">
        <v>1</v>
      </c>
      <c r="I205" t="s">
        <v>282</v>
      </c>
      <c r="J205">
        <v>82.1708</v>
      </c>
      <c r="K205" t="s">
        <v>3561</v>
      </c>
      <c r="L205" t="s">
        <v>3561</v>
      </c>
      <c r="M205" t="s">
        <v>3566</v>
      </c>
      <c r="N205" t="s">
        <v>3569</v>
      </c>
      <c r="O205" t="s">
        <v>3573</v>
      </c>
      <c r="P205" t="s">
        <v>3573</v>
      </c>
      <c r="Q205" t="s">
        <v>53</v>
      </c>
    </row>
    <row r="206" spans="1:17">
      <c r="A206" t="s">
        <v>836</v>
      </c>
      <c r="B206" t="s">
        <v>9</v>
      </c>
      <c r="C206" t="s">
        <v>2457</v>
      </c>
      <c r="D206" t="s">
        <v>3551</v>
      </c>
      <c r="E206">
        <v>28</v>
      </c>
      <c r="F206" t="s">
        <v>3555</v>
      </c>
      <c r="G206">
        <v>0</v>
      </c>
      <c r="H206">
        <v>1</v>
      </c>
      <c r="I206" t="s">
        <v>282</v>
      </c>
      <c r="J206">
        <v>82.1708</v>
      </c>
      <c r="K206" t="s">
        <v>3561</v>
      </c>
      <c r="L206" t="s">
        <v>3561</v>
      </c>
      <c r="M206" t="s">
        <v>3566</v>
      </c>
      <c r="N206">
        <v>6</v>
      </c>
      <c r="O206" t="s">
        <v>3573</v>
      </c>
      <c r="P206" t="s">
        <v>3573</v>
      </c>
      <c r="Q206" t="s">
        <v>53</v>
      </c>
    </row>
    <row r="207" spans="1:17">
      <c r="A207" t="s">
        <v>836</v>
      </c>
      <c r="B207" t="s">
        <v>840</v>
      </c>
      <c r="C207" t="s">
        <v>2458</v>
      </c>
      <c r="D207" t="s">
        <v>3552</v>
      </c>
      <c r="E207">
        <v>65</v>
      </c>
      <c r="F207" t="s">
        <v>3559</v>
      </c>
      <c r="G207">
        <v>0</v>
      </c>
      <c r="H207">
        <v>0</v>
      </c>
      <c r="I207">
        <v>13509</v>
      </c>
      <c r="J207">
        <v>26.55</v>
      </c>
      <c r="K207" t="s">
        <v>283</v>
      </c>
      <c r="L207" t="s">
        <v>3564</v>
      </c>
      <c r="M207" t="s">
        <v>457</v>
      </c>
      <c r="N207" t="s">
        <v>3569</v>
      </c>
      <c r="O207">
        <v>249</v>
      </c>
      <c r="P207" t="s">
        <v>3574</v>
      </c>
      <c r="Q207" t="s">
        <v>284</v>
      </c>
    </row>
    <row r="208" spans="1:17">
      <c r="A208" t="s">
        <v>836</v>
      </c>
      <c r="B208" t="s">
        <v>840</v>
      </c>
      <c r="C208" t="s">
        <v>2459</v>
      </c>
      <c r="D208" t="s">
        <v>3552</v>
      </c>
      <c r="E208">
        <v>44</v>
      </c>
      <c r="F208" t="s">
        <v>3557</v>
      </c>
      <c r="G208">
        <v>0</v>
      </c>
      <c r="H208">
        <v>2</v>
      </c>
      <c r="I208">
        <v>19928</v>
      </c>
      <c r="J208">
        <v>90</v>
      </c>
      <c r="K208" t="s">
        <v>285</v>
      </c>
      <c r="L208" t="s">
        <v>62</v>
      </c>
      <c r="M208" t="s">
        <v>3567</v>
      </c>
      <c r="N208" t="s">
        <v>3569</v>
      </c>
      <c r="O208">
        <v>230</v>
      </c>
      <c r="P208" t="s">
        <v>3574</v>
      </c>
      <c r="Q208" t="s">
        <v>286</v>
      </c>
    </row>
    <row r="209" spans="1:17">
      <c r="A209" t="s">
        <v>836</v>
      </c>
      <c r="B209" t="s">
        <v>9</v>
      </c>
      <c r="C209" t="s">
        <v>2460</v>
      </c>
      <c r="D209" t="s">
        <v>3551</v>
      </c>
      <c r="E209">
        <v>33</v>
      </c>
      <c r="F209" t="s">
        <v>3557</v>
      </c>
      <c r="G209">
        <v>0</v>
      </c>
      <c r="H209">
        <v>1</v>
      </c>
      <c r="I209">
        <v>19928</v>
      </c>
      <c r="J209">
        <v>90</v>
      </c>
      <c r="K209" t="s">
        <v>285</v>
      </c>
      <c r="L209" t="s">
        <v>62</v>
      </c>
      <c r="M209" t="s">
        <v>3567</v>
      </c>
      <c r="N209">
        <v>14</v>
      </c>
      <c r="O209" t="s">
        <v>3573</v>
      </c>
      <c r="P209" t="s">
        <v>3573</v>
      </c>
      <c r="Q209" t="s">
        <v>287</v>
      </c>
    </row>
    <row r="210" spans="1:17">
      <c r="A210" t="s">
        <v>836</v>
      </c>
      <c r="B210" t="s">
        <v>9</v>
      </c>
      <c r="C210" t="s">
        <v>2461</v>
      </c>
      <c r="D210" t="s">
        <v>3551</v>
      </c>
      <c r="E210">
        <v>37</v>
      </c>
      <c r="F210" t="s">
        <v>3557</v>
      </c>
      <c r="G210">
        <v>0</v>
      </c>
      <c r="H210">
        <v>1</v>
      </c>
      <c r="I210">
        <v>19928</v>
      </c>
      <c r="J210">
        <v>90</v>
      </c>
      <c r="K210" t="s">
        <v>285</v>
      </c>
      <c r="L210" t="s">
        <v>62</v>
      </c>
      <c r="M210" t="s">
        <v>3567</v>
      </c>
      <c r="N210">
        <v>14</v>
      </c>
      <c r="O210" t="s">
        <v>3573</v>
      </c>
      <c r="P210" t="s">
        <v>3573</v>
      </c>
      <c r="Q210" t="s">
        <v>286</v>
      </c>
    </row>
    <row r="211" spans="1:17">
      <c r="A211" t="s">
        <v>836</v>
      </c>
      <c r="B211" t="s">
        <v>9</v>
      </c>
      <c r="C211" t="s">
        <v>2462</v>
      </c>
      <c r="D211" t="s">
        <v>3552</v>
      </c>
      <c r="E211">
        <v>30</v>
      </c>
      <c r="F211" t="s">
        <v>3557</v>
      </c>
      <c r="G211">
        <v>0</v>
      </c>
      <c r="H211">
        <v>1</v>
      </c>
      <c r="I211">
        <v>13236</v>
      </c>
      <c r="J211">
        <v>57.75</v>
      </c>
      <c r="K211" t="s">
        <v>285</v>
      </c>
      <c r="L211" t="s">
        <v>62</v>
      </c>
      <c r="M211" t="s">
        <v>3566</v>
      </c>
      <c r="N211">
        <v>11</v>
      </c>
      <c r="O211" t="s">
        <v>3573</v>
      </c>
      <c r="P211" t="s">
        <v>3573</v>
      </c>
      <c r="Q211" t="s">
        <v>53</v>
      </c>
    </row>
    <row r="212" spans="1:17">
      <c r="A212" t="s">
        <v>836</v>
      </c>
      <c r="B212" t="s">
        <v>840</v>
      </c>
      <c r="C212" t="s">
        <v>2463</v>
      </c>
      <c r="D212" t="s">
        <v>3552</v>
      </c>
      <c r="E212">
        <v>55</v>
      </c>
      <c r="F212" t="s">
        <v>3557</v>
      </c>
      <c r="G212">
        <v>0</v>
      </c>
      <c r="H212">
        <v>0</v>
      </c>
      <c r="I212">
        <v>113787</v>
      </c>
      <c r="J212">
        <v>30.5</v>
      </c>
      <c r="K212" t="s">
        <v>288</v>
      </c>
      <c r="L212" t="s">
        <v>62</v>
      </c>
      <c r="M212" t="s">
        <v>457</v>
      </c>
      <c r="N212" t="s">
        <v>3569</v>
      </c>
      <c r="O212" t="s">
        <v>3573</v>
      </c>
      <c r="P212" t="s">
        <v>3573</v>
      </c>
      <c r="Q212" t="s">
        <v>75</v>
      </c>
    </row>
    <row r="213" spans="1:17">
      <c r="A213" t="s">
        <v>836</v>
      </c>
      <c r="B213" t="s">
        <v>840</v>
      </c>
      <c r="C213" t="s">
        <v>2464</v>
      </c>
      <c r="D213" t="s">
        <v>3552</v>
      </c>
      <c r="E213">
        <v>47</v>
      </c>
      <c r="F213" t="s">
        <v>3557</v>
      </c>
      <c r="G213">
        <v>0</v>
      </c>
      <c r="H213">
        <v>0</v>
      </c>
      <c r="I213">
        <v>113796</v>
      </c>
      <c r="J213">
        <v>42.4</v>
      </c>
      <c r="K213" t="s">
        <v>3561</v>
      </c>
      <c r="L213" t="s">
        <v>3561</v>
      </c>
      <c r="M213" t="s">
        <v>457</v>
      </c>
      <c r="N213" t="s">
        <v>3569</v>
      </c>
      <c r="O213" t="s">
        <v>3573</v>
      </c>
      <c r="P213" t="s">
        <v>3573</v>
      </c>
      <c r="Q213" t="s">
        <v>118</v>
      </c>
    </row>
    <row r="214" spans="1:17">
      <c r="A214" t="s">
        <v>836</v>
      </c>
      <c r="B214" t="s">
        <v>840</v>
      </c>
      <c r="C214" t="s">
        <v>2465</v>
      </c>
      <c r="D214" t="s">
        <v>3552</v>
      </c>
      <c r="E214">
        <v>37</v>
      </c>
      <c r="F214" t="s">
        <v>3557</v>
      </c>
      <c r="G214">
        <v>1</v>
      </c>
      <c r="H214">
        <v>0</v>
      </c>
      <c r="I214" t="s">
        <v>289</v>
      </c>
      <c r="J214">
        <v>29.7</v>
      </c>
      <c r="K214" t="s">
        <v>290</v>
      </c>
      <c r="L214" t="s">
        <v>62</v>
      </c>
      <c r="M214" t="s">
        <v>3566</v>
      </c>
      <c r="N214" t="s">
        <v>3569</v>
      </c>
      <c r="O214" t="s">
        <v>3573</v>
      </c>
      <c r="P214" t="s">
        <v>3573</v>
      </c>
      <c r="Q214" t="s">
        <v>186</v>
      </c>
    </row>
    <row r="215" spans="1:17">
      <c r="A215" t="s">
        <v>836</v>
      </c>
      <c r="B215" t="s">
        <v>9</v>
      </c>
      <c r="C215" t="s">
        <v>2466</v>
      </c>
      <c r="D215" t="s">
        <v>3551</v>
      </c>
      <c r="E215">
        <v>31</v>
      </c>
      <c r="F215" t="s">
        <v>3557</v>
      </c>
      <c r="G215">
        <v>0</v>
      </c>
      <c r="H215">
        <v>1</v>
      </c>
      <c r="I215">
        <v>35273</v>
      </c>
      <c r="J215">
        <v>113.27500000000001</v>
      </c>
      <c r="K215" t="s">
        <v>291</v>
      </c>
      <c r="L215" t="s">
        <v>59</v>
      </c>
      <c r="M215" t="s">
        <v>3566</v>
      </c>
      <c r="N215">
        <v>6</v>
      </c>
      <c r="O215" t="s">
        <v>3573</v>
      </c>
      <c r="P215" t="s">
        <v>3573</v>
      </c>
      <c r="Q215" t="s">
        <v>292</v>
      </c>
    </row>
    <row r="216" spans="1:17">
      <c r="A216" t="s">
        <v>836</v>
      </c>
      <c r="B216" t="s">
        <v>9</v>
      </c>
      <c r="C216" t="s">
        <v>2467</v>
      </c>
      <c r="D216" t="s">
        <v>3551</v>
      </c>
      <c r="E216">
        <v>23</v>
      </c>
      <c r="F216" t="s">
        <v>3555</v>
      </c>
      <c r="G216">
        <v>0</v>
      </c>
      <c r="H216">
        <v>1</v>
      </c>
      <c r="I216">
        <v>35273</v>
      </c>
      <c r="J216">
        <v>113.27500000000001</v>
      </c>
      <c r="K216" t="s">
        <v>291</v>
      </c>
      <c r="L216" t="s">
        <v>59</v>
      </c>
      <c r="M216" t="s">
        <v>3566</v>
      </c>
      <c r="N216">
        <v>6</v>
      </c>
      <c r="O216" t="s">
        <v>3573</v>
      </c>
      <c r="P216" t="s">
        <v>3573</v>
      </c>
      <c r="Q216" t="s">
        <v>292</v>
      </c>
    </row>
    <row r="217" spans="1:17">
      <c r="A217" t="s">
        <v>836</v>
      </c>
      <c r="B217" t="s">
        <v>840</v>
      </c>
      <c r="C217" t="s">
        <v>2468</v>
      </c>
      <c r="D217" t="s">
        <v>3552</v>
      </c>
      <c r="E217">
        <v>58</v>
      </c>
      <c r="F217" t="s">
        <v>3557</v>
      </c>
      <c r="G217">
        <v>2</v>
      </c>
      <c r="H217">
        <v>0</v>
      </c>
      <c r="I217">
        <v>35273</v>
      </c>
      <c r="J217">
        <v>113.27500000000001</v>
      </c>
      <c r="K217" t="s">
        <v>293</v>
      </c>
      <c r="L217" t="s">
        <v>59</v>
      </c>
      <c r="M217" t="s">
        <v>3566</v>
      </c>
      <c r="N217" t="s">
        <v>3569</v>
      </c>
      <c r="O217">
        <v>122</v>
      </c>
      <c r="P217" t="s">
        <v>3574</v>
      </c>
      <c r="Q217" t="s">
        <v>292</v>
      </c>
    </row>
    <row r="218" spans="1:17">
      <c r="A218" t="s">
        <v>836</v>
      </c>
      <c r="B218" t="s">
        <v>9</v>
      </c>
      <c r="C218" t="s">
        <v>2469</v>
      </c>
      <c r="D218" t="s">
        <v>3551</v>
      </c>
      <c r="E218">
        <v>19</v>
      </c>
      <c r="F218" t="s">
        <v>3555</v>
      </c>
      <c r="G218">
        <v>2</v>
      </c>
      <c r="H218">
        <v>0</v>
      </c>
      <c r="I218">
        <v>11752</v>
      </c>
      <c r="J218">
        <v>26.283300000000001</v>
      </c>
      <c r="K218" t="s">
        <v>294</v>
      </c>
      <c r="L218" t="s">
        <v>59</v>
      </c>
      <c r="M218" t="s">
        <v>457</v>
      </c>
      <c r="N218">
        <v>5</v>
      </c>
      <c r="O218" t="s">
        <v>3573</v>
      </c>
      <c r="P218" t="s">
        <v>3573</v>
      </c>
      <c r="Q218" t="s">
        <v>53</v>
      </c>
    </row>
    <row r="219" spans="1:17">
      <c r="A219" t="s">
        <v>836</v>
      </c>
      <c r="B219" t="s">
        <v>840</v>
      </c>
      <c r="C219" t="s">
        <v>2470</v>
      </c>
      <c r="D219" t="s">
        <v>3552</v>
      </c>
      <c r="E219">
        <v>64</v>
      </c>
      <c r="F219" t="s">
        <v>3559</v>
      </c>
      <c r="G219">
        <v>0</v>
      </c>
      <c r="H219">
        <v>0</v>
      </c>
      <c r="I219">
        <v>693</v>
      </c>
      <c r="J219">
        <v>26</v>
      </c>
      <c r="K219" t="s">
        <v>3561</v>
      </c>
      <c r="L219" t="s">
        <v>3561</v>
      </c>
      <c r="M219" t="s">
        <v>457</v>
      </c>
      <c r="N219" t="s">
        <v>3569</v>
      </c>
      <c r="O219">
        <v>263</v>
      </c>
      <c r="P219" t="s">
        <v>3574</v>
      </c>
      <c r="Q219" t="s">
        <v>295</v>
      </c>
    </row>
    <row r="220" spans="1:17">
      <c r="A220" t="s">
        <v>836</v>
      </c>
      <c r="B220" t="s">
        <v>9</v>
      </c>
      <c r="C220" t="s">
        <v>2471</v>
      </c>
      <c r="D220" t="s">
        <v>3551</v>
      </c>
      <c r="E220">
        <v>39</v>
      </c>
      <c r="F220" t="s">
        <v>3557</v>
      </c>
      <c r="G220">
        <v>0</v>
      </c>
      <c r="H220">
        <v>0</v>
      </c>
      <c r="I220" t="s">
        <v>296</v>
      </c>
      <c r="J220">
        <v>108.9</v>
      </c>
      <c r="K220" t="s">
        <v>297</v>
      </c>
      <c r="L220" t="s">
        <v>62</v>
      </c>
      <c r="M220" t="s">
        <v>3566</v>
      </c>
      <c r="N220">
        <v>8</v>
      </c>
      <c r="O220" t="s">
        <v>3573</v>
      </c>
      <c r="P220" t="s">
        <v>3573</v>
      </c>
    </row>
    <row r="221" spans="1:17">
      <c r="A221" t="s">
        <v>836</v>
      </c>
      <c r="B221" t="s">
        <v>9</v>
      </c>
      <c r="C221" t="s">
        <v>2472</v>
      </c>
      <c r="D221" t="s">
        <v>3552</v>
      </c>
      <c r="E221">
        <v>28</v>
      </c>
      <c r="F221" t="s">
        <v>3555</v>
      </c>
      <c r="G221">
        <v>0</v>
      </c>
      <c r="H221">
        <v>0</v>
      </c>
      <c r="I221" t="s">
        <v>298</v>
      </c>
      <c r="J221">
        <v>25.741700000000002</v>
      </c>
      <c r="K221" t="s">
        <v>3561</v>
      </c>
      <c r="L221" t="s">
        <v>3561</v>
      </c>
      <c r="M221" t="s">
        <v>3566</v>
      </c>
      <c r="N221">
        <v>7</v>
      </c>
      <c r="O221" t="s">
        <v>3573</v>
      </c>
      <c r="P221" t="s">
        <v>3573</v>
      </c>
      <c r="Q221" t="s">
        <v>68</v>
      </c>
    </row>
    <row r="222" spans="1:17">
      <c r="A222" t="s">
        <v>836</v>
      </c>
      <c r="B222" t="s">
        <v>9</v>
      </c>
      <c r="C222" t="s">
        <v>2473</v>
      </c>
      <c r="D222" t="s">
        <v>3551</v>
      </c>
      <c r="E222">
        <v>22</v>
      </c>
      <c r="F222" t="s">
        <v>3555</v>
      </c>
      <c r="G222">
        <v>1</v>
      </c>
      <c r="H222">
        <v>0</v>
      </c>
      <c r="I222">
        <v>113509</v>
      </c>
      <c r="J222">
        <v>61.979199999999999</v>
      </c>
      <c r="K222" t="s">
        <v>299</v>
      </c>
      <c r="L222" t="s">
        <v>70</v>
      </c>
      <c r="M222" t="s">
        <v>3566</v>
      </c>
      <c r="N222">
        <v>5</v>
      </c>
      <c r="O222" t="s">
        <v>3573</v>
      </c>
      <c r="P222" t="s">
        <v>3573</v>
      </c>
      <c r="Q222" t="s">
        <v>300</v>
      </c>
    </row>
    <row r="223" spans="1:17">
      <c r="A223" t="s">
        <v>836</v>
      </c>
      <c r="B223" t="s">
        <v>840</v>
      </c>
      <c r="C223" t="s">
        <v>2474</v>
      </c>
      <c r="D223" t="s">
        <v>3552</v>
      </c>
      <c r="E223">
        <v>65</v>
      </c>
      <c r="F223" t="s">
        <v>3559</v>
      </c>
      <c r="G223">
        <v>1</v>
      </c>
      <c r="H223">
        <v>0</v>
      </c>
      <c r="I223">
        <v>113509</v>
      </c>
      <c r="J223">
        <v>61.979199999999999</v>
      </c>
      <c r="K223" t="s">
        <v>301</v>
      </c>
      <c r="L223" t="s">
        <v>70</v>
      </c>
      <c r="M223" t="s">
        <v>3566</v>
      </c>
      <c r="N223" t="s">
        <v>3569</v>
      </c>
      <c r="O223">
        <v>234</v>
      </c>
      <c r="P223" t="s">
        <v>3574</v>
      </c>
      <c r="Q223" t="s">
        <v>300</v>
      </c>
    </row>
    <row r="224" spans="1:17">
      <c r="A224" t="s">
        <v>836</v>
      </c>
      <c r="B224" t="s">
        <v>840</v>
      </c>
      <c r="C224" t="s">
        <v>2475</v>
      </c>
      <c r="D224" t="s">
        <v>3552</v>
      </c>
      <c r="E224">
        <v>29</v>
      </c>
      <c r="F224" t="s">
        <v>3555</v>
      </c>
      <c r="G224">
        <v>0</v>
      </c>
      <c r="H224">
        <v>0</v>
      </c>
      <c r="I224" t="s">
        <v>302</v>
      </c>
      <c r="J224">
        <v>27.720800000000001</v>
      </c>
      <c r="K224" t="s">
        <v>303</v>
      </c>
      <c r="L224" t="s">
        <v>59</v>
      </c>
      <c r="M224" t="s">
        <v>3566</v>
      </c>
      <c r="N224" t="s">
        <v>3569</v>
      </c>
      <c r="O224">
        <v>189</v>
      </c>
      <c r="P224" t="s">
        <v>3574</v>
      </c>
      <c r="Q224" t="s">
        <v>304</v>
      </c>
    </row>
    <row r="225" spans="1:17">
      <c r="A225" t="s">
        <v>836</v>
      </c>
      <c r="B225" t="s">
        <v>840</v>
      </c>
      <c r="C225" t="s">
        <v>2476</v>
      </c>
      <c r="D225" t="s">
        <v>3552</v>
      </c>
      <c r="E225">
        <v>28</v>
      </c>
      <c r="F225" t="s">
        <v>3555</v>
      </c>
      <c r="G225">
        <v>0</v>
      </c>
      <c r="H225">
        <v>0</v>
      </c>
      <c r="I225">
        <v>112052</v>
      </c>
      <c r="J225">
        <v>0</v>
      </c>
      <c r="K225" t="s">
        <v>3561</v>
      </c>
      <c r="L225" t="s">
        <v>3561</v>
      </c>
      <c r="M225" t="s">
        <v>457</v>
      </c>
      <c r="N225" t="s">
        <v>3569</v>
      </c>
      <c r="O225" t="s">
        <v>3573</v>
      </c>
      <c r="P225" t="s">
        <v>3573</v>
      </c>
      <c r="Q225" t="s">
        <v>305</v>
      </c>
    </row>
    <row r="226" spans="1:17">
      <c r="A226" t="s">
        <v>836</v>
      </c>
      <c r="B226" t="s">
        <v>840</v>
      </c>
      <c r="C226" t="s">
        <v>2477</v>
      </c>
      <c r="D226" t="s">
        <v>3552</v>
      </c>
      <c r="E226">
        <v>46</v>
      </c>
      <c r="F226" t="s">
        <v>3557</v>
      </c>
      <c r="G226">
        <v>0</v>
      </c>
      <c r="H226">
        <v>0</v>
      </c>
      <c r="I226">
        <v>113043</v>
      </c>
      <c r="J226">
        <v>28.5</v>
      </c>
      <c r="K226" t="s">
        <v>257</v>
      </c>
      <c r="L226" t="s">
        <v>62</v>
      </c>
      <c r="M226" t="s">
        <v>457</v>
      </c>
      <c r="N226" t="s">
        <v>3569</v>
      </c>
      <c r="O226">
        <v>166</v>
      </c>
      <c r="P226" t="s">
        <v>3574</v>
      </c>
      <c r="Q226" t="s">
        <v>306</v>
      </c>
    </row>
    <row r="227" spans="1:17">
      <c r="A227" t="s">
        <v>836</v>
      </c>
      <c r="B227" t="s">
        <v>840</v>
      </c>
      <c r="C227" t="s">
        <v>2478</v>
      </c>
      <c r="D227" t="s">
        <v>3552</v>
      </c>
      <c r="E227">
        <v>23</v>
      </c>
      <c r="F227" t="s">
        <v>3555</v>
      </c>
      <c r="G227">
        <v>0</v>
      </c>
      <c r="H227">
        <v>0</v>
      </c>
      <c r="I227">
        <v>12749</v>
      </c>
      <c r="J227">
        <v>93.5</v>
      </c>
      <c r="K227" t="s">
        <v>307</v>
      </c>
      <c r="L227" t="s">
        <v>70</v>
      </c>
      <c r="M227" t="s">
        <v>457</v>
      </c>
      <c r="N227" t="s">
        <v>3569</v>
      </c>
      <c r="O227" t="s">
        <v>3573</v>
      </c>
      <c r="P227" t="s">
        <v>3573</v>
      </c>
      <c r="Q227" t="s">
        <v>75</v>
      </c>
    </row>
    <row r="228" spans="1:17">
      <c r="A228" t="s">
        <v>836</v>
      </c>
      <c r="B228" t="s">
        <v>840</v>
      </c>
      <c r="C228" t="s">
        <v>2479</v>
      </c>
      <c r="D228" t="s">
        <v>3552</v>
      </c>
      <c r="E228">
        <v>29</v>
      </c>
      <c r="F228" t="s">
        <v>3555</v>
      </c>
      <c r="G228">
        <v>0</v>
      </c>
      <c r="H228">
        <v>1</v>
      </c>
      <c r="I228">
        <v>113776</v>
      </c>
      <c r="J228">
        <v>66.599999999999994</v>
      </c>
      <c r="K228" t="s">
        <v>308</v>
      </c>
      <c r="L228" t="s">
        <v>62</v>
      </c>
      <c r="M228" t="s">
        <v>457</v>
      </c>
      <c r="N228" t="s">
        <v>3569</v>
      </c>
      <c r="O228" t="s">
        <v>3573</v>
      </c>
      <c r="P228" t="s">
        <v>3573</v>
      </c>
      <c r="Q228" t="s">
        <v>309</v>
      </c>
    </row>
    <row r="229" spans="1:17">
      <c r="A229" t="s">
        <v>836</v>
      </c>
      <c r="B229" t="s">
        <v>9</v>
      </c>
      <c r="C229" t="s">
        <v>2480</v>
      </c>
      <c r="D229" t="s">
        <v>3551</v>
      </c>
      <c r="E229">
        <v>22</v>
      </c>
      <c r="F229" t="s">
        <v>3555</v>
      </c>
      <c r="G229">
        <v>0</v>
      </c>
      <c r="H229">
        <v>1</v>
      </c>
      <c r="I229">
        <v>113776</v>
      </c>
      <c r="J229">
        <v>66.599999999999994</v>
      </c>
      <c r="K229" t="s">
        <v>308</v>
      </c>
      <c r="L229" t="s">
        <v>62</v>
      </c>
      <c r="M229" t="s">
        <v>457</v>
      </c>
      <c r="N229">
        <v>8</v>
      </c>
      <c r="O229" t="s">
        <v>3573</v>
      </c>
      <c r="P229" t="s">
        <v>3573</v>
      </c>
      <c r="Q229" t="s">
        <v>309</v>
      </c>
    </row>
    <row r="230" spans="1:17">
      <c r="A230" t="s">
        <v>836</v>
      </c>
      <c r="B230" t="s">
        <v>840</v>
      </c>
      <c r="C230" t="s">
        <v>2481</v>
      </c>
      <c r="D230" t="s">
        <v>3552</v>
      </c>
      <c r="E230">
        <v>18</v>
      </c>
      <c r="F230" t="s">
        <v>3555</v>
      </c>
      <c r="G230">
        <v>0</v>
      </c>
      <c r="H230">
        <v>1</v>
      </c>
      <c r="I230" t="s">
        <v>296</v>
      </c>
      <c r="J230">
        <v>108.9</v>
      </c>
      <c r="K230" t="s">
        <v>310</v>
      </c>
      <c r="L230" t="s">
        <v>62</v>
      </c>
      <c r="M230" t="s">
        <v>3566</v>
      </c>
      <c r="N230" t="s">
        <v>3569</v>
      </c>
      <c r="O230" t="s">
        <v>3573</v>
      </c>
      <c r="P230" t="s">
        <v>3573</v>
      </c>
      <c r="Q230" t="s">
        <v>311</v>
      </c>
    </row>
    <row r="231" spans="1:17">
      <c r="A231" t="s">
        <v>836</v>
      </c>
      <c r="B231" t="s">
        <v>9</v>
      </c>
      <c r="C231" t="s">
        <v>2481</v>
      </c>
      <c r="D231" t="s">
        <v>3551</v>
      </c>
      <c r="E231">
        <v>17</v>
      </c>
      <c r="F231" t="s">
        <v>3560</v>
      </c>
      <c r="G231">
        <v>0</v>
      </c>
      <c r="H231">
        <v>1</v>
      </c>
      <c r="I231" t="s">
        <v>296</v>
      </c>
      <c r="J231">
        <v>108.9</v>
      </c>
      <c r="K231" t="s">
        <v>310</v>
      </c>
      <c r="L231" t="s">
        <v>62</v>
      </c>
      <c r="M231" t="s">
        <v>3566</v>
      </c>
      <c r="N231">
        <v>8</v>
      </c>
      <c r="O231" t="s">
        <v>3573</v>
      </c>
      <c r="P231" t="s">
        <v>3573</v>
      </c>
      <c r="Q231" t="s">
        <v>311</v>
      </c>
    </row>
    <row r="232" spans="1:17">
      <c r="A232" t="s">
        <v>836</v>
      </c>
      <c r="B232" t="s">
        <v>9</v>
      </c>
      <c r="C232" t="s">
        <v>2482</v>
      </c>
      <c r="D232" t="s">
        <v>3551</v>
      </c>
      <c r="E232">
        <v>30</v>
      </c>
      <c r="F232" t="s">
        <v>3557</v>
      </c>
      <c r="G232">
        <v>0</v>
      </c>
      <c r="H232">
        <v>0</v>
      </c>
      <c r="I232">
        <v>12749</v>
      </c>
      <c r="J232">
        <v>93.5</v>
      </c>
      <c r="K232" t="s">
        <v>312</v>
      </c>
      <c r="L232" t="s">
        <v>70</v>
      </c>
      <c r="M232" t="s">
        <v>457</v>
      </c>
      <c r="N232">
        <v>3</v>
      </c>
      <c r="O232" t="s">
        <v>3573</v>
      </c>
      <c r="P232" t="s">
        <v>3573</v>
      </c>
    </row>
    <row r="233" spans="1:17">
      <c r="A233" t="s">
        <v>836</v>
      </c>
      <c r="B233" t="s">
        <v>9</v>
      </c>
      <c r="C233" t="s">
        <v>2483</v>
      </c>
      <c r="D233" t="s">
        <v>3552</v>
      </c>
      <c r="E233">
        <v>52</v>
      </c>
      <c r="F233" t="s">
        <v>3557</v>
      </c>
      <c r="G233">
        <v>0</v>
      </c>
      <c r="H233">
        <v>0</v>
      </c>
      <c r="I233">
        <v>113786</v>
      </c>
      <c r="J233">
        <v>30.5</v>
      </c>
      <c r="K233" t="s">
        <v>313</v>
      </c>
      <c r="L233" t="s">
        <v>62</v>
      </c>
      <c r="M233" t="s">
        <v>457</v>
      </c>
      <c r="N233">
        <v>6</v>
      </c>
      <c r="O233" t="s">
        <v>3573</v>
      </c>
      <c r="P233" t="s">
        <v>3573</v>
      </c>
      <c r="Q233" t="s">
        <v>314</v>
      </c>
    </row>
    <row r="234" spans="1:17">
      <c r="A234" t="s">
        <v>836</v>
      </c>
      <c r="B234" t="s">
        <v>840</v>
      </c>
      <c r="C234" t="s">
        <v>2484</v>
      </c>
      <c r="D234" t="s">
        <v>3552</v>
      </c>
      <c r="E234">
        <v>47</v>
      </c>
      <c r="F234" t="s">
        <v>3557</v>
      </c>
      <c r="G234">
        <v>0</v>
      </c>
      <c r="H234">
        <v>0</v>
      </c>
      <c r="I234">
        <v>110465</v>
      </c>
      <c r="J234">
        <v>52</v>
      </c>
      <c r="K234" t="s">
        <v>315</v>
      </c>
      <c r="L234" t="s">
        <v>62</v>
      </c>
      <c r="M234" t="s">
        <v>457</v>
      </c>
      <c r="N234" t="s">
        <v>3569</v>
      </c>
      <c r="O234">
        <v>207</v>
      </c>
      <c r="P234" t="s">
        <v>3574</v>
      </c>
      <c r="Q234" t="s">
        <v>316</v>
      </c>
    </row>
    <row r="235" spans="1:17">
      <c r="A235" t="s">
        <v>836</v>
      </c>
      <c r="B235" t="s">
        <v>9</v>
      </c>
      <c r="C235" t="s">
        <v>2485</v>
      </c>
      <c r="D235" t="s">
        <v>3551</v>
      </c>
      <c r="E235">
        <v>56</v>
      </c>
      <c r="F235" t="s">
        <v>3557</v>
      </c>
      <c r="G235">
        <v>1</v>
      </c>
      <c r="H235">
        <v>0</v>
      </c>
      <c r="I235">
        <v>11767</v>
      </c>
      <c r="J235">
        <v>83.158299999999997</v>
      </c>
      <c r="K235" t="s">
        <v>317</v>
      </c>
      <c r="L235" t="s">
        <v>62</v>
      </c>
      <c r="M235" t="s">
        <v>3566</v>
      </c>
      <c r="N235">
        <v>7</v>
      </c>
      <c r="O235" t="s">
        <v>3573</v>
      </c>
      <c r="P235" t="s">
        <v>3573</v>
      </c>
      <c r="Q235" t="s">
        <v>176</v>
      </c>
    </row>
    <row r="236" spans="1:17">
      <c r="A236" t="s">
        <v>836</v>
      </c>
      <c r="B236" t="s">
        <v>840</v>
      </c>
      <c r="C236" t="s">
        <v>2486</v>
      </c>
      <c r="D236" t="s">
        <v>3552</v>
      </c>
      <c r="E236">
        <v>38</v>
      </c>
      <c r="F236" t="s">
        <v>3557</v>
      </c>
      <c r="G236">
        <v>0</v>
      </c>
      <c r="H236">
        <v>0</v>
      </c>
      <c r="I236">
        <v>19972</v>
      </c>
      <c r="J236">
        <v>0</v>
      </c>
      <c r="K236" t="s">
        <v>3561</v>
      </c>
      <c r="L236" t="s">
        <v>3561</v>
      </c>
      <c r="M236" t="s">
        <v>457</v>
      </c>
      <c r="N236" t="s">
        <v>3569</v>
      </c>
      <c r="O236" t="s">
        <v>3573</v>
      </c>
      <c r="P236" t="s">
        <v>3573</v>
      </c>
      <c r="Q236" t="s">
        <v>318</v>
      </c>
    </row>
    <row r="237" spans="1:17">
      <c r="A237" t="s">
        <v>836</v>
      </c>
      <c r="B237" t="s">
        <v>9</v>
      </c>
      <c r="C237" t="s">
        <v>2487</v>
      </c>
      <c r="D237" t="s">
        <v>3552</v>
      </c>
      <c r="E237">
        <v>28</v>
      </c>
      <c r="F237" t="s">
        <v>3555</v>
      </c>
      <c r="G237">
        <v>0</v>
      </c>
      <c r="H237">
        <v>0</v>
      </c>
      <c r="I237" t="s">
        <v>319</v>
      </c>
      <c r="J237">
        <v>39.6</v>
      </c>
      <c r="K237" t="s">
        <v>3561</v>
      </c>
      <c r="L237" t="s">
        <v>3561</v>
      </c>
      <c r="M237" t="s">
        <v>457</v>
      </c>
      <c r="N237" t="s">
        <v>78</v>
      </c>
      <c r="O237" t="s">
        <v>3573</v>
      </c>
      <c r="P237" t="s">
        <v>3573</v>
      </c>
      <c r="Q237" t="s">
        <v>320</v>
      </c>
    </row>
    <row r="238" spans="1:17">
      <c r="A238" t="s">
        <v>836</v>
      </c>
      <c r="B238" t="s">
        <v>840</v>
      </c>
      <c r="C238" t="s">
        <v>2488</v>
      </c>
      <c r="D238" t="s">
        <v>3552</v>
      </c>
      <c r="E238">
        <v>22</v>
      </c>
      <c r="F238" t="s">
        <v>3555</v>
      </c>
      <c r="G238">
        <v>0</v>
      </c>
      <c r="H238">
        <v>0</v>
      </c>
      <c r="I238" t="s">
        <v>87</v>
      </c>
      <c r="J238">
        <v>135.63329999999999</v>
      </c>
      <c r="K238" t="s">
        <v>3561</v>
      </c>
      <c r="L238" t="s">
        <v>3561</v>
      </c>
      <c r="M238" t="s">
        <v>3566</v>
      </c>
      <c r="N238" t="s">
        <v>3569</v>
      </c>
      <c r="O238">
        <v>232</v>
      </c>
      <c r="P238" t="s">
        <v>3574</v>
      </c>
    </row>
    <row r="239" spans="1:17">
      <c r="A239" t="s">
        <v>836</v>
      </c>
      <c r="B239" t="s">
        <v>840</v>
      </c>
      <c r="C239" t="s">
        <v>2489</v>
      </c>
      <c r="D239" t="s">
        <v>3552</v>
      </c>
      <c r="E239">
        <v>28</v>
      </c>
      <c r="F239" t="s">
        <v>3555</v>
      </c>
      <c r="G239">
        <v>0</v>
      </c>
      <c r="H239">
        <v>0</v>
      </c>
      <c r="I239" t="s">
        <v>64</v>
      </c>
      <c r="J239">
        <v>227.52500000000001</v>
      </c>
      <c r="K239" t="s">
        <v>3561</v>
      </c>
      <c r="L239" t="s">
        <v>3561</v>
      </c>
      <c r="M239" t="s">
        <v>3566</v>
      </c>
      <c r="N239" t="s">
        <v>3569</v>
      </c>
      <c r="O239" t="s">
        <v>3573</v>
      </c>
      <c r="P239" t="s">
        <v>3573</v>
      </c>
    </row>
    <row r="240" spans="1:17">
      <c r="A240" t="s">
        <v>836</v>
      </c>
      <c r="B240" t="s">
        <v>9</v>
      </c>
      <c r="C240" t="s">
        <v>2490</v>
      </c>
      <c r="D240" t="s">
        <v>3551</v>
      </c>
      <c r="E240">
        <v>43</v>
      </c>
      <c r="F240" t="s">
        <v>3557</v>
      </c>
      <c r="G240">
        <v>1</v>
      </c>
      <c r="H240">
        <v>0</v>
      </c>
      <c r="I240">
        <v>24160</v>
      </c>
      <c r="J240">
        <v>211.33750000000001</v>
      </c>
      <c r="K240" t="s">
        <v>321</v>
      </c>
      <c r="L240" t="s">
        <v>70</v>
      </c>
      <c r="M240" t="s">
        <v>457</v>
      </c>
      <c r="N240">
        <v>2</v>
      </c>
      <c r="O240" t="s">
        <v>3573</v>
      </c>
      <c r="P240" t="s">
        <v>3573</v>
      </c>
      <c r="Q240" t="s">
        <v>49</v>
      </c>
    </row>
    <row r="241" spans="1:17">
      <c r="A241" t="s">
        <v>836</v>
      </c>
      <c r="B241" t="s">
        <v>840</v>
      </c>
      <c r="C241" t="s">
        <v>2491</v>
      </c>
      <c r="D241" t="s">
        <v>3552</v>
      </c>
      <c r="E241">
        <v>31</v>
      </c>
      <c r="F241" t="s">
        <v>3557</v>
      </c>
      <c r="G241">
        <v>0</v>
      </c>
      <c r="H241">
        <v>0</v>
      </c>
      <c r="I241" t="s">
        <v>322</v>
      </c>
      <c r="J241">
        <v>50.495800000000003</v>
      </c>
      <c r="K241" t="s">
        <v>323</v>
      </c>
      <c r="L241" t="s">
        <v>78</v>
      </c>
      <c r="M241" t="s">
        <v>457</v>
      </c>
      <c r="N241" t="s">
        <v>3569</v>
      </c>
      <c r="O241" t="s">
        <v>3573</v>
      </c>
      <c r="P241" t="s">
        <v>3573</v>
      </c>
      <c r="Q241" t="s">
        <v>92</v>
      </c>
    </row>
    <row r="242" spans="1:17">
      <c r="A242" t="s">
        <v>836</v>
      </c>
      <c r="B242" t="s">
        <v>9</v>
      </c>
      <c r="C242" t="s">
        <v>2492</v>
      </c>
      <c r="D242" t="s">
        <v>3552</v>
      </c>
      <c r="E242">
        <v>45</v>
      </c>
      <c r="F242" t="s">
        <v>3557</v>
      </c>
      <c r="G242">
        <v>0</v>
      </c>
      <c r="H242">
        <v>0</v>
      </c>
      <c r="I242">
        <v>111428</v>
      </c>
      <c r="J242">
        <v>26.55</v>
      </c>
      <c r="K242" t="s">
        <v>3561</v>
      </c>
      <c r="L242" t="s">
        <v>3561</v>
      </c>
      <c r="M242" t="s">
        <v>457</v>
      </c>
      <c r="N242">
        <v>9</v>
      </c>
      <c r="O242" t="s">
        <v>3573</v>
      </c>
      <c r="P242" t="s">
        <v>3573</v>
      </c>
      <c r="Q242" t="s">
        <v>53</v>
      </c>
    </row>
    <row r="243" spans="1:17">
      <c r="A243" t="s">
        <v>836</v>
      </c>
      <c r="B243" t="s">
        <v>840</v>
      </c>
      <c r="C243" t="s">
        <v>2493</v>
      </c>
      <c r="D243" t="s">
        <v>3552</v>
      </c>
      <c r="E243">
        <v>28</v>
      </c>
      <c r="F243" t="s">
        <v>3555</v>
      </c>
      <c r="G243">
        <v>0</v>
      </c>
      <c r="H243">
        <v>0</v>
      </c>
      <c r="I243">
        <v>113767</v>
      </c>
      <c r="J243">
        <v>50</v>
      </c>
      <c r="K243" t="s">
        <v>324</v>
      </c>
      <c r="L243" t="s">
        <v>78</v>
      </c>
      <c r="M243" t="s">
        <v>457</v>
      </c>
      <c r="N243" t="s">
        <v>3569</v>
      </c>
      <c r="O243" t="s">
        <v>3573</v>
      </c>
      <c r="P243" t="s">
        <v>3573</v>
      </c>
      <c r="Q243" t="s">
        <v>325</v>
      </c>
    </row>
    <row r="244" spans="1:17">
      <c r="A244" t="s">
        <v>836</v>
      </c>
      <c r="B244" t="s">
        <v>9</v>
      </c>
      <c r="C244" t="s">
        <v>2494</v>
      </c>
      <c r="D244" t="s">
        <v>3551</v>
      </c>
      <c r="E244">
        <v>33</v>
      </c>
      <c r="F244" t="s">
        <v>3557</v>
      </c>
      <c r="G244">
        <v>0</v>
      </c>
      <c r="H244">
        <v>0</v>
      </c>
      <c r="I244" t="s">
        <v>326</v>
      </c>
      <c r="J244">
        <v>27.720800000000001</v>
      </c>
      <c r="K244" t="s">
        <v>327</v>
      </c>
      <c r="L244" t="s">
        <v>78</v>
      </c>
      <c r="M244" t="s">
        <v>3566</v>
      </c>
      <c r="N244">
        <v>11</v>
      </c>
      <c r="O244" t="s">
        <v>3573</v>
      </c>
      <c r="P244" t="s">
        <v>3573</v>
      </c>
      <c r="Q244" t="s">
        <v>68</v>
      </c>
    </row>
    <row r="245" spans="1:17">
      <c r="A245" t="s">
        <v>836</v>
      </c>
      <c r="B245" t="s">
        <v>840</v>
      </c>
      <c r="C245" t="s">
        <v>2495</v>
      </c>
      <c r="D245" t="s">
        <v>3552</v>
      </c>
      <c r="E245">
        <v>46</v>
      </c>
      <c r="F245" t="s">
        <v>3557</v>
      </c>
      <c r="G245">
        <v>0</v>
      </c>
      <c r="H245">
        <v>0</v>
      </c>
      <c r="I245" t="s">
        <v>328</v>
      </c>
      <c r="J245">
        <v>79.2</v>
      </c>
      <c r="K245" t="s">
        <v>3561</v>
      </c>
      <c r="L245" t="s">
        <v>3561</v>
      </c>
      <c r="M245" t="s">
        <v>3566</v>
      </c>
      <c r="N245" t="s">
        <v>3569</v>
      </c>
      <c r="O245">
        <v>16</v>
      </c>
      <c r="P245" t="s">
        <v>3574</v>
      </c>
      <c r="Q245" t="s">
        <v>53</v>
      </c>
    </row>
    <row r="246" spans="1:17">
      <c r="A246" t="s">
        <v>836</v>
      </c>
      <c r="B246" t="s">
        <v>840</v>
      </c>
      <c r="C246" t="s">
        <v>2496</v>
      </c>
      <c r="D246" t="s">
        <v>3552</v>
      </c>
      <c r="E246">
        <v>36</v>
      </c>
      <c r="F246" t="s">
        <v>3557</v>
      </c>
      <c r="G246">
        <v>0</v>
      </c>
      <c r="H246">
        <v>0</v>
      </c>
      <c r="I246">
        <v>13049</v>
      </c>
      <c r="J246">
        <v>40.125</v>
      </c>
      <c r="K246" t="s">
        <v>329</v>
      </c>
      <c r="L246" t="s">
        <v>78</v>
      </c>
      <c r="M246" t="s">
        <v>3566</v>
      </c>
      <c r="N246" t="s">
        <v>3569</v>
      </c>
      <c r="O246" t="s">
        <v>3573</v>
      </c>
      <c r="P246" t="s">
        <v>3573</v>
      </c>
      <c r="Q246" t="s">
        <v>189</v>
      </c>
    </row>
    <row r="247" spans="1:17">
      <c r="A247" t="s">
        <v>836</v>
      </c>
      <c r="B247" t="s">
        <v>9</v>
      </c>
      <c r="C247" t="s">
        <v>2497</v>
      </c>
      <c r="D247" t="s">
        <v>3551</v>
      </c>
      <c r="E247">
        <v>33</v>
      </c>
      <c r="F247" t="s">
        <v>3557</v>
      </c>
      <c r="G247">
        <v>0</v>
      </c>
      <c r="H247">
        <v>0</v>
      </c>
      <c r="I247">
        <v>110152</v>
      </c>
      <c r="J247">
        <v>86.5</v>
      </c>
      <c r="K247" t="s">
        <v>137</v>
      </c>
      <c r="L247" t="s">
        <v>70</v>
      </c>
      <c r="M247" t="s">
        <v>457</v>
      </c>
      <c r="N247">
        <v>8</v>
      </c>
      <c r="O247" t="s">
        <v>3573</v>
      </c>
      <c r="P247" t="s">
        <v>3573</v>
      </c>
      <c r="Q247" t="s">
        <v>330</v>
      </c>
    </row>
    <row r="248" spans="1:17">
      <c r="A248" t="s">
        <v>836</v>
      </c>
      <c r="B248" t="s">
        <v>840</v>
      </c>
      <c r="C248" t="s">
        <v>2498</v>
      </c>
      <c r="D248" t="s">
        <v>3552</v>
      </c>
      <c r="E248">
        <v>55</v>
      </c>
      <c r="F248" t="s">
        <v>3557</v>
      </c>
      <c r="G248">
        <v>0</v>
      </c>
      <c r="H248">
        <v>1</v>
      </c>
      <c r="I248" t="s">
        <v>331</v>
      </c>
      <c r="J248">
        <v>59.4</v>
      </c>
      <c r="K248" t="s">
        <v>3561</v>
      </c>
      <c r="L248" t="s">
        <v>3561</v>
      </c>
      <c r="M248" t="s">
        <v>3566</v>
      </c>
      <c r="N248" t="s">
        <v>3569</v>
      </c>
      <c r="O248" t="s">
        <v>3573</v>
      </c>
      <c r="P248" t="s">
        <v>3573</v>
      </c>
      <c r="Q248" t="s">
        <v>53</v>
      </c>
    </row>
    <row r="249" spans="1:17">
      <c r="A249" t="s">
        <v>836</v>
      </c>
      <c r="B249" t="s">
        <v>9</v>
      </c>
      <c r="C249" t="s">
        <v>2499</v>
      </c>
      <c r="D249" t="s">
        <v>3551</v>
      </c>
      <c r="E249">
        <v>54</v>
      </c>
      <c r="F249" t="s">
        <v>3557</v>
      </c>
      <c r="G249">
        <v>0</v>
      </c>
      <c r="H249">
        <v>1</v>
      </c>
      <c r="I249" t="s">
        <v>331</v>
      </c>
      <c r="J249">
        <v>59.4</v>
      </c>
      <c r="K249" t="s">
        <v>3561</v>
      </c>
      <c r="L249" t="s">
        <v>3561</v>
      </c>
      <c r="M249" t="s">
        <v>3566</v>
      </c>
      <c r="N249">
        <v>6</v>
      </c>
      <c r="O249" t="s">
        <v>3573</v>
      </c>
      <c r="P249" t="s">
        <v>3573</v>
      </c>
      <c r="Q249" t="s">
        <v>53</v>
      </c>
    </row>
    <row r="250" spans="1:17">
      <c r="A250" t="s">
        <v>836</v>
      </c>
      <c r="B250" t="s">
        <v>840</v>
      </c>
      <c r="C250" t="s">
        <v>2500</v>
      </c>
      <c r="D250" t="s">
        <v>3552</v>
      </c>
      <c r="E250">
        <v>33</v>
      </c>
      <c r="F250" t="s">
        <v>3557</v>
      </c>
      <c r="G250">
        <v>0</v>
      </c>
      <c r="H250">
        <v>0</v>
      </c>
      <c r="I250">
        <v>113790</v>
      </c>
      <c r="J250">
        <v>26.55</v>
      </c>
      <c r="K250" t="s">
        <v>3561</v>
      </c>
      <c r="L250" t="s">
        <v>3561</v>
      </c>
      <c r="M250" t="s">
        <v>457</v>
      </c>
      <c r="N250" t="s">
        <v>3569</v>
      </c>
      <c r="O250">
        <v>109</v>
      </c>
      <c r="P250" t="s">
        <v>3574</v>
      </c>
      <c r="Q250" t="s">
        <v>249</v>
      </c>
    </row>
    <row r="251" spans="1:17">
      <c r="A251" t="s">
        <v>836</v>
      </c>
      <c r="B251" t="s">
        <v>9</v>
      </c>
      <c r="C251" t="s">
        <v>2501</v>
      </c>
      <c r="D251" t="s">
        <v>3552</v>
      </c>
      <c r="E251">
        <v>13</v>
      </c>
      <c r="F251" t="s">
        <v>3560</v>
      </c>
      <c r="G251">
        <v>2</v>
      </c>
      <c r="H251">
        <v>2</v>
      </c>
      <c r="I251" t="s">
        <v>101</v>
      </c>
      <c r="J251">
        <v>262.375</v>
      </c>
      <c r="K251" t="s">
        <v>332</v>
      </c>
      <c r="L251" t="s">
        <v>70</v>
      </c>
      <c r="M251" t="s">
        <v>3566</v>
      </c>
      <c r="N251">
        <v>4</v>
      </c>
      <c r="O251" t="s">
        <v>3573</v>
      </c>
      <c r="P251" t="s">
        <v>3573</v>
      </c>
      <c r="Q251" t="s">
        <v>333</v>
      </c>
    </row>
    <row r="252" spans="1:17">
      <c r="A252" t="s">
        <v>836</v>
      </c>
      <c r="B252" t="s">
        <v>9</v>
      </c>
      <c r="C252" t="s">
        <v>2502</v>
      </c>
      <c r="D252" t="s">
        <v>3551</v>
      </c>
      <c r="E252">
        <v>18</v>
      </c>
      <c r="F252" t="s">
        <v>3555</v>
      </c>
      <c r="G252">
        <v>2</v>
      </c>
      <c r="H252">
        <v>2</v>
      </c>
      <c r="I252" t="s">
        <v>101</v>
      </c>
      <c r="J252">
        <v>262.375</v>
      </c>
      <c r="K252" t="s">
        <v>332</v>
      </c>
      <c r="L252" t="s">
        <v>70</v>
      </c>
      <c r="M252" t="s">
        <v>3566</v>
      </c>
      <c r="N252">
        <v>4</v>
      </c>
      <c r="O252" t="s">
        <v>3573</v>
      </c>
      <c r="P252" t="s">
        <v>3573</v>
      </c>
      <c r="Q252" t="s">
        <v>333</v>
      </c>
    </row>
    <row r="253" spans="1:17">
      <c r="A253" t="s">
        <v>836</v>
      </c>
      <c r="B253" t="s">
        <v>9</v>
      </c>
      <c r="C253" t="s">
        <v>2503</v>
      </c>
      <c r="D253" t="s">
        <v>3551</v>
      </c>
      <c r="E253">
        <v>21</v>
      </c>
      <c r="F253" t="s">
        <v>3555</v>
      </c>
      <c r="G253">
        <v>2</v>
      </c>
      <c r="H253">
        <v>2</v>
      </c>
      <c r="I253" t="s">
        <v>101</v>
      </c>
      <c r="J253">
        <v>262.375</v>
      </c>
      <c r="K253" t="s">
        <v>332</v>
      </c>
      <c r="L253" t="s">
        <v>70</v>
      </c>
      <c r="M253" t="s">
        <v>3566</v>
      </c>
      <c r="N253">
        <v>4</v>
      </c>
      <c r="O253" t="s">
        <v>3573</v>
      </c>
      <c r="P253" t="s">
        <v>3573</v>
      </c>
      <c r="Q253" t="s">
        <v>333</v>
      </c>
    </row>
    <row r="254" spans="1:17">
      <c r="A254" t="s">
        <v>836</v>
      </c>
      <c r="B254" t="s">
        <v>840</v>
      </c>
      <c r="C254" t="s">
        <v>2504</v>
      </c>
      <c r="D254" t="s">
        <v>3552</v>
      </c>
      <c r="E254">
        <v>61</v>
      </c>
      <c r="F254" t="s">
        <v>3559</v>
      </c>
      <c r="G254">
        <v>3</v>
      </c>
      <c r="H254">
        <v>1</v>
      </c>
      <c r="I254" t="s">
        <v>101</v>
      </c>
      <c r="J254">
        <v>262.375</v>
      </c>
      <c r="K254" t="s">
        <v>332</v>
      </c>
      <c r="L254" t="s">
        <v>70</v>
      </c>
      <c r="M254" t="s">
        <v>3566</v>
      </c>
      <c r="N254" t="s">
        <v>3569</v>
      </c>
      <c r="O254" t="s">
        <v>3573</v>
      </c>
      <c r="P254" t="s">
        <v>3573</v>
      </c>
      <c r="Q254" t="s">
        <v>333</v>
      </c>
    </row>
    <row r="255" spans="1:17">
      <c r="A255" t="s">
        <v>836</v>
      </c>
      <c r="B255" t="s">
        <v>9</v>
      </c>
      <c r="C255" t="s">
        <v>2505</v>
      </c>
      <c r="D255" t="s">
        <v>3551</v>
      </c>
      <c r="E255">
        <v>48</v>
      </c>
      <c r="F255" t="s">
        <v>3557</v>
      </c>
      <c r="G255">
        <v>3</v>
      </c>
      <c r="H255">
        <v>1</v>
      </c>
      <c r="I255" t="s">
        <v>101</v>
      </c>
      <c r="J255">
        <v>262.375</v>
      </c>
      <c r="K255" t="s">
        <v>332</v>
      </c>
      <c r="L255" t="s">
        <v>70</v>
      </c>
      <c r="M255" t="s">
        <v>3566</v>
      </c>
      <c r="N255">
        <v>4</v>
      </c>
      <c r="O255" t="s">
        <v>3573</v>
      </c>
      <c r="P255" t="s">
        <v>3573</v>
      </c>
      <c r="Q255" t="s">
        <v>333</v>
      </c>
    </row>
    <row r="256" spans="1:17">
      <c r="A256" t="s">
        <v>836</v>
      </c>
      <c r="B256" t="s">
        <v>9</v>
      </c>
      <c r="C256" t="s">
        <v>2506</v>
      </c>
      <c r="D256" t="s">
        <v>3552</v>
      </c>
      <c r="E256">
        <v>28</v>
      </c>
      <c r="F256" t="s">
        <v>3555</v>
      </c>
      <c r="G256">
        <v>0</v>
      </c>
      <c r="H256">
        <v>0</v>
      </c>
      <c r="I256">
        <v>19988</v>
      </c>
      <c r="J256">
        <v>30.5</v>
      </c>
      <c r="K256" t="s">
        <v>271</v>
      </c>
      <c r="L256" t="s">
        <v>62</v>
      </c>
      <c r="M256" t="s">
        <v>457</v>
      </c>
      <c r="N256">
        <v>3</v>
      </c>
      <c r="O256" t="s">
        <v>3573</v>
      </c>
      <c r="P256" t="s">
        <v>3573</v>
      </c>
      <c r="Q256" t="s">
        <v>334</v>
      </c>
    </row>
    <row r="257" spans="1:17">
      <c r="A257" t="s">
        <v>836</v>
      </c>
      <c r="B257" t="s">
        <v>9</v>
      </c>
      <c r="C257" t="s">
        <v>2507</v>
      </c>
      <c r="D257" t="s">
        <v>3551</v>
      </c>
      <c r="E257">
        <v>24</v>
      </c>
      <c r="F257" t="s">
        <v>3555</v>
      </c>
      <c r="G257">
        <v>0</v>
      </c>
      <c r="H257">
        <v>0</v>
      </c>
      <c r="I257" t="s">
        <v>66</v>
      </c>
      <c r="J257">
        <v>69.3</v>
      </c>
      <c r="K257" t="s">
        <v>67</v>
      </c>
      <c r="L257" t="s">
        <v>70</v>
      </c>
      <c r="M257" t="s">
        <v>3566</v>
      </c>
      <c r="N257">
        <v>9</v>
      </c>
      <c r="O257" t="s">
        <v>3573</v>
      </c>
      <c r="P257" t="s">
        <v>3573</v>
      </c>
    </row>
    <row r="258" spans="1:17">
      <c r="A258" t="s">
        <v>836</v>
      </c>
      <c r="B258" t="s">
        <v>9</v>
      </c>
      <c r="C258" t="s">
        <v>2508</v>
      </c>
      <c r="D258" t="s">
        <v>3552</v>
      </c>
      <c r="E258">
        <v>28</v>
      </c>
      <c r="F258" t="s">
        <v>3555</v>
      </c>
      <c r="G258">
        <v>0</v>
      </c>
      <c r="H258">
        <v>0</v>
      </c>
      <c r="I258">
        <v>111163</v>
      </c>
      <c r="J258">
        <v>26</v>
      </c>
      <c r="K258" t="s">
        <v>3561</v>
      </c>
      <c r="L258" t="s">
        <v>3561</v>
      </c>
      <c r="M258" t="s">
        <v>457</v>
      </c>
      <c r="N258">
        <v>1</v>
      </c>
      <c r="O258" t="s">
        <v>3573</v>
      </c>
      <c r="P258" t="s">
        <v>3573</v>
      </c>
      <c r="Q258" t="s">
        <v>53</v>
      </c>
    </row>
    <row r="259" spans="1:17">
      <c r="A259" t="s">
        <v>836</v>
      </c>
      <c r="B259" t="s">
        <v>9</v>
      </c>
      <c r="C259" t="s">
        <v>2509</v>
      </c>
      <c r="D259" t="s">
        <v>3551</v>
      </c>
      <c r="E259">
        <v>35</v>
      </c>
      <c r="F259" t="s">
        <v>3557</v>
      </c>
      <c r="G259">
        <v>0</v>
      </c>
      <c r="H259">
        <v>1</v>
      </c>
      <c r="I259">
        <v>13236</v>
      </c>
      <c r="J259">
        <v>57.75</v>
      </c>
      <c r="K259" t="s">
        <v>335</v>
      </c>
      <c r="L259" t="s">
        <v>62</v>
      </c>
      <c r="M259" t="s">
        <v>3566</v>
      </c>
      <c r="N259">
        <v>11</v>
      </c>
      <c r="O259" t="s">
        <v>3573</v>
      </c>
      <c r="P259" t="s">
        <v>3573</v>
      </c>
      <c r="Q259" t="s">
        <v>53</v>
      </c>
    </row>
    <row r="260" spans="1:17">
      <c r="A260" t="s">
        <v>836</v>
      </c>
      <c r="B260" t="s">
        <v>9</v>
      </c>
      <c r="C260" t="s">
        <v>2510</v>
      </c>
      <c r="D260" t="s">
        <v>3551</v>
      </c>
      <c r="E260">
        <v>30</v>
      </c>
      <c r="F260" t="s">
        <v>3557</v>
      </c>
      <c r="G260">
        <v>0</v>
      </c>
      <c r="H260">
        <v>0</v>
      </c>
      <c r="I260">
        <v>113798</v>
      </c>
      <c r="J260">
        <v>31</v>
      </c>
      <c r="K260" t="s">
        <v>3561</v>
      </c>
      <c r="L260" t="s">
        <v>3561</v>
      </c>
      <c r="M260" t="s">
        <v>3566</v>
      </c>
      <c r="N260">
        <v>4</v>
      </c>
      <c r="O260" t="s">
        <v>3573</v>
      </c>
      <c r="P260" t="s">
        <v>3573</v>
      </c>
    </row>
    <row r="261" spans="1:17">
      <c r="A261" t="s">
        <v>836</v>
      </c>
      <c r="B261" t="s">
        <v>9</v>
      </c>
      <c r="C261" t="s">
        <v>2511</v>
      </c>
      <c r="D261" t="s">
        <v>3552</v>
      </c>
      <c r="E261">
        <v>34</v>
      </c>
      <c r="F261" t="s">
        <v>3557</v>
      </c>
      <c r="G261">
        <v>0</v>
      </c>
      <c r="H261">
        <v>0</v>
      </c>
      <c r="I261">
        <v>113794</v>
      </c>
      <c r="J261">
        <v>26.55</v>
      </c>
      <c r="K261" t="s">
        <v>3561</v>
      </c>
      <c r="L261" t="s">
        <v>3561</v>
      </c>
      <c r="M261" t="s">
        <v>457</v>
      </c>
      <c r="N261">
        <v>7</v>
      </c>
      <c r="O261" t="s">
        <v>3573</v>
      </c>
      <c r="P261" t="s">
        <v>3573</v>
      </c>
      <c r="Q261" t="s">
        <v>53</v>
      </c>
    </row>
    <row r="262" spans="1:17">
      <c r="A262" t="s">
        <v>836</v>
      </c>
      <c r="B262" t="s">
        <v>9</v>
      </c>
      <c r="C262" t="s">
        <v>2512</v>
      </c>
      <c r="D262" t="s">
        <v>3551</v>
      </c>
      <c r="E262">
        <v>40</v>
      </c>
      <c r="F262" t="s">
        <v>3557</v>
      </c>
      <c r="G262">
        <v>0</v>
      </c>
      <c r="H262">
        <v>0</v>
      </c>
      <c r="I262" t="s">
        <v>213</v>
      </c>
      <c r="J262">
        <v>153.46250000000001</v>
      </c>
      <c r="K262" t="s">
        <v>215</v>
      </c>
      <c r="L262" t="s">
        <v>62</v>
      </c>
      <c r="M262" t="s">
        <v>457</v>
      </c>
      <c r="N262">
        <v>3</v>
      </c>
      <c r="O262" t="s">
        <v>3573</v>
      </c>
      <c r="P262" t="s">
        <v>3573</v>
      </c>
      <c r="Q262" t="s">
        <v>336</v>
      </c>
    </row>
    <row r="263" spans="1:17">
      <c r="A263" t="s">
        <v>836</v>
      </c>
      <c r="B263" t="s">
        <v>9</v>
      </c>
      <c r="C263" t="s">
        <v>2513</v>
      </c>
      <c r="D263" t="s">
        <v>3552</v>
      </c>
      <c r="E263">
        <v>35</v>
      </c>
      <c r="F263" t="s">
        <v>3557</v>
      </c>
      <c r="G263">
        <v>0</v>
      </c>
      <c r="H263">
        <v>0</v>
      </c>
      <c r="I263" t="s">
        <v>337</v>
      </c>
      <c r="J263">
        <v>26.287500000000001</v>
      </c>
      <c r="K263" t="s">
        <v>120</v>
      </c>
      <c r="L263" t="s">
        <v>3564</v>
      </c>
      <c r="M263" t="s">
        <v>457</v>
      </c>
      <c r="N263">
        <v>5</v>
      </c>
      <c r="O263" t="s">
        <v>3573</v>
      </c>
      <c r="P263" t="s">
        <v>3573</v>
      </c>
      <c r="Q263" t="s">
        <v>49</v>
      </c>
    </row>
    <row r="264" spans="1:17">
      <c r="A264" t="s">
        <v>836</v>
      </c>
      <c r="B264" t="s">
        <v>840</v>
      </c>
      <c r="C264" t="s">
        <v>2514</v>
      </c>
      <c r="D264" t="s">
        <v>3552</v>
      </c>
      <c r="E264">
        <v>50</v>
      </c>
      <c r="F264" t="s">
        <v>3557</v>
      </c>
      <c r="G264">
        <v>0</v>
      </c>
      <c r="H264">
        <v>1</v>
      </c>
      <c r="I264">
        <v>13507</v>
      </c>
      <c r="J264">
        <v>55.9</v>
      </c>
      <c r="K264" t="s">
        <v>338</v>
      </c>
      <c r="L264" t="s">
        <v>3564</v>
      </c>
      <c r="M264" t="s">
        <v>457</v>
      </c>
      <c r="N264" t="s">
        <v>3569</v>
      </c>
      <c r="O264" t="s">
        <v>3573</v>
      </c>
      <c r="P264" t="s">
        <v>3573</v>
      </c>
      <c r="Q264" t="s">
        <v>339</v>
      </c>
    </row>
    <row r="265" spans="1:17">
      <c r="A265" t="s">
        <v>836</v>
      </c>
      <c r="B265" t="s">
        <v>9</v>
      </c>
      <c r="C265" t="s">
        <v>2515</v>
      </c>
      <c r="D265" t="s">
        <v>3551</v>
      </c>
      <c r="E265">
        <v>39</v>
      </c>
      <c r="F265" t="s">
        <v>3557</v>
      </c>
      <c r="G265">
        <v>0</v>
      </c>
      <c r="H265">
        <v>1</v>
      </c>
      <c r="I265">
        <v>13507</v>
      </c>
      <c r="J265">
        <v>55.9</v>
      </c>
      <c r="K265" t="s">
        <v>338</v>
      </c>
      <c r="L265" t="s">
        <v>3564</v>
      </c>
      <c r="M265" t="s">
        <v>457</v>
      </c>
      <c r="N265">
        <v>11</v>
      </c>
      <c r="O265" t="s">
        <v>3573</v>
      </c>
      <c r="P265" t="s">
        <v>3573</v>
      </c>
      <c r="Q265" t="s">
        <v>339</v>
      </c>
    </row>
    <row r="266" spans="1:17">
      <c r="A266" t="s">
        <v>836</v>
      </c>
      <c r="B266" t="s">
        <v>9</v>
      </c>
      <c r="C266" t="s">
        <v>2516</v>
      </c>
      <c r="D266" t="s">
        <v>3552</v>
      </c>
      <c r="E266">
        <v>56</v>
      </c>
      <c r="F266" t="s">
        <v>3557</v>
      </c>
      <c r="G266">
        <v>0</v>
      </c>
      <c r="H266">
        <v>0</v>
      </c>
      <c r="I266">
        <v>13213</v>
      </c>
      <c r="J266">
        <v>35.5</v>
      </c>
      <c r="K266" t="s">
        <v>340</v>
      </c>
      <c r="L266" t="s">
        <v>78</v>
      </c>
      <c r="M266" t="s">
        <v>3566</v>
      </c>
      <c r="N266">
        <v>3</v>
      </c>
      <c r="O266" t="s">
        <v>3573</v>
      </c>
      <c r="P266" t="s">
        <v>3573</v>
      </c>
      <c r="Q266" t="s">
        <v>341</v>
      </c>
    </row>
    <row r="267" spans="1:17">
      <c r="A267" t="s">
        <v>836</v>
      </c>
      <c r="B267" t="s">
        <v>9</v>
      </c>
      <c r="C267" t="s">
        <v>2517</v>
      </c>
      <c r="D267" t="s">
        <v>3552</v>
      </c>
      <c r="E267">
        <v>28</v>
      </c>
      <c r="F267" t="s">
        <v>3555</v>
      </c>
      <c r="G267">
        <v>0</v>
      </c>
      <c r="H267">
        <v>0</v>
      </c>
      <c r="I267">
        <v>113788</v>
      </c>
      <c r="J267">
        <v>35.5</v>
      </c>
      <c r="K267" t="s">
        <v>342</v>
      </c>
      <c r="L267" t="s">
        <v>78</v>
      </c>
      <c r="M267" t="s">
        <v>457</v>
      </c>
      <c r="N267">
        <v>7</v>
      </c>
      <c r="O267" t="s">
        <v>3573</v>
      </c>
      <c r="P267" t="s">
        <v>3573</v>
      </c>
      <c r="Q267" t="s">
        <v>343</v>
      </c>
    </row>
    <row r="268" spans="1:17">
      <c r="A268" t="s">
        <v>836</v>
      </c>
      <c r="B268" t="s">
        <v>840</v>
      </c>
      <c r="C268" t="s">
        <v>2518</v>
      </c>
      <c r="D268" t="s">
        <v>3552</v>
      </c>
      <c r="E268">
        <v>56</v>
      </c>
      <c r="F268" t="s">
        <v>3557</v>
      </c>
      <c r="G268">
        <v>0</v>
      </c>
      <c r="H268">
        <v>0</v>
      </c>
      <c r="I268">
        <v>113792</v>
      </c>
      <c r="J268">
        <v>26.55</v>
      </c>
      <c r="K268" t="s">
        <v>3561</v>
      </c>
      <c r="L268" t="s">
        <v>3561</v>
      </c>
      <c r="M268" t="s">
        <v>457</v>
      </c>
      <c r="N268" t="s">
        <v>3569</v>
      </c>
      <c r="O268" t="s">
        <v>3573</v>
      </c>
      <c r="P268" t="s">
        <v>3573</v>
      </c>
      <c r="Q268" t="s">
        <v>53</v>
      </c>
    </row>
    <row r="269" spans="1:17">
      <c r="A269" t="s">
        <v>836</v>
      </c>
      <c r="B269" t="s">
        <v>840</v>
      </c>
      <c r="C269" t="s">
        <v>2519</v>
      </c>
      <c r="D269" t="s">
        <v>3552</v>
      </c>
      <c r="E269">
        <v>56</v>
      </c>
      <c r="F269" t="s">
        <v>3557</v>
      </c>
      <c r="G269">
        <v>0</v>
      </c>
      <c r="H269">
        <v>0</v>
      </c>
      <c r="I269">
        <v>17764</v>
      </c>
      <c r="J269">
        <v>30.695799999999998</v>
      </c>
      <c r="K269" t="s">
        <v>344</v>
      </c>
      <c r="L269" t="s">
        <v>78</v>
      </c>
      <c r="M269" t="s">
        <v>3566</v>
      </c>
      <c r="N269" t="s">
        <v>3569</v>
      </c>
      <c r="O269" t="s">
        <v>3573</v>
      </c>
      <c r="P269" t="s">
        <v>3573</v>
      </c>
      <c r="Q269" t="s">
        <v>345</v>
      </c>
    </row>
    <row r="270" spans="1:17">
      <c r="A270" t="s">
        <v>836</v>
      </c>
      <c r="B270" t="s">
        <v>840</v>
      </c>
      <c r="C270" t="s">
        <v>2520</v>
      </c>
      <c r="D270" t="s">
        <v>3552</v>
      </c>
      <c r="E270">
        <v>24</v>
      </c>
      <c r="F270" t="s">
        <v>3555</v>
      </c>
      <c r="G270">
        <v>0</v>
      </c>
      <c r="H270">
        <v>1</v>
      </c>
      <c r="I270">
        <v>13695</v>
      </c>
      <c r="J270">
        <v>60</v>
      </c>
      <c r="K270" t="s">
        <v>346</v>
      </c>
      <c r="L270" t="s">
        <v>62</v>
      </c>
      <c r="M270" t="s">
        <v>457</v>
      </c>
      <c r="N270" t="s">
        <v>3569</v>
      </c>
      <c r="O270" t="s">
        <v>3573</v>
      </c>
      <c r="P270" t="s">
        <v>3573</v>
      </c>
      <c r="Q270" t="s">
        <v>347</v>
      </c>
    </row>
    <row r="271" spans="1:17">
      <c r="A271" t="s">
        <v>836</v>
      </c>
      <c r="B271" t="s">
        <v>840</v>
      </c>
      <c r="C271" t="s">
        <v>2521</v>
      </c>
      <c r="D271" t="s">
        <v>3552</v>
      </c>
      <c r="E271">
        <v>28</v>
      </c>
      <c r="F271" t="s">
        <v>3555</v>
      </c>
      <c r="G271">
        <v>0</v>
      </c>
      <c r="H271">
        <v>0</v>
      </c>
      <c r="I271">
        <v>113056</v>
      </c>
      <c r="J271">
        <v>26</v>
      </c>
      <c r="K271" t="s">
        <v>348</v>
      </c>
      <c r="L271" t="s">
        <v>78</v>
      </c>
      <c r="M271" t="s">
        <v>457</v>
      </c>
      <c r="N271" t="s">
        <v>3569</v>
      </c>
      <c r="O271" t="s">
        <v>3573</v>
      </c>
      <c r="P271" t="s">
        <v>3573</v>
      </c>
      <c r="Q271" t="s">
        <v>349</v>
      </c>
    </row>
    <row r="272" spans="1:17">
      <c r="A272" t="s">
        <v>836</v>
      </c>
      <c r="B272" t="s">
        <v>9</v>
      </c>
      <c r="C272" t="s">
        <v>2522</v>
      </c>
      <c r="D272" t="s">
        <v>3551</v>
      </c>
      <c r="E272">
        <v>18</v>
      </c>
      <c r="F272" t="s">
        <v>3555</v>
      </c>
      <c r="G272">
        <v>0</v>
      </c>
      <c r="H272">
        <v>1</v>
      </c>
      <c r="I272">
        <v>13695</v>
      </c>
      <c r="J272">
        <v>60</v>
      </c>
      <c r="K272" t="s">
        <v>346</v>
      </c>
      <c r="L272" t="s">
        <v>62</v>
      </c>
      <c r="M272" t="s">
        <v>457</v>
      </c>
      <c r="N272">
        <v>6</v>
      </c>
      <c r="O272" t="s">
        <v>3573</v>
      </c>
      <c r="P272" t="s">
        <v>3573</v>
      </c>
      <c r="Q272" t="s">
        <v>347</v>
      </c>
    </row>
    <row r="273" spans="1:17">
      <c r="A273" t="s">
        <v>836</v>
      </c>
      <c r="B273" t="s">
        <v>9</v>
      </c>
      <c r="C273" t="s">
        <v>2523</v>
      </c>
      <c r="D273" t="s">
        <v>3552</v>
      </c>
      <c r="E273">
        <v>24</v>
      </c>
      <c r="F273" t="s">
        <v>3555</v>
      </c>
      <c r="G273">
        <v>0</v>
      </c>
      <c r="H273">
        <v>1</v>
      </c>
      <c r="I273">
        <v>21228</v>
      </c>
      <c r="J273">
        <v>82.2667</v>
      </c>
      <c r="K273" t="s">
        <v>350</v>
      </c>
      <c r="L273" t="s">
        <v>70</v>
      </c>
      <c r="M273" t="s">
        <v>457</v>
      </c>
      <c r="N273">
        <v>7</v>
      </c>
      <c r="O273" t="s">
        <v>3573</v>
      </c>
      <c r="P273" t="s">
        <v>3573</v>
      </c>
      <c r="Q273" t="s">
        <v>351</v>
      </c>
    </row>
    <row r="274" spans="1:17">
      <c r="A274" t="s">
        <v>836</v>
      </c>
      <c r="B274" t="s">
        <v>9</v>
      </c>
      <c r="C274" t="s">
        <v>2524</v>
      </c>
      <c r="D274" t="s">
        <v>3551</v>
      </c>
      <c r="E274">
        <v>23</v>
      </c>
      <c r="F274" t="s">
        <v>3555</v>
      </c>
      <c r="G274">
        <v>0</v>
      </c>
      <c r="H274">
        <v>1</v>
      </c>
      <c r="I274">
        <v>21228</v>
      </c>
      <c r="J274">
        <v>82.2667</v>
      </c>
      <c r="K274" t="s">
        <v>350</v>
      </c>
      <c r="L274" t="s">
        <v>70</v>
      </c>
      <c r="M274" t="s">
        <v>457</v>
      </c>
      <c r="N274">
        <v>7</v>
      </c>
      <c r="O274" t="s">
        <v>3573</v>
      </c>
      <c r="P274" t="s">
        <v>3573</v>
      </c>
      <c r="Q274" t="s">
        <v>351</v>
      </c>
    </row>
    <row r="275" spans="1:17">
      <c r="A275" t="s">
        <v>836</v>
      </c>
      <c r="B275" t="s">
        <v>9</v>
      </c>
      <c r="C275" t="s">
        <v>2525</v>
      </c>
      <c r="D275" t="s">
        <v>3552</v>
      </c>
      <c r="E275">
        <v>6</v>
      </c>
      <c r="F275" t="s">
        <v>3556</v>
      </c>
      <c r="G275">
        <v>2</v>
      </c>
      <c r="H275">
        <v>0</v>
      </c>
      <c r="I275">
        <v>16966</v>
      </c>
      <c r="J275">
        <v>134.5</v>
      </c>
      <c r="K275" t="s">
        <v>352</v>
      </c>
      <c r="L275" t="s">
        <v>3564</v>
      </c>
      <c r="M275" t="s">
        <v>3566</v>
      </c>
      <c r="N275">
        <v>3</v>
      </c>
      <c r="O275" t="s">
        <v>3573</v>
      </c>
      <c r="P275" t="s">
        <v>3573</v>
      </c>
      <c r="Q275" t="s">
        <v>353</v>
      </c>
    </row>
    <row r="276" spans="1:17">
      <c r="A276" t="s">
        <v>836</v>
      </c>
      <c r="B276" t="s">
        <v>9</v>
      </c>
      <c r="C276" t="s">
        <v>2526</v>
      </c>
      <c r="D276" t="s">
        <v>3552</v>
      </c>
      <c r="E276">
        <v>45</v>
      </c>
      <c r="F276" t="s">
        <v>3557</v>
      </c>
      <c r="G276">
        <v>1</v>
      </c>
      <c r="H276">
        <v>1</v>
      </c>
      <c r="I276">
        <v>16966</v>
      </c>
      <c r="J276">
        <v>134.5</v>
      </c>
      <c r="K276" t="s">
        <v>352</v>
      </c>
      <c r="L276" t="s">
        <v>3564</v>
      </c>
      <c r="M276" t="s">
        <v>3566</v>
      </c>
      <c r="N276">
        <v>3</v>
      </c>
      <c r="O276" t="s">
        <v>3573</v>
      </c>
      <c r="P276" t="s">
        <v>3573</v>
      </c>
      <c r="Q276" t="s">
        <v>353</v>
      </c>
    </row>
    <row r="277" spans="1:17">
      <c r="A277" t="s">
        <v>836</v>
      </c>
      <c r="B277" t="s">
        <v>9</v>
      </c>
      <c r="C277" t="s">
        <v>2527</v>
      </c>
      <c r="D277" t="s">
        <v>3551</v>
      </c>
      <c r="E277">
        <v>40</v>
      </c>
      <c r="F277" t="s">
        <v>3557</v>
      </c>
      <c r="G277">
        <v>1</v>
      </c>
      <c r="H277">
        <v>1</v>
      </c>
      <c r="I277">
        <v>16966</v>
      </c>
      <c r="J277">
        <v>134.5</v>
      </c>
      <c r="K277" t="s">
        <v>352</v>
      </c>
      <c r="L277" t="s">
        <v>3564</v>
      </c>
      <c r="M277" t="s">
        <v>3566</v>
      </c>
      <c r="N277">
        <v>3</v>
      </c>
      <c r="O277" t="s">
        <v>3573</v>
      </c>
      <c r="P277" t="s">
        <v>3573</v>
      </c>
      <c r="Q277" t="s">
        <v>353</v>
      </c>
    </row>
    <row r="278" spans="1:17">
      <c r="A278" t="s">
        <v>836</v>
      </c>
      <c r="B278" t="s">
        <v>840</v>
      </c>
      <c r="C278" t="s">
        <v>2528</v>
      </c>
      <c r="D278" t="s">
        <v>3552</v>
      </c>
      <c r="E278">
        <v>57</v>
      </c>
      <c r="F278" t="s">
        <v>3557</v>
      </c>
      <c r="G278">
        <v>0</v>
      </c>
      <c r="H278">
        <v>1</v>
      </c>
      <c r="I278" t="s">
        <v>269</v>
      </c>
      <c r="J278">
        <v>146.52080000000001</v>
      </c>
      <c r="K278" t="s">
        <v>354</v>
      </c>
      <c r="L278" t="s">
        <v>70</v>
      </c>
      <c r="M278" t="s">
        <v>3566</v>
      </c>
      <c r="N278" t="s">
        <v>3569</v>
      </c>
      <c r="O278" t="s">
        <v>3573</v>
      </c>
      <c r="P278" t="s">
        <v>3573</v>
      </c>
      <c r="Q278" t="s">
        <v>68</v>
      </c>
    </row>
    <row r="279" spans="1:17">
      <c r="A279" t="s">
        <v>836</v>
      </c>
      <c r="B279" t="s">
        <v>9</v>
      </c>
      <c r="C279" t="s">
        <v>2529</v>
      </c>
      <c r="D279" t="s">
        <v>3551</v>
      </c>
      <c r="E279">
        <v>28</v>
      </c>
      <c r="F279" t="s">
        <v>3555</v>
      </c>
      <c r="G279">
        <v>0</v>
      </c>
      <c r="H279">
        <v>1</v>
      </c>
      <c r="I279" t="s">
        <v>269</v>
      </c>
      <c r="J279">
        <v>146.52080000000001</v>
      </c>
      <c r="K279" t="s">
        <v>354</v>
      </c>
      <c r="L279" t="s">
        <v>70</v>
      </c>
      <c r="M279" t="s">
        <v>3566</v>
      </c>
      <c r="N279">
        <v>6</v>
      </c>
      <c r="O279" t="s">
        <v>3573</v>
      </c>
      <c r="P279" t="s">
        <v>3573</v>
      </c>
      <c r="Q279" t="s">
        <v>68</v>
      </c>
    </row>
    <row r="280" spans="1:17">
      <c r="A280" t="s">
        <v>836</v>
      </c>
      <c r="B280" t="s">
        <v>9</v>
      </c>
      <c r="C280" t="s">
        <v>2530</v>
      </c>
      <c r="D280" t="s">
        <v>3552</v>
      </c>
      <c r="E280">
        <v>32</v>
      </c>
      <c r="F280" t="s">
        <v>3557</v>
      </c>
      <c r="G280">
        <v>0</v>
      </c>
      <c r="H280">
        <v>0</v>
      </c>
      <c r="I280">
        <v>13214</v>
      </c>
      <c r="J280">
        <v>30.5</v>
      </c>
      <c r="K280" t="s">
        <v>355</v>
      </c>
      <c r="L280" t="s">
        <v>70</v>
      </c>
      <c r="M280" t="s">
        <v>3566</v>
      </c>
      <c r="N280">
        <v>3</v>
      </c>
      <c r="O280" t="s">
        <v>3573</v>
      </c>
      <c r="P280" t="s">
        <v>3573</v>
      </c>
      <c r="Q280" t="s">
        <v>341</v>
      </c>
    </row>
    <row r="281" spans="1:17">
      <c r="A281" t="s">
        <v>836</v>
      </c>
      <c r="B281" t="s">
        <v>840</v>
      </c>
      <c r="C281" t="s">
        <v>2531</v>
      </c>
      <c r="D281" t="s">
        <v>3552</v>
      </c>
      <c r="E281">
        <v>62</v>
      </c>
      <c r="F281" t="s">
        <v>3559</v>
      </c>
      <c r="G281">
        <v>0</v>
      </c>
      <c r="H281">
        <v>0</v>
      </c>
      <c r="I281">
        <v>113514</v>
      </c>
      <c r="J281">
        <v>26.55</v>
      </c>
      <c r="K281" t="s">
        <v>356</v>
      </c>
      <c r="L281" t="s">
        <v>62</v>
      </c>
      <c r="M281" t="s">
        <v>457</v>
      </c>
      <c r="N281" t="s">
        <v>3569</v>
      </c>
      <c r="O281" t="s">
        <v>3573</v>
      </c>
      <c r="P281" t="s">
        <v>3573</v>
      </c>
      <c r="Q281" t="s">
        <v>357</v>
      </c>
    </row>
    <row r="282" spans="1:17">
      <c r="A282" t="s">
        <v>836</v>
      </c>
      <c r="B282" t="s">
        <v>9</v>
      </c>
      <c r="C282" t="s">
        <v>2532</v>
      </c>
      <c r="D282" t="s">
        <v>3552</v>
      </c>
      <c r="E282">
        <v>54</v>
      </c>
      <c r="F282" t="s">
        <v>3557</v>
      </c>
      <c r="G282">
        <v>0</v>
      </c>
      <c r="H282">
        <v>1</v>
      </c>
      <c r="I282">
        <v>11778</v>
      </c>
      <c r="J282">
        <v>55.441699999999997</v>
      </c>
      <c r="K282" t="s">
        <v>358</v>
      </c>
      <c r="L282" t="s">
        <v>62</v>
      </c>
      <c r="M282" t="s">
        <v>3566</v>
      </c>
      <c r="N282">
        <v>1</v>
      </c>
      <c r="O282" t="s">
        <v>3573</v>
      </c>
      <c r="P282" t="s">
        <v>3573</v>
      </c>
      <c r="Q282" t="s">
        <v>359</v>
      </c>
    </row>
    <row r="283" spans="1:17">
      <c r="A283" t="s">
        <v>836</v>
      </c>
      <c r="B283" t="s">
        <v>9</v>
      </c>
      <c r="C283" t="s">
        <v>2533</v>
      </c>
      <c r="D283" t="s">
        <v>3551</v>
      </c>
      <c r="E283">
        <v>43</v>
      </c>
      <c r="F283" t="s">
        <v>3557</v>
      </c>
      <c r="G283">
        <v>0</v>
      </c>
      <c r="H283">
        <v>1</v>
      </c>
      <c r="I283">
        <v>11778</v>
      </c>
      <c r="J283">
        <v>55.441699999999997</v>
      </c>
      <c r="K283" t="s">
        <v>358</v>
      </c>
      <c r="L283" t="s">
        <v>62</v>
      </c>
      <c r="M283" t="s">
        <v>3566</v>
      </c>
      <c r="N283">
        <v>5</v>
      </c>
      <c r="O283" t="s">
        <v>3573</v>
      </c>
      <c r="P283" t="s">
        <v>3573</v>
      </c>
      <c r="Q283" t="s">
        <v>359</v>
      </c>
    </row>
    <row r="284" spans="1:17">
      <c r="A284" t="s">
        <v>836</v>
      </c>
      <c r="B284" t="s">
        <v>9</v>
      </c>
      <c r="C284" t="s">
        <v>2534</v>
      </c>
      <c r="D284" t="s">
        <v>3551</v>
      </c>
      <c r="E284">
        <v>52</v>
      </c>
      <c r="F284" t="s">
        <v>3557</v>
      </c>
      <c r="G284">
        <v>0</v>
      </c>
      <c r="H284">
        <v>1</v>
      </c>
      <c r="I284">
        <v>36947</v>
      </c>
      <c r="J284">
        <v>78.2667</v>
      </c>
      <c r="K284" t="s">
        <v>178</v>
      </c>
      <c r="L284" t="s">
        <v>59</v>
      </c>
      <c r="M284" t="s">
        <v>3566</v>
      </c>
      <c r="N284">
        <v>4</v>
      </c>
      <c r="O284" t="s">
        <v>3573</v>
      </c>
      <c r="P284" t="s">
        <v>3573</v>
      </c>
      <c r="Q284" t="s">
        <v>360</v>
      </c>
    </row>
    <row r="285" spans="1:17">
      <c r="A285" t="s">
        <v>836</v>
      </c>
      <c r="B285" t="s">
        <v>840</v>
      </c>
      <c r="C285" t="s">
        <v>2535</v>
      </c>
      <c r="D285" t="s">
        <v>3552</v>
      </c>
      <c r="E285">
        <v>28</v>
      </c>
      <c r="F285" t="s">
        <v>3555</v>
      </c>
      <c r="G285">
        <v>0</v>
      </c>
      <c r="H285">
        <v>0</v>
      </c>
      <c r="I285" t="s">
        <v>361</v>
      </c>
      <c r="J285">
        <v>27.720800000000001</v>
      </c>
      <c r="K285" t="s">
        <v>3561</v>
      </c>
      <c r="L285" t="s">
        <v>3561</v>
      </c>
      <c r="M285" t="s">
        <v>3566</v>
      </c>
      <c r="N285" t="s">
        <v>3569</v>
      </c>
      <c r="O285" t="s">
        <v>3573</v>
      </c>
      <c r="P285" t="s">
        <v>3573</v>
      </c>
      <c r="Q285" t="s">
        <v>362</v>
      </c>
    </row>
    <row r="286" spans="1:17">
      <c r="A286" t="s">
        <v>836</v>
      </c>
      <c r="B286" t="s">
        <v>9</v>
      </c>
      <c r="C286" t="s">
        <v>2536</v>
      </c>
      <c r="D286" t="s">
        <v>3551</v>
      </c>
      <c r="E286">
        <v>62</v>
      </c>
      <c r="F286" t="s">
        <v>3559</v>
      </c>
      <c r="G286">
        <v>0</v>
      </c>
      <c r="H286">
        <v>0</v>
      </c>
      <c r="I286">
        <v>113572</v>
      </c>
      <c r="J286">
        <v>80</v>
      </c>
      <c r="K286" t="s">
        <v>241</v>
      </c>
      <c r="L286" t="s">
        <v>70</v>
      </c>
      <c r="M286" t="s">
        <v>3561</v>
      </c>
      <c r="N286">
        <v>6</v>
      </c>
      <c r="O286" t="s">
        <v>3573</v>
      </c>
      <c r="P286" t="s">
        <v>3573</v>
      </c>
      <c r="Q286" t="s">
        <v>363</v>
      </c>
    </row>
    <row r="287" spans="1:17">
      <c r="A287" t="s">
        <v>836</v>
      </c>
      <c r="B287" t="s">
        <v>840</v>
      </c>
      <c r="C287" t="s">
        <v>2537</v>
      </c>
      <c r="D287" t="s">
        <v>3552</v>
      </c>
      <c r="E287">
        <v>67</v>
      </c>
      <c r="F287" t="s">
        <v>3559</v>
      </c>
      <c r="G287">
        <v>0</v>
      </c>
      <c r="H287">
        <v>1</v>
      </c>
      <c r="I287" t="s">
        <v>82</v>
      </c>
      <c r="J287">
        <v>221.7792</v>
      </c>
      <c r="K287" t="s">
        <v>364</v>
      </c>
      <c r="L287" t="s">
        <v>62</v>
      </c>
      <c r="M287" t="s">
        <v>457</v>
      </c>
      <c r="N287" t="s">
        <v>3569</v>
      </c>
      <c r="O287">
        <v>96</v>
      </c>
      <c r="P287" t="s">
        <v>3574</v>
      </c>
      <c r="Q287" t="s">
        <v>53</v>
      </c>
    </row>
    <row r="288" spans="1:17">
      <c r="A288" t="s">
        <v>836</v>
      </c>
      <c r="B288" t="s">
        <v>840</v>
      </c>
      <c r="C288" t="s">
        <v>2538</v>
      </c>
      <c r="D288" t="s">
        <v>3551</v>
      </c>
      <c r="E288">
        <v>63</v>
      </c>
      <c r="F288" t="s">
        <v>3559</v>
      </c>
      <c r="G288">
        <v>0</v>
      </c>
      <c r="H288">
        <v>1</v>
      </c>
      <c r="I288" t="s">
        <v>82</v>
      </c>
      <c r="J288">
        <v>221.7792</v>
      </c>
      <c r="K288" t="s">
        <v>364</v>
      </c>
      <c r="L288" t="s">
        <v>62</v>
      </c>
      <c r="M288" t="s">
        <v>457</v>
      </c>
      <c r="N288" t="s">
        <v>3569</v>
      </c>
      <c r="O288" t="s">
        <v>3573</v>
      </c>
      <c r="P288" t="s">
        <v>3573</v>
      </c>
      <c r="Q288" t="s">
        <v>53</v>
      </c>
    </row>
    <row r="289" spans="1:17">
      <c r="A289" t="s">
        <v>836</v>
      </c>
      <c r="B289" t="s">
        <v>840</v>
      </c>
      <c r="C289" t="s">
        <v>2539</v>
      </c>
      <c r="D289" t="s">
        <v>3552</v>
      </c>
      <c r="E289">
        <v>61</v>
      </c>
      <c r="F289" t="s">
        <v>3559</v>
      </c>
      <c r="G289">
        <v>0</v>
      </c>
      <c r="H289">
        <v>0</v>
      </c>
      <c r="I289">
        <v>36963</v>
      </c>
      <c r="J289">
        <v>32.320799999999998</v>
      </c>
      <c r="K289" t="s">
        <v>365</v>
      </c>
      <c r="L289" t="s">
        <v>59</v>
      </c>
      <c r="M289" t="s">
        <v>457</v>
      </c>
      <c r="N289" t="s">
        <v>3569</v>
      </c>
      <c r="O289">
        <v>46</v>
      </c>
      <c r="P289" t="s">
        <v>3574</v>
      </c>
      <c r="Q289" t="s">
        <v>366</v>
      </c>
    </row>
    <row r="290" spans="1:17">
      <c r="A290" t="s">
        <v>836</v>
      </c>
      <c r="B290" t="s">
        <v>9</v>
      </c>
      <c r="C290" t="s">
        <v>2540</v>
      </c>
      <c r="D290" t="s">
        <v>3551</v>
      </c>
      <c r="E290">
        <v>48</v>
      </c>
      <c r="F290" t="s">
        <v>3557</v>
      </c>
      <c r="G290">
        <v>0</v>
      </c>
      <c r="H290">
        <v>0</v>
      </c>
      <c r="I290">
        <v>17466</v>
      </c>
      <c r="J290">
        <v>25.929200000000002</v>
      </c>
      <c r="K290" t="s">
        <v>259</v>
      </c>
      <c r="L290" t="s">
        <v>59</v>
      </c>
      <c r="M290" t="s">
        <v>457</v>
      </c>
      <c r="N290">
        <v>8</v>
      </c>
      <c r="O290" t="s">
        <v>3573</v>
      </c>
      <c r="P290" t="s">
        <v>3573</v>
      </c>
      <c r="Q290" t="s">
        <v>186</v>
      </c>
    </row>
    <row r="291" spans="1:17">
      <c r="A291" t="s">
        <v>836</v>
      </c>
      <c r="B291" t="s">
        <v>9</v>
      </c>
      <c r="C291" t="s">
        <v>2541</v>
      </c>
      <c r="D291" t="s">
        <v>3551</v>
      </c>
      <c r="E291">
        <v>18</v>
      </c>
      <c r="F291" t="s">
        <v>3555</v>
      </c>
      <c r="G291">
        <v>2</v>
      </c>
      <c r="H291">
        <v>0</v>
      </c>
      <c r="I291">
        <v>110413</v>
      </c>
      <c r="J291">
        <v>79.650000000000006</v>
      </c>
      <c r="K291" t="s">
        <v>367</v>
      </c>
      <c r="L291" t="s">
        <v>3564</v>
      </c>
      <c r="M291" t="s">
        <v>457</v>
      </c>
      <c r="N291">
        <v>8</v>
      </c>
      <c r="O291" t="s">
        <v>3573</v>
      </c>
      <c r="P291" t="s">
        <v>3573</v>
      </c>
      <c r="Q291" t="s">
        <v>53</v>
      </c>
    </row>
    <row r="292" spans="1:17">
      <c r="A292" t="s">
        <v>836</v>
      </c>
      <c r="B292" t="s">
        <v>840</v>
      </c>
      <c r="C292" t="s">
        <v>2542</v>
      </c>
      <c r="D292" t="s">
        <v>3552</v>
      </c>
      <c r="E292">
        <v>52</v>
      </c>
      <c r="F292" t="s">
        <v>3557</v>
      </c>
      <c r="G292">
        <v>1</v>
      </c>
      <c r="H292">
        <v>1</v>
      </c>
      <c r="I292">
        <v>110413</v>
      </c>
      <c r="J292">
        <v>79.650000000000006</v>
      </c>
      <c r="K292" t="s">
        <v>368</v>
      </c>
      <c r="L292" t="s">
        <v>3564</v>
      </c>
      <c r="M292" t="s">
        <v>457</v>
      </c>
      <c r="N292" t="s">
        <v>3569</v>
      </c>
      <c r="O292" t="s">
        <v>3573</v>
      </c>
      <c r="P292" t="s">
        <v>3573</v>
      </c>
      <c r="Q292" t="s">
        <v>53</v>
      </c>
    </row>
    <row r="293" spans="1:17">
      <c r="A293" t="s">
        <v>836</v>
      </c>
      <c r="B293" t="s">
        <v>9</v>
      </c>
      <c r="C293" t="s">
        <v>2543</v>
      </c>
      <c r="D293" t="s">
        <v>3551</v>
      </c>
      <c r="E293">
        <v>39</v>
      </c>
      <c r="F293" t="s">
        <v>3557</v>
      </c>
      <c r="G293">
        <v>1</v>
      </c>
      <c r="H293">
        <v>1</v>
      </c>
      <c r="I293">
        <v>110413</v>
      </c>
      <c r="J293">
        <v>79.650000000000006</v>
      </c>
      <c r="K293" t="s">
        <v>368</v>
      </c>
      <c r="L293" t="s">
        <v>3564</v>
      </c>
      <c r="M293" t="s">
        <v>457</v>
      </c>
      <c r="N293">
        <v>8</v>
      </c>
      <c r="O293" t="s">
        <v>3573</v>
      </c>
      <c r="P293" t="s">
        <v>3573</v>
      </c>
      <c r="Q293" t="s">
        <v>53</v>
      </c>
    </row>
    <row r="294" spans="1:17">
      <c r="A294" t="s">
        <v>836</v>
      </c>
      <c r="B294" t="s">
        <v>9</v>
      </c>
      <c r="C294" t="s">
        <v>2544</v>
      </c>
      <c r="D294" t="s">
        <v>3552</v>
      </c>
      <c r="E294">
        <v>48</v>
      </c>
      <c r="F294" t="s">
        <v>3557</v>
      </c>
      <c r="G294">
        <v>0</v>
      </c>
      <c r="H294">
        <v>1</v>
      </c>
      <c r="I294">
        <v>19996</v>
      </c>
      <c r="J294">
        <v>52</v>
      </c>
      <c r="K294" t="s">
        <v>369</v>
      </c>
      <c r="L294" t="s">
        <v>62</v>
      </c>
      <c r="M294" t="s">
        <v>457</v>
      </c>
      <c r="N294" t="s">
        <v>370</v>
      </c>
      <c r="O294" t="s">
        <v>3573</v>
      </c>
      <c r="P294" t="s">
        <v>3573</v>
      </c>
      <c r="Q294" t="s">
        <v>371</v>
      </c>
    </row>
    <row r="295" spans="1:17">
      <c r="A295" t="s">
        <v>836</v>
      </c>
      <c r="B295" t="s">
        <v>9</v>
      </c>
      <c r="C295" t="s">
        <v>2545</v>
      </c>
      <c r="D295" t="s">
        <v>3551</v>
      </c>
      <c r="E295">
        <v>28</v>
      </c>
      <c r="F295" t="s">
        <v>3555</v>
      </c>
      <c r="G295">
        <v>0</v>
      </c>
      <c r="H295">
        <v>1</v>
      </c>
      <c r="I295">
        <v>19996</v>
      </c>
      <c r="J295">
        <v>52</v>
      </c>
      <c r="K295" t="s">
        <v>369</v>
      </c>
      <c r="L295" t="s">
        <v>62</v>
      </c>
      <c r="M295" t="s">
        <v>457</v>
      </c>
      <c r="N295" t="s">
        <v>370</v>
      </c>
      <c r="O295" t="s">
        <v>3573</v>
      </c>
      <c r="P295" t="s">
        <v>3573</v>
      </c>
      <c r="Q295" t="s">
        <v>371</v>
      </c>
    </row>
    <row r="296" spans="1:17">
      <c r="A296" t="s">
        <v>836</v>
      </c>
      <c r="B296" t="s">
        <v>840</v>
      </c>
      <c r="C296" t="s">
        <v>2546</v>
      </c>
      <c r="D296" t="s">
        <v>3552</v>
      </c>
      <c r="E296">
        <v>49</v>
      </c>
      <c r="F296" t="s">
        <v>3557</v>
      </c>
      <c r="G296">
        <v>1</v>
      </c>
      <c r="H296">
        <v>1</v>
      </c>
      <c r="I296">
        <v>17421</v>
      </c>
      <c r="J296">
        <v>110.88330000000001</v>
      </c>
      <c r="K296" t="s">
        <v>372</v>
      </c>
      <c r="L296" t="s">
        <v>62</v>
      </c>
      <c r="M296" t="s">
        <v>3566</v>
      </c>
      <c r="N296" t="s">
        <v>3569</v>
      </c>
      <c r="O296" t="s">
        <v>3573</v>
      </c>
      <c r="P296" t="s">
        <v>3573</v>
      </c>
      <c r="Q296" t="s">
        <v>360</v>
      </c>
    </row>
    <row r="297" spans="1:17">
      <c r="A297" t="s">
        <v>836</v>
      </c>
      <c r="B297" t="s">
        <v>9</v>
      </c>
      <c r="C297" t="s">
        <v>2546</v>
      </c>
      <c r="D297" t="s">
        <v>3552</v>
      </c>
      <c r="E297">
        <v>17</v>
      </c>
      <c r="F297" t="s">
        <v>3560</v>
      </c>
      <c r="G297">
        <v>2</v>
      </c>
      <c r="H297">
        <v>0</v>
      </c>
      <c r="I297">
        <v>17421</v>
      </c>
      <c r="J297">
        <v>110.88330000000001</v>
      </c>
      <c r="K297" t="s">
        <v>373</v>
      </c>
      <c r="L297" t="s">
        <v>62</v>
      </c>
      <c r="M297" t="s">
        <v>3566</v>
      </c>
      <c r="N297" t="s">
        <v>70</v>
      </c>
      <c r="O297" t="s">
        <v>3573</v>
      </c>
      <c r="P297" t="s">
        <v>3573</v>
      </c>
      <c r="Q297" t="s">
        <v>360</v>
      </c>
    </row>
    <row r="298" spans="1:17">
      <c r="A298" t="s">
        <v>836</v>
      </c>
      <c r="B298" t="s">
        <v>9</v>
      </c>
      <c r="C298" t="s">
        <v>2547</v>
      </c>
      <c r="D298" t="s">
        <v>3551</v>
      </c>
      <c r="E298">
        <v>39</v>
      </c>
      <c r="F298" t="s">
        <v>3557</v>
      </c>
      <c r="G298">
        <v>1</v>
      </c>
      <c r="H298">
        <v>1</v>
      </c>
      <c r="I298">
        <v>17421</v>
      </c>
      <c r="J298">
        <v>110.88330000000001</v>
      </c>
      <c r="K298" t="s">
        <v>372</v>
      </c>
      <c r="L298" t="s">
        <v>62</v>
      </c>
      <c r="M298" t="s">
        <v>3566</v>
      </c>
      <c r="N298">
        <v>4</v>
      </c>
      <c r="O298" t="s">
        <v>3573</v>
      </c>
      <c r="P298" t="s">
        <v>3573</v>
      </c>
      <c r="Q298" t="s">
        <v>360</v>
      </c>
    </row>
    <row r="299" spans="1:17">
      <c r="A299" t="s">
        <v>836</v>
      </c>
      <c r="B299" t="s">
        <v>9</v>
      </c>
      <c r="C299" t="s">
        <v>2548</v>
      </c>
      <c r="D299" t="s">
        <v>3551</v>
      </c>
      <c r="E299">
        <v>28</v>
      </c>
      <c r="F299" t="s">
        <v>3555</v>
      </c>
      <c r="G299">
        <v>0</v>
      </c>
      <c r="H299">
        <v>0</v>
      </c>
      <c r="I299" t="s">
        <v>328</v>
      </c>
      <c r="J299">
        <v>79.2</v>
      </c>
      <c r="K299" t="s">
        <v>3561</v>
      </c>
      <c r="L299" t="s">
        <v>3561</v>
      </c>
      <c r="M299" t="s">
        <v>3566</v>
      </c>
      <c r="N299" t="s">
        <v>59</v>
      </c>
      <c r="O299" t="s">
        <v>3573</v>
      </c>
      <c r="P299" t="s">
        <v>3573</v>
      </c>
      <c r="Q299" t="s">
        <v>53</v>
      </c>
    </row>
    <row r="300" spans="1:17">
      <c r="A300" t="s">
        <v>836</v>
      </c>
      <c r="B300" t="s">
        <v>9</v>
      </c>
      <c r="C300" t="s">
        <v>2549</v>
      </c>
      <c r="D300" t="s">
        <v>3552</v>
      </c>
      <c r="E300">
        <v>31</v>
      </c>
      <c r="F300" t="s">
        <v>3557</v>
      </c>
      <c r="G300">
        <v>0</v>
      </c>
      <c r="H300">
        <v>0</v>
      </c>
      <c r="I300">
        <v>2543</v>
      </c>
      <c r="J300">
        <v>28.537500000000001</v>
      </c>
      <c r="K300" t="s">
        <v>374</v>
      </c>
      <c r="L300" t="s">
        <v>62</v>
      </c>
      <c r="M300" t="s">
        <v>3566</v>
      </c>
      <c r="N300">
        <v>7</v>
      </c>
      <c r="O300" t="s">
        <v>3573</v>
      </c>
      <c r="P300" t="s">
        <v>3573</v>
      </c>
      <c r="Q300" t="s">
        <v>375</v>
      </c>
    </row>
    <row r="301" spans="1:17">
      <c r="A301" t="s">
        <v>836</v>
      </c>
      <c r="B301" t="s">
        <v>840</v>
      </c>
      <c r="C301" t="s">
        <v>2550</v>
      </c>
      <c r="D301" t="s">
        <v>3552</v>
      </c>
      <c r="E301">
        <v>40</v>
      </c>
      <c r="F301" t="s">
        <v>3557</v>
      </c>
      <c r="G301">
        <v>0</v>
      </c>
      <c r="H301">
        <v>0</v>
      </c>
      <c r="I301" t="s">
        <v>376</v>
      </c>
      <c r="J301">
        <v>27.720800000000001</v>
      </c>
      <c r="K301" t="s">
        <v>3561</v>
      </c>
      <c r="L301" t="s">
        <v>3561</v>
      </c>
      <c r="M301" t="s">
        <v>3566</v>
      </c>
      <c r="N301" t="s">
        <v>3569</v>
      </c>
      <c r="O301" t="s">
        <v>3573</v>
      </c>
      <c r="P301" t="s">
        <v>3573</v>
      </c>
      <c r="Q301" t="s">
        <v>377</v>
      </c>
    </row>
    <row r="302" spans="1:17">
      <c r="A302" t="s">
        <v>836</v>
      </c>
      <c r="B302" t="s">
        <v>840</v>
      </c>
      <c r="C302" t="s">
        <v>2551</v>
      </c>
      <c r="D302" t="s">
        <v>3552</v>
      </c>
      <c r="E302">
        <v>61</v>
      </c>
      <c r="F302" t="s">
        <v>3559</v>
      </c>
      <c r="G302">
        <v>0</v>
      </c>
      <c r="H302">
        <v>0</v>
      </c>
      <c r="I302">
        <v>111240</v>
      </c>
      <c r="J302">
        <v>33.5</v>
      </c>
      <c r="K302" t="s">
        <v>378</v>
      </c>
      <c r="L302" t="s">
        <v>70</v>
      </c>
      <c r="M302" t="s">
        <v>457</v>
      </c>
      <c r="N302" t="s">
        <v>3569</v>
      </c>
      <c r="O302">
        <v>245</v>
      </c>
      <c r="P302" t="s">
        <v>3574</v>
      </c>
      <c r="Q302" t="s">
        <v>186</v>
      </c>
    </row>
    <row r="303" spans="1:17">
      <c r="A303" t="s">
        <v>836</v>
      </c>
      <c r="B303" t="s">
        <v>840</v>
      </c>
      <c r="C303" t="s">
        <v>2552</v>
      </c>
      <c r="D303" t="s">
        <v>3552</v>
      </c>
      <c r="E303">
        <v>47</v>
      </c>
      <c r="F303" t="s">
        <v>3557</v>
      </c>
      <c r="G303">
        <v>0</v>
      </c>
      <c r="H303">
        <v>0</v>
      </c>
      <c r="I303">
        <v>36967</v>
      </c>
      <c r="J303">
        <v>34.020800000000001</v>
      </c>
      <c r="K303" t="s">
        <v>379</v>
      </c>
      <c r="L303" t="s">
        <v>59</v>
      </c>
      <c r="M303" t="s">
        <v>457</v>
      </c>
      <c r="N303" t="s">
        <v>3569</v>
      </c>
      <c r="O303" t="s">
        <v>3573</v>
      </c>
      <c r="P303" t="s">
        <v>3573</v>
      </c>
      <c r="Q303" t="s">
        <v>380</v>
      </c>
    </row>
    <row r="304" spans="1:17">
      <c r="A304" t="s">
        <v>836</v>
      </c>
      <c r="B304" t="s">
        <v>9</v>
      </c>
      <c r="C304" t="s">
        <v>2553</v>
      </c>
      <c r="D304" t="s">
        <v>3551</v>
      </c>
      <c r="E304">
        <v>35</v>
      </c>
      <c r="F304" t="s">
        <v>3557</v>
      </c>
      <c r="G304">
        <v>0</v>
      </c>
      <c r="H304">
        <v>0</v>
      </c>
      <c r="I304" t="s">
        <v>122</v>
      </c>
      <c r="J304">
        <v>512.32920000000001</v>
      </c>
      <c r="K304" t="s">
        <v>3561</v>
      </c>
      <c r="L304" t="s">
        <v>3561</v>
      </c>
      <c r="M304" t="s">
        <v>3566</v>
      </c>
      <c r="N304">
        <v>3</v>
      </c>
      <c r="O304" t="s">
        <v>3573</v>
      </c>
      <c r="P304" t="s">
        <v>3573</v>
      </c>
    </row>
    <row r="305" spans="1:17">
      <c r="A305" t="s">
        <v>836</v>
      </c>
      <c r="B305" t="s">
        <v>840</v>
      </c>
      <c r="C305" t="s">
        <v>2554</v>
      </c>
      <c r="D305" t="s">
        <v>3552</v>
      </c>
      <c r="E305">
        <v>64</v>
      </c>
      <c r="F305" t="s">
        <v>3559</v>
      </c>
      <c r="G305">
        <v>0</v>
      </c>
      <c r="H305">
        <v>1</v>
      </c>
      <c r="I305">
        <v>110813</v>
      </c>
      <c r="J305">
        <v>75.25</v>
      </c>
      <c r="K305" t="s">
        <v>381</v>
      </c>
      <c r="L305" t="s">
        <v>59</v>
      </c>
      <c r="M305" t="s">
        <v>3566</v>
      </c>
      <c r="N305" t="s">
        <v>3569</v>
      </c>
      <c r="O305" t="s">
        <v>3573</v>
      </c>
      <c r="P305" t="s">
        <v>3573</v>
      </c>
      <c r="Q305" t="s">
        <v>258</v>
      </c>
    </row>
    <row r="306" spans="1:17">
      <c r="A306" t="s">
        <v>836</v>
      </c>
      <c r="B306" t="s">
        <v>9</v>
      </c>
      <c r="C306" t="s">
        <v>2555</v>
      </c>
      <c r="D306" t="s">
        <v>3551</v>
      </c>
      <c r="E306">
        <v>60</v>
      </c>
      <c r="F306" t="s">
        <v>3559</v>
      </c>
      <c r="G306">
        <v>0</v>
      </c>
      <c r="H306">
        <v>1</v>
      </c>
      <c r="I306">
        <v>110813</v>
      </c>
      <c r="J306">
        <v>75.25</v>
      </c>
      <c r="K306" t="s">
        <v>381</v>
      </c>
      <c r="L306" t="s">
        <v>59</v>
      </c>
      <c r="M306" t="s">
        <v>3566</v>
      </c>
      <c r="N306">
        <v>5</v>
      </c>
      <c r="O306" t="s">
        <v>3573</v>
      </c>
      <c r="P306" t="s">
        <v>3573</v>
      </c>
      <c r="Q306" t="s">
        <v>258</v>
      </c>
    </row>
    <row r="307" spans="1:17">
      <c r="A307" t="s">
        <v>836</v>
      </c>
      <c r="B307" t="s">
        <v>840</v>
      </c>
      <c r="C307" t="s">
        <v>2556</v>
      </c>
      <c r="D307" t="s">
        <v>3552</v>
      </c>
      <c r="E307">
        <v>60</v>
      </c>
      <c r="F307" t="s">
        <v>3559</v>
      </c>
      <c r="G307">
        <v>0</v>
      </c>
      <c r="H307">
        <v>0</v>
      </c>
      <c r="I307">
        <v>113800</v>
      </c>
      <c r="J307">
        <v>26.55</v>
      </c>
      <c r="K307" t="s">
        <v>3561</v>
      </c>
      <c r="L307" t="s">
        <v>3561</v>
      </c>
      <c r="M307" t="s">
        <v>457</v>
      </c>
      <c r="N307" t="s">
        <v>3569</v>
      </c>
      <c r="O307" t="s">
        <v>3573</v>
      </c>
      <c r="P307" t="s">
        <v>3573</v>
      </c>
      <c r="Q307" t="s">
        <v>382</v>
      </c>
    </row>
    <row r="308" spans="1:17">
      <c r="A308" t="s">
        <v>836</v>
      </c>
      <c r="B308" t="s">
        <v>840</v>
      </c>
      <c r="C308" t="s">
        <v>2557</v>
      </c>
      <c r="D308" t="s">
        <v>3552</v>
      </c>
      <c r="E308">
        <v>54</v>
      </c>
      <c r="F308" t="s">
        <v>3557</v>
      </c>
      <c r="G308">
        <v>1</v>
      </c>
      <c r="H308">
        <v>0</v>
      </c>
      <c r="I308">
        <v>35281</v>
      </c>
      <c r="J308">
        <v>77.287499999999994</v>
      </c>
      <c r="K308" t="s">
        <v>383</v>
      </c>
      <c r="L308" t="s">
        <v>59</v>
      </c>
      <c r="M308" t="s">
        <v>457</v>
      </c>
      <c r="N308" t="s">
        <v>3569</v>
      </c>
      <c r="O308" t="s">
        <v>3573</v>
      </c>
      <c r="P308" t="s">
        <v>3573</v>
      </c>
      <c r="Q308" t="s">
        <v>384</v>
      </c>
    </row>
    <row r="309" spans="1:17">
      <c r="A309" t="s">
        <v>836</v>
      </c>
      <c r="B309" t="s">
        <v>840</v>
      </c>
      <c r="C309" t="s">
        <v>2558</v>
      </c>
      <c r="D309" t="s">
        <v>3552</v>
      </c>
      <c r="E309">
        <v>21</v>
      </c>
      <c r="F309" t="s">
        <v>3555</v>
      </c>
      <c r="G309">
        <v>1</v>
      </c>
      <c r="H309">
        <v>0</v>
      </c>
      <c r="I309">
        <v>35281</v>
      </c>
      <c r="J309">
        <v>77.287499999999994</v>
      </c>
      <c r="K309" t="s">
        <v>383</v>
      </c>
      <c r="L309" t="s">
        <v>59</v>
      </c>
      <c r="M309" t="s">
        <v>457</v>
      </c>
      <c r="N309" t="s">
        <v>3569</v>
      </c>
      <c r="O309">
        <v>169</v>
      </c>
      <c r="P309" t="s">
        <v>3574</v>
      </c>
      <c r="Q309" t="s">
        <v>384</v>
      </c>
    </row>
    <row r="310" spans="1:17">
      <c r="A310" t="s">
        <v>836</v>
      </c>
      <c r="B310" t="s">
        <v>9</v>
      </c>
      <c r="C310" t="s">
        <v>2559</v>
      </c>
      <c r="D310" t="s">
        <v>3551</v>
      </c>
      <c r="E310">
        <v>55</v>
      </c>
      <c r="F310" t="s">
        <v>3557</v>
      </c>
      <c r="G310">
        <v>0</v>
      </c>
      <c r="H310">
        <v>0</v>
      </c>
      <c r="I310" t="s">
        <v>87</v>
      </c>
      <c r="J310">
        <v>135.63329999999999</v>
      </c>
      <c r="K310" t="s">
        <v>385</v>
      </c>
      <c r="L310" t="s">
        <v>62</v>
      </c>
      <c r="M310" t="s">
        <v>3566</v>
      </c>
      <c r="N310">
        <v>8</v>
      </c>
      <c r="O310" t="s">
        <v>3573</v>
      </c>
      <c r="P310" t="s">
        <v>3573</v>
      </c>
      <c r="Q310" t="s">
        <v>386</v>
      </c>
    </row>
    <row r="311" spans="1:17">
      <c r="A311" t="s">
        <v>836</v>
      </c>
      <c r="B311" t="s">
        <v>9</v>
      </c>
      <c r="C311" t="s">
        <v>2560</v>
      </c>
      <c r="D311" t="s">
        <v>3551</v>
      </c>
      <c r="E311">
        <v>31</v>
      </c>
      <c r="F311" t="s">
        <v>3557</v>
      </c>
      <c r="G311">
        <v>2</v>
      </c>
      <c r="H311">
        <v>0</v>
      </c>
      <c r="I311">
        <v>36928</v>
      </c>
      <c r="J311">
        <v>164.86670000000001</v>
      </c>
      <c r="K311" t="s">
        <v>95</v>
      </c>
      <c r="L311" t="s">
        <v>62</v>
      </c>
      <c r="M311" t="s">
        <v>457</v>
      </c>
      <c r="N311">
        <v>8</v>
      </c>
      <c r="O311" t="s">
        <v>3573</v>
      </c>
      <c r="P311" t="s">
        <v>3573</v>
      </c>
      <c r="Q311" t="s">
        <v>96</v>
      </c>
    </row>
    <row r="312" spans="1:17">
      <c r="A312" t="s">
        <v>836</v>
      </c>
      <c r="B312" t="s">
        <v>840</v>
      </c>
      <c r="C312" t="s">
        <v>2561</v>
      </c>
      <c r="D312" t="s">
        <v>3552</v>
      </c>
      <c r="E312">
        <v>57</v>
      </c>
      <c r="F312" t="s">
        <v>3557</v>
      </c>
      <c r="G312">
        <v>1</v>
      </c>
      <c r="H312">
        <v>1</v>
      </c>
      <c r="I312">
        <v>36928</v>
      </c>
      <c r="J312">
        <v>164.86670000000001</v>
      </c>
      <c r="K312" t="s">
        <v>3561</v>
      </c>
      <c r="L312" t="s">
        <v>3561</v>
      </c>
      <c r="M312" t="s">
        <v>457</v>
      </c>
      <c r="N312" t="s">
        <v>3569</v>
      </c>
      <c r="O312" t="s">
        <v>3573</v>
      </c>
      <c r="P312" t="s">
        <v>3573</v>
      </c>
      <c r="Q312" t="s">
        <v>96</v>
      </c>
    </row>
    <row r="313" spans="1:17">
      <c r="A313" t="s">
        <v>836</v>
      </c>
      <c r="B313" t="s">
        <v>9</v>
      </c>
      <c r="C313" t="s">
        <v>2562</v>
      </c>
      <c r="D313" t="s">
        <v>3551</v>
      </c>
      <c r="E313">
        <v>45</v>
      </c>
      <c r="F313" t="s">
        <v>3557</v>
      </c>
      <c r="G313">
        <v>1</v>
      </c>
      <c r="H313">
        <v>1</v>
      </c>
      <c r="I313">
        <v>36928</v>
      </c>
      <c r="J313">
        <v>164.86670000000001</v>
      </c>
      <c r="K313" t="s">
        <v>3561</v>
      </c>
      <c r="L313" t="s">
        <v>3561</v>
      </c>
      <c r="M313" t="s">
        <v>457</v>
      </c>
      <c r="N313">
        <v>8</v>
      </c>
      <c r="O313" t="s">
        <v>3573</v>
      </c>
      <c r="P313" t="s">
        <v>3573</v>
      </c>
      <c r="Q313" t="s">
        <v>96</v>
      </c>
    </row>
    <row r="314" spans="1:17">
      <c r="A314" t="s">
        <v>836</v>
      </c>
      <c r="B314" t="s">
        <v>840</v>
      </c>
      <c r="C314" t="s">
        <v>2563</v>
      </c>
      <c r="D314" t="s">
        <v>3552</v>
      </c>
      <c r="E314">
        <v>50</v>
      </c>
      <c r="F314" t="s">
        <v>3557</v>
      </c>
      <c r="G314">
        <v>1</v>
      </c>
      <c r="H314">
        <v>1</v>
      </c>
      <c r="I314">
        <v>113503</v>
      </c>
      <c r="J314">
        <v>211.5</v>
      </c>
      <c r="K314" t="s">
        <v>387</v>
      </c>
      <c r="L314" t="s">
        <v>62</v>
      </c>
      <c r="M314" t="s">
        <v>3566</v>
      </c>
      <c r="N314" t="s">
        <v>3569</v>
      </c>
      <c r="O314" t="s">
        <v>3573</v>
      </c>
      <c r="P314" t="s">
        <v>3573</v>
      </c>
      <c r="Q314" t="s">
        <v>388</v>
      </c>
    </row>
    <row r="315" spans="1:17">
      <c r="A315" t="s">
        <v>836</v>
      </c>
      <c r="B315" t="s">
        <v>840</v>
      </c>
      <c r="C315" t="s">
        <v>2564</v>
      </c>
      <c r="D315" t="s">
        <v>3552</v>
      </c>
      <c r="E315">
        <v>27</v>
      </c>
      <c r="F315" t="s">
        <v>3555</v>
      </c>
      <c r="G315">
        <v>2</v>
      </c>
      <c r="H315">
        <v>0</v>
      </c>
      <c r="I315">
        <v>113503</v>
      </c>
      <c r="J315">
        <v>211.5</v>
      </c>
      <c r="K315" t="s">
        <v>389</v>
      </c>
      <c r="L315" t="s">
        <v>62</v>
      </c>
      <c r="M315" t="s">
        <v>3566</v>
      </c>
      <c r="N315" t="s">
        <v>3569</v>
      </c>
      <c r="O315" t="s">
        <v>3573</v>
      </c>
      <c r="P315" t="s">
        <v>3573</v>
      </c>
      <c r="Q315" t="s">
        <v>388</v>
      </c>
    </row>
    <row r="316" spans="1:17">
      <c r="A316" t="s">
        <v>836</v>
      </c>
      <c r="B316" t="s">
        <v>9</v>
      </c>
      <c r="C316" t="s">
        <v>2565</v>
      </c>
      <c r="D316" t="s">
        <v>3551</v>
      </c>
      <c r="E316">
        <v>50</v>
      </c>
      <c r="F316" t="s">
        <v>3557</v>
      </c>
      <c r="G316">
        <v>1</v>
      </c>
      <c r="H316">
        <v>1</v>
      </c>
      <c r="I316">
        <v>113503</v>
      </c>
      <c r="J316">
        <v>211.5</v>
      </c>
      <c r="K316" t="s">
        <v>387</v>
      </c>
      <c r="L316" t="s">
        <v>62</v>
      </c>
      <c r="M316" t="s">
        <v>3566</v>
      </c>
      <c r="N316">
        <v>4</v>
      </c>
      <c r="O316" t="s">
        <v>3573</v>
      </c>
      <c r="P316" t="s">
        <v>3573</v>
      </c>
      <c r="Q316" t="s">
        <v>388</v>
      </c>
    </row>
    <row r="317" spans="1:17">
      <c r="A317" t="s">
        <v>836</v>
      </c>
      <c r="B317" t="s">
        <v>9</v>
      </c>
      <c r="C317" t="s">
        <v>2566</v>
      </c>
      <c r="D317" t="s">
        <v>3551</v>
      </c>
      <c r="E317">
        <v>21</v>
      </c>
      <c r="F317" t="s">
        <v>3555</v>
      </c>
      <c r="G317">
        <v>0</v>
      </c>
      <c r="H317">
        <v>0</v>
      </c>
      <c r="I317">
        <v>113795</v>
      </c>
      <c r="J317">
        <v>26.55</v>
      </c>
      <c r="K317" t="s">
        <v>3561</v>
      </c>
      <c r="L317" t="s">
        <v>3561</v>
      </c>
      <c r="M317" t="s">
        <v>457</v>
      </c>
      <c r="N317" t="s">
        <v>390</v>
      </c>
      <c r="O317" t="s">
        <v>3573</v>
      </c>
      <c r="P317" t="s">
        <v>3573</v>
      </c>
      <c r="Q317" t="s">
        <v>339</v>
      </c>
    </row>
    <row r="318" spans="1:17">
      <c r="A318" t="s">
        <v>836</v>
      </c>
      <c r="B318" t="s">
        <v>840</v>
      </c>
      <c r="C318" t="s">
        <v>2567</v>
      </c>
      <c r="D318" t="s">
        <v>3552</v>
      </c>
      <c r="E318">
        <v>51</v>
      </c>
      <c r="F318" t="s">
        <v>3557</v>
      </c>
      <c r="G318">
        <v>1</v>
      </c>
      <c r="H318">
        <v>0</v>
      </c>
      <c r="I318" t="s">
        <v>391</v>
      </c>
      <c r="J318">
        <v>61.379199999999997</v>
      </c>
      <c r="K318" t="s">
        <v>3561</v>
      </c>
      <c r="L318" t="s">
        <v>3561</v>
      </c>
      <c r="M318" t="s">
        <v>3566</v>
      </c>
      <c r="N318" t="s">
        <v>3569</v>
      </c>
      <c r="O318" t="s">
        <v>3573</v>
      </c>
      <c r="P318" t="s">
        <v>3573</v>
      </c>
      <c r="Q318" t="s">
        <v>392</v>
      </c>
    </row>
    <row r="319" spans="1:17">
      <c r="A319" t="s">
        <v>836</v>
      </c>
      <c r="B319" t="s">
        <v>9</v>
      </c>
      <c r="C319" t="s">
        <v>2568</v>
      </c>
      <c r="D319" t="s">
        <v>3552</v>
      </c>
      <c r="E319">
        <v>21</v>
      </c>
      <c r="F319" t="s">
        <v>3555</v>
      </c>
      <c r="G319">
        <v>1</v>
      </c>
      <c r="H319">
        <v>0</v>
      </c>
      <c r="I319" t="s">
        <v>391</v>
      </c>
      <c r="J319">
        <v>61.379199999999997</v>
      </c>
      <c r="K319" t="s">
        <v>3561</v>
      </c>
      <c r="L319" t="s">
        <v>3561</v>
      </c>
      <c r="M319" t="s">
        <v>3566</v>
      </c>
      <c r="N319" t="s">
        <v>78</v>
      </c>
      <c r="O319" t="s">
        <v>3573</v>
      </c>
      <c r="P319" t="s">
        <v>3573</v>
      </c>
      <c r="Q319" t="s">
        <v>392</v>
      </c>
    </row>
    <row r="320" spans="1:17">
      <c r="A320" t="s">
        <v>836</v>
      </c>
      <c r="B320" t="s">
        <v>840</v>
      </c>
      <c r="C320" t="s">
        <v>2569</v>
      </c>
      <c r="D320" t="s">
        <v>3552</v>
      </c>
      <c r="E320">
        <v>28</v>
      </c>
      <c r="F320" t="s">
        <v>3555</v>
      </c>
      <c r="G320">
        <v>0</v>
      </c>
      <c r="H320">
        <v>0</v>
      </c>
      <c r="I320">
        <v>113510</v>
      </c>
      <c r="J320">
        <v>35</v>
      </c>
      <c r="K320" t="s">
        <v>393</v>
      </c>
      <c r="L320" t="s">
        <v>62</v>
      </c>
      <c r="M320" t="s">
        <v>457</v>
      </c>
      <c r="N320" t="s">
        <v>3569</v>
      </c>
      <c r="O320" t="s">
        <v>3573</v>
      </c>
      <c r="P320" t="s">
        <v>3573</v>
      </c>
      <c r="Q320" t="s">
        <v>138</v>
      </c>
    </row>
    <row r="321" spans="1:17">
      <c r="A321" t="s">
        <v>836</v>
      </c>
      <c r="B321" t="s">
        <v>9</v>
      </c>
      <c r="C321" t="s">
        <v>2570</v>
      </c>
      <c r="D321" t="s">
        <v>3551</v>
      </c>
      <c r="E321">
        <v>31</v>
      </c>
      <c r="F321" t="s">
        <v>3557</v>
      </c>
      <c r="G321">
        <v>0</v>
      </c>
      <c r="H321">
        <v>0</v>
      </c>
      <c r="I321">
        <v>16966</v>
      </c>
      <c r="J321">
        <v>134.5</v>
      </c>
      <c r="K321" t="s">
        <v>394</v>
      </c>
      <c r="L321" t="s">
        <v>3564</v>
      </c>
      <c r="M321" t="s">
        <v>3566</v>
      </c>
      <c r="N321">
        <v>3</v>
      </c>
      <c r="O321" t="s">
        <v>3573</v>
      </c>
      <c r="P321" t="s">
        <v>3573</v>
      </c>
    </row>
    <row r="322" spans="1:17">
      <c r="A322" t="s">
        <v>836</v>
      </c>
      <c r="B322" t="s">
        <v>9</v>
      </c>
      <c r="C322" t="s">
        <v>2571</v>
      </c>
      <c r="D322" t="s">
        <v>3552</v>
      </c>
      <c r="E322">
        <v>28</v>
      </c>
      <c r="F322" t="s">
        <v>3555</v>
      </c>
      <c r="G322">
        <v>0</v>
      </c>
      <c r="H322">
        <v>0</v>
      </c>
      <c r="I322">
        <v>19947</v>
      </c>
      <c r="J322">
        <v>35.5</v>
      </c>
      <c r="K322" t="s">
        <v>89</v>
      </c>
      <c r="L322" t="s">
        <v>62</v>
      </c>
      <c r="M322" t="s">
        <v>457</v>
      </c>
      <c r="N322" t="s">
        <v>59</v>
      </c>
      <c r="O322" t="s">
        <v>3573</v>
      </c>
      <c r="P322" t="s">
        <v>3573</v>
      </c>
      <c r="Q322" t="s">
        <v>138</v>
      </c>
    </row>
    <row r="323" spans="1:17">
      <c r="A323" t="s">
        <v>836</v>
      </c>
      <c r="B323" t="s">
        <v>840</v>
      </c>
      <c r="C323" t="s">
        <v>2572</v>
      </c>
      <c r="D323" t="s">
        <v>3552</v>
      </c>
      <c r="E323">
        <v>62</v>
      </c>
      <c r="F323" t="s">
        <v>3559</v>
      </c>
      <c r="G323">
        <v>0</v>
      </c>
      <c r="H323">
        <v>0</v>
      </c>
      <c r="I323">
        <v>113807</v>
      </c>
      <c r="J323">
        <v>26.55</v>
      </c>
      <c r="K323" t="s">
        <v>3561</v>
      </c>
      <c r="L323" t="s">
        <v>3561</v>
      </c>
      <c r="M323" t="s">
        <v>457</v>
      </c>
      <c r="N323" t="s">
        <v>3569</v>
      </c>
      <c r="O323" t="s">
        <v>3573</v>
      </c>
      <c r="P323" t="s">
        <v>3573</v>
      </c>
      <c r="Q323" t="s">
        <v>395</v>
      </c>
    </row>
    <row r="324" spans="1:17">
      <c r="A324" t="s">
        <v>836</v>
      </c>
      <c r="B324" t="s">
        <v>9</v>
      </c>
      <c r="C324" t="s">
        <v>2573</v>
      </c>
      <c r="D324" t="s">
        <v>3551</v>
      </c>
      <c r="E324">
        <v>36</v>
      </c>
      <c r="F324" t="s">
        <v>3557</v>
      </c>
      <c r="G324">
        <v>0</v>
      </c>
      <c r="H324">
        <v>0</v>
      </c>
      <c r="I324" t="s">
        <v>87</v>
      </c>
      <c r="J324">
        <v>135.63329999999999</v>
      </c>
      <c r="K324" t="s">
        <v>385</v>
      </c>
      <c r="L324" t="s">
        <v>62</v>
      </c>
      <c r="M324" t="s">
        <v>3566</v>
      </c>
      <c r="N324">
        <v>8</v>
      </c>
      <c r="O324" t="s">
        <v>3573</v>
      </c>
      <c r="P324" t="s">
        <v>3573</v>
      </c>
      <c r="Q324" t="s">
        <v>396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1D682-1B36-4AB0-AB83-3804949E00F9}">
  <dimension ref="A1:R324"/>
  <sheetViews>
    <sheetView topLeftCell="A304" workbookViewId="0">
      <selection activeCell="A331" sqref="A331"/>
    </sheetView>
  </sheetViews>
  <sheetFormatPr defaultRowHeight="13.8"/>
  <cols>
    <col min="1" max="1" width="16.19921875" customWidth="1"/>
    <col min="2" max="2" width="15.19921875" customWidth="1"/>
    <col min="3" max="3" width="11.296875" customWidth="1"/>
    <col min="4" max="4" width="9" customWidth="1"/>
    <col min="6" max="6" width="11.296875" customWidth="1"/>
    <col min="7" max="7" width="16.09765625" customWidth="1"/>
    <col min="8" max="8" width="15.3984375" customWidth="1"/>
    <col min="11" max="11" width="11.8984375" customWidth="1"/>
    <col min="14" max="14" width="11.3984375" customWidth="1"/>
    <col min="17" max="17" width="12.19921875" customWidth="1"/>
    <col min="18" max="18" width="11.796875" customWidth="1"/>
  </cols>
  <sheetData>
    <row r="1" spans="1:18">
      <c r="A1" t="s">
        <v>835</v>
      </c>
      <c r="B1" t="s">
        <v>839</v>
      </c>
      <c r="C1" t="s">
        <v>2252</v>
      </c>
      <c r="D1" t="s">
        <v>3550</v>
      </c>
      <c r="E1" t="s">
        <v>21</v>
      </c>
      <c r="F1" t="s">
        <v>3558</v>
      </c>
      <c r="G1" t="s">
        <v>3554</v>
      </c>
      <c r="H1" t="s">
        <v>3553</v>
      </c>
      <c r="I1" t="s">
        <v>28</v>
      </c>
      <c r="J1" t="s">
        <v>31</v>
      </c>
      <c r="K1" t="s">
        <v>3581</v>
      </c>
      <c r="L1" t="s">
        <v>33</v>
      </c>
      <c r="M1" t="s">
        <v>3562</v>
      </c>
      <c r="N1" t="s">
        <v>36</v>
      </c>
      <c r="O1" t="s">
        <v>3568</v>
      </c>
      <c r="P1" t="s">
        <v>3575</v>
      </c>
      <c r="Q1" t="s">
        <v>3572</v>
      </c>
      <c r="R1" t="s">
        <v>46</v>
      </c>
    </row>
    <row r="2" spans="1:18">
      <c r="A2" t="s">
        <v>836</v>
      </c>
      <c r="B2" t="s">
        <v>9</v>
      </c>
      <c r="C2" t="s">
        <v>2253</v>
      </c>
      <c r="D2" t="s">
        <v>3551</v>
      </c>
      <c r="E2">
        <v>29</v>
      </c>
      <c r="F2" t="s">
        <v>3555</v>
      </c>
      <c r="G2">
        <v>0</v>
      </c>
      <c r="H2">
        <v>1</v>
      </c>
      <c r="I2">
        <v>24160</v>
      </c>
      <c r="J2">
        <v>211.33750000000001</v>
      </c>
      <c r="K2" t="s">
        <v>3582</v>
      </c>
      <c r="L2" t="s">
        <v>48</v>
      </c>
      <c r="M2" t="s">
        <v>70</v>
      </c>
      <c r="N2" t="s">
        <v>457</v>
      </c>
      <c r="O2">
        <v>2</v>
      </c>
      <c r="P2" t="s">
        <v>3573</v>
      </c>
      <c r="Q2" t="s">
        <v>3573</v>
      </c>
      <c r="R2" t="s">
        <v>49</v>
      </c>
    </row>
    <row r="3" spans="1:18">
      <c r="A3" t="s">
        <v>836</v>
      </c>
      <c r="B3" t="s">
        <v>9</v>
      </c>
      <c r="C3" t="s">
        <v>2254</v>
      </c>
      <c r="D3" t="s">
        <v>3552</v>
      </c>
      <c r="E3">
        <v>1</v>
      </c>
      <c r="F3" t="s">
        <v>3556</v>
      </c>
      <c r="G3">
        <v>2</v>
      </c>
      <c r="H3">
        <v>1</v>
      </c>
      <c r="I3">
        <v>113781</v>
      </c>
      <c r="J3">
        <v>151.55000000000001</v>
      </c>
      <c r="K3" t="s">
        <v>3582</v>
      </c>
      <c r="L3" t="s">
        <v>50</v>
      </c>
      <c r="M3" t="s">
        <v>62</v>
      </c>
      <c r="N3" t="s">
        <v>457</v>
      </c>
      <c r="O3">
        <v>11</v>
      </c>
      <c r="P3" t="s">
        <v>3573</v>
      </c>
      <c r="Q3" t="s">
        <v>3573</v>
      </c>
      <c r="R3" t="s">
        <v>51</v>
      </c>
    </row>
    <row r="4" spans="1:18">
      <c r="A4" t="s">
        <v>836</v>
      </c>
      <c r="B4" t="s">
        <v>840</v>
      </c>
      <c r="C4" t="s">
        <v>2255</v>
      </c>
      <c r="D4" t="s">
        <v>3551</v>
      </c>
      <c r="E4">
        <v>2</v>
      </c>
      <c r="F4" t="s">
        <v>3556</v>
      </c>
      <c r="G4">
        <v>2</v>
      </c>
      <c r="H4">
        <v>1</v>
      </c>
      <c r="I4">
        <v>113781</v>
      </c>
      <c r="J4">
        <v>151.55000000000001</v>
      </c>
      <c r="K4" t="s">
        <v>3582</v>
      </c>
      <c r="L4" t="s">
        <v>50</v>
      </c>
      <c r="M4" t="s">
        <v>62</v>
      </c>
      <c r="N4" t="s">
        <v>457</v>
      </c>
      <c r="O4" t="s">
        <v>3569</v>
      </c>
      <c r="P4" t="s">
        <v>3573</v>
      </c>
      <c r="Q4" t="s">
        <v>3573</v>
      </c>
      <c r="R4" t="s">
        <v>51</v>
      </c>
    </row>
    <row r="5" spans="1:18">
      <c r="A5" t="s">
        <v>836</v>
      </c>
      <c r="B5" t="s">
        <v>840</v>
      </c>
      <c r="C5" t="s">
        <v>2256</v>
      </c>
      <c r="D5" t="s">
        <v>3552</v>
      </c>
      <c r="E5">
        <v>30</v>
      </c>
      <c r="F5" t="s">
        <v>3557</v>
      </c>
      <c r="G5">
        <v>2</v>
      </c>
      <c r="H5">
        <v>1</v>
      </c>
      <c r="I5">
        <v>113781</v>
      </c>
      <c r="J5">
        <v>151.55000000000001</v>
      </c>
      <c r="K5" t="s">
        <v>3582</v>
      </c>
      <c r="L5" t="s">
        <v>50</v>
      </c>
      <c r="M5" t="s">
        <v>62</v>
      </c>
      <c r="N5" t="s">
        <v>457</v>
      </c>
      <c r="O5" t="s">
        <v>3569</v>
      </c>
      <c r="P5">
        <v>135</v>
      </c>
      <c r="Q5" t="s">
        <v>3574</v>
      </c>
      <c r="R5" t="s">
        <v>51</v>
      </c>
    </row>
    <row r="6" spans="1:18">
      <c r="A6" t="s">
        <v>836</v>
      </c>
      <c r="B6" t="s">
        <v>840</v>
      </c>
      <c r="C6" t="s">
        <v>2257</v>
      </c>
      <c r="D6" t="s">
        <v>3551</v>
      </c>
      <c r="E6">
        <v>25</v>
      </c>
      <c r="F6" t="s">
        <v>3555</v>
      </c>
      <c r="G6">
        <v>2</v>
      </c>
      <c r="H6">
        <v>1</v>
      </c>
      <c r="I6">
        <v>113781</v>
      </c>
      <c r="J6">
        <v>151.55000000000001</v>
      </c>
      <c r="K6" t="s">
        <v>3582</v>
      </c>
      <c r="L6" t="s">
        <v>50</v>
      </c>
      <c r="M6" t="s">
        <v>62</v>
      </c>
      <c r="N6" t="s">
        <v>457</v>
      </c>
      <c r="O6" t="s">
        <v>3569</v>
      </c>
      <c r="P6" t="s">
        <v>3573</v>
      </c>
      <c r="Q6" t="s">
        <v>3573</v>
      </c>
      <c r="R6" t="s">
        <v>51</v>
      </c>
    </row>
    <row r="7" spans="1:18">
      <c r="A7" t="s">
        <v>836</v>
      </c>
      <c r="B7" t="s">
        <v>9</v>
      </c>
      <c r="C7" t="s">
        <v>2258</v>
      </c>
      <c r="D7" t="s">
        <v>3552</v>
      </c>
      <c r="E7">
        <v>48</v>
      </c>
      <c r="F7" t="s">
        <v>3557</v>
      </c>
      <c r="G7">
        <v>0</v>
      </c>
      <c r="H7">
        <v>0</v>
      </c>
      <c r="I7">
        <v>19952</v>
      </c>
      <c r="J7">
        <v>26.55</v>
      </c>
      <c r="K7" t="s">
        <v>3584</v>
      </c>
      <c r="L7" t="s">
        <v>52</v>
      </c>
      <c r="M7" t="s">
        <v>3564</v>
      </c>
      <c r="N7" t="s">
        <v>457</v>
      </c>
      <c r="O7">
        <v>3</v>
      </c>
      <c r="P7" t="s">
        <v>3573</v>
      </c>
      <c r="Q7" t="s">
        <v>3573</v>
      </c>
      <c r="R7" t="s">
        <v>53</v>
      </c>
    </row>
    <row r="8" spans="1:18">
      <c r="A8" t="s">
        <v>836</v>
      </c>
      <c r="B8" t="s">
        <v>9</v>
      </c>
      <c r="C8" t="s">
        <v>2259</v>
      </c>
      <c r="D8" t="s">
        <v>3551</v>
      </c>
      <c r="E8">
        <v>63</v>
      </c>
      <c r="F8" t="s">
        <v>3559</v>
      </c>
      <c r="G8">
        <v>0</v>
      </c>
      <c r="H8">
        <v>1</v>
      </c>
      <c r="I8">
        <v>13502</v>
      </c>
      <c r="J8">
        <v>77.958299999999994</v>
      </c>
      <c r="K8" t="s">
        <v>3582</v>
      </c>
      <c r="L8" t="s">
        <v>54</v>
      </c>
      <c r="M8" t="s">
        <v>59</v>
      </c>
      <c r="N8" t="s">
        <v>457</v>
      </c>
      <c r="O8">
        <v>10</v>
      </c>
      <c r="P8" t="s">
        <v>3573</v>
      </c>
      <c r="Q8" t="s">
        <v>3573</v>
      </c>
      <c r="R8" t="s">
        <v>55</v>
      </c>
    </row>
    <row r="9" spans="1:18">
      <c r="A9" t="s">
        <v>836</v>
      </c>
      <c r="B9" t="s">
        <v>840</v>
      </c>
      <c r="C9" t="s">
        <v>2260</v>
      </c>
      <c r="D9" t="s">
        <v>3552</v>
      </c>
      <c r="E9">
        <v>39</v>
      </c>
      <c r="F9" t="s">
        <v>3557</v>
      </c>
      <c r="G9">
        <v>0</v>
      </c>
      <c r="H9">
        <v>0</v>
      </c>
      <c r="I9">
        <v>112050</v>
      </c>
      <c r="J9">
        <v>0</v>
      </c>
      <c r="K9" t="s">
        <v>3583</v>
      </c>
      <c r="L9" t="s">
        <v>56</v>
      </c>
      <c r="M9" t="s">
        <v>78</v>
      </c>
      <c r="N9" t="s">
        <v>457</v>
      </c>
      <c r="O9" t="s">
        <v>3569</v>
      </c>
      <c r="P9" t="s">
        <v>3573</v>
      </c>
      <c r="Q9" t="s">
        <v>3573</v>
      </c>
      <c r="R9" t="s">
        <v>57</v>
      </c>
    </row>
    <row r="10" spans="1:18">
      <c r="A10" t="s">
        <v>836</v>
      </c>
      <c r="B10" t="s">
        <v>9</v>
      </c>
      <c r="C10" t="s">
        <v>2261</v>
      </c>
      <c r="D10" t="s">
        <v>3551</v>
      </c>
      <c r="E10">
        <v>53</v>
      </c>
      <c r="F10" t="s">
        <v>3557</v>
      </c>
      <c r="G10">
        <v>0</v>
      </c>
      <c r="H10">
        <v>2</v>
      </c>
      <c r="I10">
        <v>11769</v>
      </c>
      <c r="J10">
        <v>51.479199999999999</v>
      </c>
      <c r="K10" t="s">
        <v>3582</v>
      </c>
      <c r="L10" t="s">
        <v>58</v>
      </c>
      <c r="M10" t="s">
        <v>62</v>
      </c>
      <c r="N10" t="s">
        <v>457</v>
      </c>
      <c r="O10" t="s">
        <v>59</v>
      </c>
      <c r="P10" t="s">
        <v>3573</v>
      </c>
      <c r="Q10" t="s">
        <v>3573</v>
      </c>
      <c r="R10" t="s">
        <v>60</v>
      </c>
    </row>
    <row r="11" spans="1:18">
      <c r="A11" t="s">
        <v>836</v>
      </c>
      <c r="B11" t="s">
        <v>840</v>
      </c>
      <c r="C11" t="s">
        <v>2262</v>
      </c>
      <c r="D11" t="s">
        <v>3552</v>
      </c>
      <c r="E11">
        <v>71</v>
      </c>
      <c r="F11" t="s">
        <v>3559</v>
      </c>
      <c r="G11">
        <v>0</v>
      </c>
      <c r="H11">
        <v>0</v>
      </c>
      <c r="I11" t="s">
        <v>61</v>
      </c>
      <c r="J11">
        <v>49.504199999999997</v>
      </c>
      <c r="K11" t="s">
        <v>3584</v>
      </c>
      <c r="L11" t="s">
        <v>3561</v>
      </c>
      <c r="M11" t="s">
        <v>3561</v>
      </c>
      <c r="N11" t="s">
        <v>3566</v>
      </c>
      <c r="O11" t="s">
        <v>3569</v>
      </c>
      <c r="P11">
        <v>22</v>
      </c>
      <c r="Q11" t="s">
        <v>3574</v>
      </c>
      <c r="R11" t="s">
        <v>63</v>
      </c>
    </row>
    <row r="12" spans="1:18">
      <c r="A12" t="s">
        <v>836</v>
      </c>
      <c r="B12" t="s">
        <v>840</v>
      </c>
      <c r="C12" t="s">
        <v>2263</v>
      </c>
      <c r="D12" t="s">
        <v>3552</v>
      </c>
      <c r="E12">
        <v>47</v>
      </c>
      <c r="F12" t="s">
        <v>3557</v>
      </c>
      <c r="G12">
        <v>0</v>
      </c>
      <c r="H12">
        <v>1</v>
      </c>
      <c r="I12" t="s">
        <v>64</v>
      </c>
      <c r="J12">
        <v>227.52500000000001</v>
      </c>
      <c r="K12" t="s">
        <v>3582</v>
      </c>
      <c r="L12" t="s">
        <v>65</v>
      </c>
      <c r="M12" t="s">
        <v>62</v>
      </c>
      <c r="N12" t="s">
        <v>3566</v>
      </c>
      <c r="O12" t="s">
        <v>3569</v>
      </c>
      <c r="P12">
        <v>124</v>
      </c>
      <c r="Q12" t="s">
        <v>3574</v>
      </c>
      <c r="R12" t="s">
        <v>53</v>
      </c>
    </row>
    <row r="13" spans="1:18">
      <c r="A13" t="s">
        <v>836</v>
      </c>
      <c r="B13" t="s">
        <v>9</v>
      </c>
      <c r="C13" t="s">
        <v>2264</v>
      </c>
      <c r="D13" t="s">
        <v>3551</v>
      </c>
      <c r="E13">
        <v>18</v>
      </c>
      <c r="F13" t="s">
        <v>3555</v>
      </c>
      <c r="G13">
        <v>0</v>
      </c>
      <c r="H13">
        <v>1</v>
      </c>
      <c r="I13" t="s">
        <v>64</v>
      </c>
      <c r="J13">
        <v>227.52500000000001</v>
      </c>
      <c r="K13" t="s">
        <v>3582</v>
      </c>
      <c r="L13" t="s">
        <v>65</v>
      </c>
      <c r="M13" t="s">
        <v>62</v>
      </c>
      <c r="N13" t="s">
        <v>3566</v>
      </c>
      <c r="O13">
        <v>4</v>
      </c>
      <c r="P13" t="s">
        <v>3573</v>
      </c>
      <c r="Q13" t="s">
        <v>3573</v>
      </c>
      <c r="R13" t="s">
        <v>53</v>
      </c>
    </row>
    <row r="14" spans="1:18">
      <c r="A14" t="s">
        <v>836</v>
      </c>
      <c r="B14" t="s">
        <v>9</v>
      </c>
      <c r="C14" t="s">
        <v>2265</v>
      </c>
      <c r="D14" t="s">
        <v>3551</v>
      </c>
      <c r="E14">
        <v>24</v>
      </c>
      <c r="F14" t="s">
        <v>3555</v>
      </c>
      <c r="G14">
        <v>0</v>
      </c>
      <c r="H14">
        <v>0</v>
      </c>
      <c r="I14" t="s">
        <v>66</v>
      </c>
      <c r="J14">
        <v>69.3</v>
      </c>
      <c r="K14" t="s">
        <v>3582</v>
      </c>
      <c r="L14" t="s">
        <v>67</v>
      </c>
      <c r="M14" t="s">
        <v>70</v>
      </c>
      <c r="N14" t="s">
        <v>3566</v>
      </c>
      <c r="O14">
        <v>9</v>
      </c>
      <c r="P14" t="s">
        <v>3573</v>
      </c>
      <c r="Q14" t="s">
        <v>3573</v>
      </c>
      <c r="R14" t="s">
        <v>68</v>
      </c>
    </row>
    <row r="15" spans="1:18">
      <c r="A15" t="s">
        <v>836</v>
      </c>
      <c r="B15" t="s">
        <v>9</v>
      </c>
      <c r="C15" t="s">
        <v>2266</v>
      </c>
      <c r="D15" t="s">
        <v>3551</v>
      </c>
      <c r="E15">
        <v>26</v>
      </c>
      <c r="F15" t="s">
        <v>3555</v>
      </c>
      <c r="G15">
        <v>0</v>
      </c>
      <c r="H15">
        <v>0</v>
      </c>
      <c r="I15">
        <v>19877</v>
      </c>
      <c r="J15">
        <v>78.849999999999994</v>
      </c>
      <c r="K15" t="s">
        <v>3582</v>
      </c>
      <c r="L15" t="s">
        <v>3561</v>
      </c>
      <c r="M15" t="s">
        <v>3561</v>
      </c>
      <c r="N15" t="s">
        <v>457</v>
      </c>
      <c r="O15">
        <v>6</v>
      </c>
      <c r="P15" t="s">
        <v>3573</v>
      </c>
      <c r="Q15" t="s">
        <v>3573</v>
      </c>
    </row>
    <row r="16" spans="1:18">
      <c r="A16" t="s">
        <v>836</v>
      </c>
      <c r="B16" t="s">
        <v>9</v>
      </c>
      <c r="C16" t="s">
        <v>2267</v>
      </c>
      <c r="D16" t="s">
        <v>3552</v>
      </c>
      <c r="E16">
        <v>80</v>
      </c>
      <c r="F16" t="s">
        <v>3559</v>
      </c>
      <c r="G16">
        <v>0</v>
      </c>
      <c r="H16">
        <v>0</v>
      </c>
      <c r="I16">
        <v>27042</v>
      </c>
      <c r="J16">
        <v>30</v>
      </c>
      <c r="K16" t="s">
        <v>3584</v>
      </c>
      <c r="L16" t="s">
        <v>69</v>
      </c>
      <c r="M16" t="s">
        <v>78</v>
      </c>
      <c r="N16" t="s">
        <v>457</v>
      </c>
      <c r="O16" t="s">
        <v>70</v>
      </c>
      <c r="P16" t="s">
        <v>3573</v>
      </c>
      <c r="Q16" t="s">
        <v>3573</v>
      </c>
      <c r="R16" t="s">
        <v>71</v>
      </c>
    </row>
    <row r="17" spans="1:18">
      <c r="A17" t="s">
        <v>836</v>
      </c>
      <c r="B17" t="s">
        <v>840</v>
      </c>
      <c r="C17" t="s">
        <v>2268</v>
      </c>
      <c r="D17" t="s">
        <v>3552</v>
      </c>
      <c r="E17">
        <v>28</v>
      </c>
      <c r="F17" t="s">
        <v>3555</v>
      </c>
      <c r="G17">
        <v>0</v>
      </c>
      <c r="H17">
        <v>0</v>
      </c>
      <c r="I17" t="s">
        <v>72</v>
      </c>
      <c r="J17">
        <v>25.925000000000001</v>
      </c>
      <c r="K17" t="s">
        <v>3584</v>
      </c>
      <c r="L17" t="s">
        <v>3561</v>
      </c>
      <c r="M17" t="s">
        <v>3561</v>
      </c>
      <c r="N17" t="s">
        <v>457</v>
      </c>
      <c r="O17" t="s">
        <v>3569</v>
      </c>
      <c r="P17" t="s">
        <v>3573</v>
      </c>
      <c r="Q17" t="s">
        <v>3573</v>
      </c>
      <c r="R17" t="s">
        <v>53</v>
      </c>
    </row>
    <row r="18" spans="1:18">
      <c r="A18" t="s">
        <v>836</v>
      </c>
      <c r="B18" t="s">
        <v>840</v>
      </c>
      <c r="C18" t="s">
        <v>2269</v>
      </c>
      <c r="D18" t="s">
        <v>3552</v>
      </c>
      <c r="E18">
        <v>24</v>
      </c>
      <c r="F18" t="s">
        <v>3555</v>
      </c>
      <c r="G18">
        <v>1</v>
      </c>
      <c r="H18">
        <v>0</v>
      </c>
      <c r="I18" t="s">
        <v>73</v>
      </c>
      <c r="J18">
        <v>247.52080000000001</v>
      </c>
      <c r="K18" t="s">
        <v>3582</v>
      </c>
      <c r="L18" t="s">
        <v>74</v>
      </c>
      <c r="M18" t="s">
        <v>70</v>
      </c>
      <c r="N18" t="s">
        <v>3566</v>
      </c>
      <c r="O18" t="s">
        <v>3569</v>
      </c>
      <c r="P18" t="s">
        <v>3573</v>
      </c>
      <c r="Q18" t="s">
        <v>3573</v>
      </c>
      <c r="R18" t="s">
        <v>75</v>
      </c>
    </row>
    <row r="19" spans="1:18">
      <c r="A19" t="s">
        <v>836</v>
      </c>
      <c r="B19" t="s">
        <v>9</v>
      </c>
      <c r="C19" t="s">
        <v>2270</v>
      </c>
      <c r="D19" t="s">
        <v>3551</v>
      </c>
      <c r="E19">
        <v>50</v>
      </c>
      <c r="F19" t="s">
        <v>3557</v>
      </c>
      <c r="G19">
        <v>1</v>
      </c>
      <c r="H19">
        <v>0</v>
      </c>
      <c r="I19" t="s">
        <v>73</v>
      </c>
      <c r="J19">
        <v>247.52080000000001</v>
      </c>
      <c r="K19" t="s">
        <v>3582</v>
      </c>
      <c r="L19" t="s">
        <v>74</v>
      </c>
      <c r="M19" t="s">
        <v>70</v>
      </c>
      <c r="N19" t="s">
        <v>3566</v>
      </c>
      <c r="O19">
        <v>6</v>
      </c>
      <c r="P19" t="s">
        <v>3573</v>
      </c>
      <c r="Q19" t="s">
        <v>3573</v>
      </c>
      <c r="R19" t="s">
        <v>75</v>
      </c>
    </row>
    <row r="20" spans="1:18">
      <c r="A20" t="s">
        <v>836</v>
      </c>
      <c r="B20" t="s">
        <v>9</v>
      </c>
      <c r="C20" t="s">
        <v>2271</v>
      </c>
      <c r="D20" t="s">
        <v>3551</v>
      </c>
      <c r="E20">
        <v>32</v>
      </c>
      <c r="F20" t="s">
        <v>3557</v>
      </c>
      <c r="G20">
        <v>0</v>
      </c>
      <c r="H20">
        <v>0</v>
      </c>
      <c r="I20">
        <v>11813</v>
      </c>
      <c r="J20">
        <v>76.291700000000006</v>
      </c>
      <c r="K20" t="s">
        <v>3582</v>
      </c>
      <c r="L20" t="s">
        <v>76</v>
      </c>
      <c r="M20" t="s">
        <v>59</v>
      </c>
      <c r="N20" t="s">
        <v>3566</v>
      </c>
      <c r="O20">
        <v>8</v>
      </c>
      <c r="P20" t="s">
        <v>3573</v>
      </c>
      <c r="Q20" t="s">
        <v>3573</v>
      </c>
    </row>
    <row r="21" spans="1:18">
      <c r="A21" t="s">
        <v>836</v>
      </c>
      <c r="B21" t="s">
        <v>840</v>
      </c>
      <c r="C21" t="s">
        <v>2272</v>
      </c>
      <c r="D21" t="s">
        <v>3552</v>
      </c>
      <c r="E21">
        <v>36</v>
      </c>
      <c r="F21" t="s">
        <v>3557</v>
      </c>
      <c r="G21">
        <v>0</v>
      </c>
      <c r="H21">
        <v>0</v>
      </c>
      <c r="I21">
        <v>13050</v>
      </c>
      <c r="J21">
        <v>75.241699999999994</v>
      </c>
      <c r="K21" t="s">
        <v>3582</v>
      </c>
      <c r="L21" t="s">
        <v>77</v>
      </c>
      <c r="M21" t="s">
        <v>62</v>
      </c>
      <c r="N21" t="s">
        <v>3566</v>
      </c>
      <c r="O21" t="s">
        <v>78</v>
      </c>
      <c r="P21" t="s">
        <v>3573</v>
      </c>
      <c r="Q21" t="s">
        <v>3573</v>
      </c>
      <c r="R21" t="s">
        <v>79</v>
      </c>
    </row>
    <row r="22" spans="1:18">
      <c r="A22" t="s">
        <v>836</v>
      </c>
      <c r="B22" t="s">
        <v>9</v>
      </c>
      <c r="C22" t="s">
        <v>2273</v>
      </c>
      <c r="D22" t="s">
        <v>3552</v>
      </c>
      <c r="E22">
        <v>37</v>
      </c>
      <c r="F22" t="s">
        <v>3557</v>
      </c>
      <c r="G22">
        <v>1</v>
      </c>
      <c r="H22">
        <v>1</v>
      </c>
      <c r="I22">
        <v>11751</v>
      </c>
      <c r="J22">
        <v>52.554200000000002</v>
      </c>
      <c r="K22" t="s">
        <v>3582</v>
      </c>
      <c r="L22" t="s">
        <v>80</v>
      </c>
      <c r="M22" t="s">
        <v>59</v>
      </c>
      <c r="N22" t="s">
        <v>457</v>
      </c>
      <c r="O22">
        <v>5</v>
      </c>
      <c r="P22" t="s">
        <v>3573</v>
      </c>
      <c r="Q22" t="s">
        <v>3573</v>
      </c>
      <c r="R22" t="s">
        <v>53</v>
      </c>
    </row>
    <row r="23" spans="1:18">
      <c r="A23" t="s">
        <v>836</v>
      </c>
      <c r="B23" t="s">
        <v>9</v>
      </c>
      <c r="C23" t="s">
        <v>2274</v>
      </c>
      <c r="D23" t="s">
        <v>3551</v>
      </c>
      <c r="E23">
        <v>47</v>
      </c>
      <c r="F23" t="s">
        <v>3557</v>
      </c>
      <c r="G23">
        <v>1</v>
      </c>
      <c r="H23">
        <v>1</v>
      </c>
      <c r="I23">
        <v>11751</v>
      </c>
      <c r="J23">
        <v>52.554200000000002</v>
      </c>
      <c r="K23" t="s">
        <v>3582</v>
      </c>
      <c r="L23" t="s">
        <v>80</v>
      </c>
      <c r="M23" t="s">
        <v>59</v>
      </c>
      <c r="N23" t="s">
        <v>457</v>
      </c>
      <c r="O23">
        <v>5</v>
      </c>
      <c r="P23" t="s">
        <v>3573</v>
      </c>
      <c r="Q23" t="s">
        <v>3573</v>
      </c>
      <c r="R23" t="s">
        <v>53</v>
      </c>
    </row>
    <row r="24" spans="1:18">
      <c r="A24" t="s">
        <v>836</v>
      </c>
      <c r="B24" t="s">
        <v>9</v>
      </c>
      <c r="C24" t="s">
        <v>2275</v>
      </c>
      <c r="D24" t="s">
        <v>3552</v>
      </c>
      <c r="E24">
        <v>26</v>
      </c>
      <c r="F24" t="s">
        <v>3555</v>
      </c>
      <c r="G24">
        <v>0</v>
      </c>
      <c r="H24">
        <v>0</v>
      </c>
      <c r="I24">
        <v>111369</v>
      </c>
      <c r="J24">
        <v>30</v>
      </c>
      <c r="K24" t="s">
        <v>3584</v>
      </c>
      <c r="L24" t="s">
        <v>81</v>
      </c>
      <c r="M24" t="s">
        <v>62</v>
      </c>
      <c r="N24" t="s">
        <v>3566</v>
      </c>
      <c r="O24">
        <v>5</v>
      </c>
      <c r="P24" t="s">
        <v>3573</v>
      </c>
      <c r="Q24" t="s">
        <v>3573</v>
      </c>
      <c r="R24" t="s">
        <v>53</v>
      </c>
    </row>
    <row r="25" spans="1:18">
      <c r="A25" t="s">
        <v>836</v>
      </c>
      <c r="B25" t="s">
        <v>9</v>
      </c>
      <c r="C25" t="s">
        <v>2276</v>
      </c>
      <c r="D25" t="s">
        <v>3551</v>
      </c>
      <c r="E25">
        <v>42</v>
      </c>
      <c r="F25" t="s">
        <v>3557</v>
      </c>
      <c r="G25">
        <v>0</v>
      </c>
      <c r="H25">
        <v>0</v>
      </c>
      <c r="I25" t="s">
        <v>64</v>
      </c>
      <c r="J25">
        <v>227.52500000000001</v>
      </c>
      <c r="K25" t="s">
        <v>3582</v>
      </c>
      <c r="L25" t="s">
        <v>3561</v>
      </c>
      <c r="M25" t="s">
        <v>3561</v>
      </c>
      <c r="N25" t="s">
        <v>3566</v>
      </c>
      <c r="O25">
        <v>4</v>
      </c>
      <c r="P25" t="s">
        <v>3573</v>
      </c>
      <c r="Q25" t="s">
        <v>3573</v>
      </c>
    </row>
    <row r="26" spans="1:18">
      <c r="A26" t="s">
        <v>836</v>
      </c>
      <c r="B26" t="s">
        <v>9</v>
      </c>
      <c r="C26" t="s">
        <v>2277</v>
      </c>
      <c r="D26" t="s">
        <v>3551</v>
      </c>
      <c r="E26">
        <v>29</v>
      </c>
      <c r="F26" t="s">
        <v>3555</v>
      </c>
      <c r="G26">
        <v>0</v>
      </c>
      <c r="H26">
        <v>0</v>
      </c>
      <c r="I26" t="s">
        <v>82</v>
      </c>
      <c r="J26">
        <v>221.7792</v>
      </c>
      <c r="K26" t="s">
        <v>3582</v>
      </c>
      <c r="L26" t="s">
        <v>83</v>
      </c>
      <c r="M26" t="s">
        <v>62</v>
      </c>
      <c r="N26" t="s">
        <v>457</v>
      </c>
      <c r="O26">
        <v>8</v>
      </c>
      <c r="P26" t="s">
        <v>3573</v>
      </c>
      <c r="Q26" t="s">
        <v>3573</v>
      </c>
    </row>
    <row r="27" spans="1:18">
      <c r="A27" t="s">
        <v>836</v>
      </c>
      <c r="B27" t="s">
        <v>840</v>
      </c>
      <c r="C27" t="s">
        <v>2278</v>
      </c>
      <c r="D27" t="s">
        <v>3552</v>
      </c>
      <c r="E27">
        <v>25</v>
      </c>
      <c r="F27" t="s">
        <v>3555</v>
      </c>
      <c r="G27">
        <v>0</v>
      </c>
      <c r="H27">
        <v>0</v>
      </c>
      <c r="I27">
        <v>13905</v>
      </c>
      <c r="J27">
        <v>26</v>
      </c>
      <c r="K27" t="s">
        <v>3584</v>
      </c>
      <c r="L27" t="s">
        <v>3561</v>
      </c>
      <c r="M27" t="s">
        <v>3561</v>
      </c>
      <c r="N27" t="s">
        <v>3566</v>
      </c>
      <c r="O27" t="s">
        <v>3569</v>
      </c>
      <c r="P27">
        <v>148</v>
      </c>
      <c r="Q27" t="s">
        <v>3574</v>
      </c>
      <c r="R27" t="s">
        <v>84</v>
      </c>
    </row>
    <row r="28" spans="1:18">
      <c r="A28" t="s">
        <v>836</v>
      </c>
      <c r="B28" t="s">
        <v>9</v>
      </c>
      <c r="C28" t="s">
        <v>2279</v>
      </c>
      <c r="D28" t="s">
        <v>3552</v>
      </c>
      <c r="E28">
        <v>25</v>
      </c>
      <c r="F28" t="s">
        <v>3555</v>
      </c>
      <c r="G28">
        <v>0</v>
      </c>
      <c r="H28">
        <v>1</v>
      </c>
      <c r="I28">
        <v>11967</v>
      </c>
      <c r="J28">
        <v>91.0792</v>
      </c>
      <c r="K28" t="s">
        <v>3582</v>
      </c>
      <c r="L28" t="s">
        <v>85</v>
      </c>
      <c r="M28" t="s">
        <v>70</v>
      </c>
      <c r="N28" t="s">
        <v>3566</v>
      </c>
      <c r="O28">
        <v>7</v>
      </c>
      <c r="P28" t="s">
        <v>3573</v>
      </c>
      <c r="Q28" t="s">
        <v>3573</v>
      </c>
      <c r="R28" t="s">
        <v>86</v>
      </c>
    </row>
    <row r="29" spans="1:18">
      <c r="A29" t="s">
        <v>836</v>
      </c>
      <c r="B29" t="s">
        <v>9</v>
      </c>
      <c r="C29" t="s">
        <v>2280</v>
      </c>
      <c r="D29" t="s">
        <v>3551</v>
      </c>
      <c r="E29">
        <v>19</v>
      </c>
      <c r="F29" t="s">
        <v>3555</v>
      </c>
      <c r="G29">
        <v>0</v>
      </c>
      <c r="H29">
        <v>1</v>
      </c>
      <c r="I29">
        <v>11967</v>
      </c>
      <c r="J29">
        <v>91.0792</v>
      </c>
      <c r="K29" t="s">
        <v>3582</v>
      </c>
      <c r="L29" t="s">
        <v>85</v>
      </c>
      <c r="M29" t="s">
        <v>70</v>
      </c>
      <c r="N29" t="s">
        <v>3566</v>
      </c>
      <c r="O29">
        <v>7</v>
      </c>
      <c r="P29" t="s">
        <v>3573</v>
      </c>
      <c r="Q29" t="s">
        <v>3573</v>
      </c>
      <c r="R29" t="s">
        <v>86</v>
      </c>
    </row>
    <row r="30" spans="1:18">
      <c r="A30" t="s">
        <v>836</v>
      </c>
      <c r="B30" t="s">
        <v>9</v>
      </c>
      <c r="C30" t="s">
        <v>2281</v>
      </c>
      <c r="D30" t="s">
        <v>3551</v>
      </c>
      <c r="E30">
        <v>35</v>
      </c>
      <c r="F30" t="s">
        <v>3557</v>
      </c>
      <c r="G30">
        <v>0</v>
      </c>
      <c r="H30">
        <v>0</v>
      </c>
      <c r="I30" t="s">
        <v>87</v>
      </c>
      <c r="J30">
        <v>135.63329999999999</v>
      </c>
      <c r="K30" t="s">
        <v>3582</v>
      </c>
      <c r="L30" t="s">
        <v>88</v>
      </c>
      <c r="M30" t="s">
        <v>62</v>
      </c>
      <c r="N30" t="s">
        <v>457</v>
      </c>
      <c r="O30">
        <v>8</v>
      </c>
      <c r="P30" t="s">
        <v>3573</v>
      </c>
      <c r="Q30" t="s">
        <v>3573</v>
      </c>
    </row>
    <row r="31" spans="1:18">
      <c r="A31" t="s">
        <v>836</v>
      </c>
      <c r="B31" t="s">
        <v>9</v>
      </c>
      <c r="C31" t="s">
        <v>2282</v>
      </c>
      <c r="D31" t="s">
        <v>3552</v>
      </c>
      <c r="E31">
        <v>28</v>
      </c>
      <c r="F31" t="s">
        <v>3555</v>
      </c>
      <c r="G31">
        <v>0</v>
      </c>
      <c r="H31">
        <v>0</v>
      </c>
      <c r="I31">
        <v>110564</v>
      </c>
      <c r="J31">
        <v>26.55</v>
      </c>
      <c r="K31" t="s">
        <v>3584</v>
      </c>
      <c r="L31" t="s">
        <v>89</v>
      </c>
      <c r="M31" t="s">
        <v>62</v>
      </c>
      <c r="N31" t="s">
        <v>457</v>
      </c>
      <c r="O31" t="s">
        <v>59</v>
      </c>
      <c r="P31" t="s">
        <v>3573</v>
      </c>
      <c r="Q31" t="s">
        <v>3573</v>
      </c>
      <c r="R31" t="s">
        <v>90</v>
      </c>
    </row>
    <row r="32" spans="1:18">
      <c r="A32" t="s">
        <v>836</v>
      </c>
      <c r="B32" t="s">
        <v>840</v>
      </c>
      <c r="C32" t="s">
        <v>2283</v>
      </c>
      <c r="D32" t="s">
        <v>3552</v>
      </c>
      <c r="E32">
        <v>45</v>
      </c>
      <c r="F32" t="s">
        <v>3557</v>
      </c>
      <c r="G32">
        <v>0</v>
      </c>
      <c r="H32">
        <v>0</v>
      </c>
      <c r="I32">
        <v>113784</v>
      </c>
      <c r="J32">
        <v>35.5</v>
      </c>
      <c r="K32" t="s">
        <v>3584</v>
      </c>
      <c r="L32" t="s">
        <v>91</v>
      </c>
      <c r="M32" t="s">
        <v>91</v>
      </c>
      <c r="N32" t="s">
        <v>457</v>
      </c>
      <c r="O32" t="s">
        <v>3569</v>
      </c>
      <c r="P32" t="s">
        <v>3573</v>
      </c>
      <c r="Q32" t="s">
        <v>3573</v>
      </c>
      <c r="R32" t="s">
        <v>92</v>
      </c>
    </row>
    <row r="33" spans="1:18">
      <c r="A33" t="s">
        <v>836</v>
      </c>
      <c r="B33" t="s">
        <v>9</v>
      </c>
      <c r="C33" t="s">
        <v>2284</v>
      </c>
      <c r="D33" t="s">
        <v>3552</v>
      </c>
      <c r="E33">
        <v>40</v>
      </c>
      <c r="F33" t="s">
        <v>3557</v>
      </c>
      <c r="G33">
        <v>0</v>
      </c>
      <c r="H33">
        <v>0</v>
      </c>
      <c r="I33">
        <v>112277</v>
      </c>
      <c r="J33">
        <v>31</v>
      </c>
      <c r="K33" t="s">
        <v>3584</v>
      </c>
      <c r="L33" t="s">
        <v>93</v>
      </c>
      <c r="M33" t="s">
        <v>78</v>
      </c>
      <c r="N33" t="s">
        <v>3566</v>
      </c>
      <c r="O33">
        <v>7</v>
      </c>
      <c r="P33" t="s">
        <v>3573</v>
      </c>
      <c r="Q33" t="s">
        <v>3573</v>
      </c>
      <c r="R33" t="s">
        <v>94</v>
      </c>
    </row>
    <row r="34" spans="1:18">
      <c r="A34" t="s">
        <v>836</v>
      </c>
      <c r="B34" t="s">
        <v>9</v>
      </c>
      <c r="C34" t="s">
        <v>2285</v>
      </c>
      <c r="D34" t="s">
        <v>3551</v>
      </c>
      <c r="E34">
        <v>30</v>
      </c>
      <c r="F34" t="s">
        <v>3557</v>
      </c>
      <c r="G34">
        <v>0</v>
      </c>
      <c r="H34">
        <v>0</v>
      </c>
      <c r="I34">
        <v>36928</v>
      </c>
      <c r="J34">
        <v>164.86670000000001</v>
      </c>
      <c r="K34" t="s">
        <v>3582</v>
      </c>
      <c r="L34" t="s">
        <v>95</v>
      </c>
      <c r="M34" t="s">
        <v>62</v>
      </c>
      <c r="N34" t="s">
        <v>457</v>
      </c>
      <c r="O34">
        <v>8</v>
      </c>
      <c r="P34" t="s">
        <v>3573</v>
      </c>
      <c r="Q34" t="s">
        <v>3573</v>
      </c>
      <c r="R34" t="s">
        <v>96</v>
      </c>
    </row>
    <row r="35" spans="1:18">
      <c r="A35" t="s">
        <v>836</v>
      </c>
      <c r="B35" t="s">
        <v>9</v>
      </c>
      <c r="C35" t="s">
        <v>2286</v>
      </c>
      <c r="D35" t="s">
        <v>3551</v>
      </c>
      <c r="E35">
        <v>58</v>
      </c>
      <c r="F35" t="s">
        <v>3557</v>
      </c>
      <c r="G35">
        <v>0</v>
      </c>
      <c r="H35">
        <v>0</v>
      </c>
      <c r="I35">
        <v>113783</v>
      </c>
      <c r="J35">
        <v>26.55</v>
      </c>
      <c r="K35" t="s">
        <v>3584</v>
      </c>
      <c r="L35" t="s">
        <v>97</v>
      </c>
      <c r="M35" t="s">
        <v>62</v>
      </c>
      <c r="N35" t="s">
        <v>457</v>
      </c>
      <c r="O35">
        <v>8</v>
      </c>
      <c r="P35" t="s">
        <v>3573</v>
      </c>
      <c r="Q35" t="s">
        <v>3573</v>
      </c>
      <c r="R35" t="s">
        <v>98</v>
      </c>
    </row>
    <row r="36" spans="1:18">
      <c r="A36" t="s">
        <v>836</v>
      </c>
      <c r="B36" t="s">
        <v>840</v>
      </c>
      <c r="C36" t="s">
        <v>2287</v>
      </c>
      <c r="D36" t="s">
        <v>3552</v>
      </c>
      <c r="E36">
        <v>42</v>
      </c>
      <c r="F36" t="s">
        <v>3557</v>
      </c>
      <c r="G36">
        <v>0</v>
      </c>
      <c r="H36">
        <v>0</v>
      </c>
      <c r="I36">
        <v>110489</v>
      </c>
      <c r="J36">
        <v>26.55</v>
      </c>
      <c r="K36" t="s">
        <v>3584</v>
      </c>
      <c r="L36" t="s">
        <v>99</v>
      </c>
      <c r="M36" t="s">
        <v>59</v>
      </c>
      <c r="N36" t="s">
        <v>457</v>
      </c>
      <c r="O36" t="s">
        <v>3569</v>
      </c>
      <c r="P36" t="s">
        <v>3573</v>
      </c>
      <c r="Q36" t="s">
        <v>3573</v>
      </c>
      <c r="R36" t="s">
        <v>100</v>
      </c>
    </row>
    <row r="37" spans="1:18">
      <c r="A37" t="s">
        <v>836</v>
      </c>
      <c r="B37" t="s">
        <v>9</v>
      </c>
      <c r="C37" t="s">
        <v>2288</v>
      </c>
      <c r="D37" t="s">
        <v>3551</v>
      </c>
      <c r="E37">
        <v>45</v>
      </c>
      <c r="F37" t="s">
        <v>3557</v>
      </c>
      <c r="G37">
        <v>0</v>
      </c>
      <c r="H37">
        <v>0</v>
      </c>
      <c r="I37" t="s">
        <v>101</v>
      </c>
      <c r="J37">
        <v>262.375</v>
      </c>
      <c r="K37" t="s">
        <v>3582</v>
      </c>
      <c r="L37" t="s">
        <v>3561</v>
      </c>
      <c r="M37" t="s">
        <v>3561</v>
      </c>
      <c r="N37" t="s">
        <v>3566</v>
      </c>
      <c r="O37">
        <v>4</v>
      </c>
      <c r="P37" t="s">
        <v>3573</v>
      </c>
      <c r="Q37" t="s">
        <v>3573</v>
      </c>
      <c r="R37" t="s">
        <v>102</v>
      </c>
    </row>
    <row r="38" spans="1:18">
      <c r="A38" t="s">
        <v>836</v>
      </c>
      <c r="B38" t="s">
        <v>9</v>
      </c>
      <c r="C38" t="s">
        <v>2289</v>
      </c>
      <c r="D38" t="s">
        <v>3551</v>
      </c>
      <c r="E38">
        <v>22</v>
      </c>
      <c r="F38" t="s">
        <v>3555</v>
      </c>
      <c r="G38">
        <v>1</v>
      </c>
      <c r="H38">
        <v>0</v>
      </c>
      <c r="I38">
        <v>113505</v>
      </c>
      <c r="J38">
        <v>55</v>
      </c>
      <c r="K38" t="s">
        <v>3582</v>
      </c>
      <c r="L38" t="s">
        <v>103</v>
      </c>
      <c r="M38" t="s">
        <v>3564</v>
      </c>
      <c r="N38" t="s">
        <v>457</v>
      </c>
      <c r="O38">
        <v>6</v>
      </c>
      <c r="P38" t="s">
        <v>3573</v>
      </c>
      <c r="Q38" t="s">
        <v>3573</v>
      </c>
      <c r="R38" t="s">
        <v>104</v>
      </c>
    </row>
    <row r="39" spans="1:18">
      <c r="A39" t="s">
        <v>836</v>
      </c>
      <c r="B39" t="s">
        <v>9</v>
      </c>
      <c r="C39" t="s">
        <v>2290</v>
      </c>
      <c r="D39" t="s">
        <v>3552</v>
      </c>
      <c r="E39">
        <v>28</v>
      </c>
      <c r="F39" t="s">
        <v>3555</v>
      </c>
      <c r="G39">
        <v>0</v>
      </c>
      <c r="H39">
        <v>0</v>
      </c>
      <c r="I39">
        <v>111427</v>
      </c>
      <c r="J39">
        <v>26.55</v>
      </c>
      <c r="K39" t="s">
        <v>3584</v>
      </c>
      <c r="L39" t="s">
        <v>3561</v>
      </c>
      <c r="M39" t="s">
        <v>3561</v>
      </c>
      <c r="N39" t="s">
        <v>457</v>
      </c>
      <c r="O39">
        <v>9</v>
      </c>
      <c r="P39" t="s">
        <v>3573</v>
      </c>
      <c r="Q39" t="s">
        <v>3573</v>
      </c>
      <c r="R39" t="s">
        <v>105</v>
      </c>
    </row>
    <row r="40" spans="1:18">
      <c r="A40" t="s">
        <v>836</v>
      </c>
      <c r="B40" t="s">
        <v>840</v>
      </c>
      <c r="C40" t="s">
        <v>2291</v>
      </c>
      <c r="D40" t="s">
        <v>3552</v>
      </c>
      <c r="E40">
        <v>41</v>
      </c>
      <c r="F40" t="s">
        <v>3557</v>
      </c>
      <c r="G40">
        <v>0</v>
      </c>
      <c r="H40">
        <v>0</v>
      </c>
      <c r="I40">
        <v>113054</v>
      </c>
      <c r="J40">
        <v>30.5</v>
      </c>
      <c r="K40" t="s">
        <v>3584</v>
      </c>
      <c r="L40" t="s">
        <v>106</v>
      </c>
      <c r="M40" t="s">
        <v>78</v>
      </c>
      <c r="N40" t="s">
        <v>457</v>
      </c>
      <c r="O40" t="s">
        <v>3569</v>
      </c>
      <c r="P40" t="s">
        <v>3573</v>
      </c>
      <c r="Q40" t="s">
        <v>3573</v>
      </c>
      <c r="R40" t="s">
        <v>107</v>
      </c>
    </row>
    <row r="41" spans="1:18">
      <c r="A41" t="s">
        <v>836</v>
      </c>
      <c r="B41" t="s">
        <v>840</v>
      </c>
      <c r="C41" t="s">
        <v>2292</v>
      </c>
      <c r="D41" t="s">
        <v>3552</v>
      </c>
      <c r="E41">
        <v>48</v>
      </c>
      <c r="F41" t="s">
        <v>3557</v>
      </c>
      <c r="G41">
        <v>0</v>
      </c>
      <c r="H41">
        <v>0</v>
      </c>
      <c r="I41" t="s">
        <v>108</v>
      </c>
      <c r="J41">
        <v>50.495800000000003</v>
      </c>
      <c r="K41" t="s">
        <v>3582</v>
      </c>
      <c r="L41" t="s">
        <v>109</v>
      </c>
      <c r="M41" t="s">
        <v>70</v>
      </c>
      <c r="N41" t="s">
        <v>3566</v>
      </c>
      <c r="O41" t="s">
        <v>3569</v>
      </c>
      <c r="P41">
        <v>208</v>
      </c>
      <c r="Q41" t="s">
        <v>3574</v>
      </c>
      <c r="R41" t="s">
        <v>110</v>
      </c>
    </row>
    <row r="42" spans="1:18">
      <c r="A42" t="s">
        <v>836</v>
      </c>
      <c r="B42" t="s">
        <v>840</v>
      </c>
      <c r="C42" t="s">
        <v>2293</v>
      </c>
      <c r="D42" t="s">
        <v>3552</v>
      </c>
      <c r="E42">
        <v>28</v>
      </c>
      <c r="F42" t="s">
        <v>3555</v>
      </c>
      <c r="G42">
        <v>0</v>
      </c>
      <c r="H42">
        <v>0</v>
      </c>
      <c r="I42">
        <v>112379</v>
      </c>
      <c r="J42">
        <v>39.6</v>
      </c>
      <c r="K42" t="s">
        <v>3584</v>
      </c>
      <c r="L42" t="s">
        <v>3561</v>
      </c>
      <c r="M42" t="s">
        <v>3561</v>
      </c>
      <c r="N42" t="s">
        <v>3566</v>
      </c>
      <c r="O42" t="s">
        <v>3569</v>
      </c>
      <c r="P42" t="s">
        <v>3573</v>
      </c>
      <c r="Q42" t="s">
        <v>3573</v>
      </c>
      <c r="R42" t="s">
        <v>111</v>
      </c>
    </row>
    <row r="43" spans="1:18">
      <c r="A43" t="s">
        <v>836</v>
      </c>
      <c r="B43" t="s">
        <v>9</v>
      </c>
      <c r="C43" t="s">
        <v>2294</v>
      </c>
      <c r="D43" t="s">
        <v>3551</v>
      </c>
      <c r="E43">
        <v>44</v>
      </c>
      <c r="F43" t="s">
        <v>3557</v>
      </c>
      <c r="G43">
        <v>0</v>
      </c>
      <c r="H43">
        <v>0</v>
      </c>
      <c r="I43" t="s">
        <v>112</v>
      </c>
      <c r="J43">
        <v>27.720800000000001</v>
      </c>
      <c r="K43" t="s">
        <v>3584</v>
      </c>
      <c r="L43" t="s">
        <v>113</v>
      </c>
      <c r="M43" t="s">
        <v>70</v>
      </c>
      <c r="N43" t="s">
        <v>3566</v>
      </c>
      <c r="O43">
        <v>6</v>
      </c>
      <c r="P43" t="s">
        <v>3573</v>
      </c>
      <c r="Q43" t="s">
        <v>3573</v>
      </c>
      <c r="R43" t="s">
        <v>114</v>
      </c>
    </row>
    <row r="44" spans="1:18">
      <c r="A44" t="s">
        <v>836</v>
      </c>
      <c r="B44" t="s">
        <v>9</v>
      </c>
      <c r="C44" t="s">
        <v>2295</v>
      </c>
      <c r="D44" t="s">
        <v>3551</v>
      </c>
      <c r="E44">
        <v>59</v>
      </c>
      <c r="F44" t="s">
        <v>3557</v>
      </c>
      <c r="G44">
        <v>0</v>
      </c>
      <c r="H44">
        <v>2</v>
      </c>
      <c r="I44">
        <v>11769</v>
      </c>
      <c r="J44">
        <v>51.479199999999999</v>
      </c>
      <c r="K44" t="s">
        <v>3582</v>
      </c>
      <c r="L44" t="s">
        <v>58</v>
      </c>
      <c r="M44" t="s">
        <v>62</v>
      </c>
      <c r="N44" t="s">
        <v>457</v>
      </c>
      <c r="O44" t="s">
        <v>59</v>
      </c>
      <c r="P44" t="s">
        <v>3573</v>
      </c>
      <c r="Q44" t="s">
        <v>3573</v>
      </c>
      <c r="R44" t="s">
        <v>115</v>
      </c>
    </row>
    <row r="45" spans="1:18">
      <c r="A45" t="s">
        <v>836</v>
      </c>
      <c r="B45" t="s">
        <v>9</v>
      </c>
      <c r="C45" t="s">
        <v>2296</v>
      </c>
      <c r="D45" t="s">
        <v>3551</v>
      </c>
      <c r="E45">
        <v>60</v>
      </c>
      <c r="F45" t="s">
        <v>3559</v>
      </c>
      <c r="G45">
        <v>0</v>
      </c>
      <c r="H45">
        <v>0</v>
      </c>
      <c r="I45">
        <v>11813</v>
      </c>
      <c r="J45">
        <v>76.291700000000006</v>
      </c>
      <c r="K45" t="s">
        <v>3582</v>
      </c>
      <c r="L45" t="s">
        <v>76</v>
      </c>
      <c r="M45" t="s">
        <v>59</v>
      </c>
      <c r="N45" t="s">
        <v>3566</v>
      </c>
      <c r="O45">
        <v>8</v>
      </c>
      <c r="P45" t="s">
        <v>3573</v>
      </c>
      <c r="Q45" t="s">
        <v>3573</v>
      </c>
      <c r="R45" t="s">
        <v>111</v>
      </c>
    </row>
    <row r="46" spans="1:18">
      <c r="A46" t="s">
        <v>836</v>
      </c>
      <c r="B46" t="s">
        <v>9</v>
      </c>
      <c r="C46" t="s">
        <v>2297</v>
      </c>
      <c r="D46" t="s">
        <v>3551</v>
      </c>
      <c r="E46">
        <v>41</v>
      </c>
      <c r="F46" t="s">
        <v>3557</v>
      </c>
      <c r="G46">
        <v>0</v>
      </c>
      <c r="H46">
        <v>0</v>
      </c>
      <c r="I46">
        <v>16966</v>
      </c>
      <c r="J46">
        <v>134.5</v>
      </c>
      <c r="K46" t="s">
        <v>3582</v>
      </c>
      <c r="L46" t="s">
        <v>116</v>
      </c>
      <c r="M46" t="s">
        <v>3564</v>
      </c>
      <c r="N46" t="s">
        <v>3566</v>
      </c>
      <c r="O46">
        <v>3</v>
      </c>
      <c r="P46" t="s">
        <v>3573</v>
      </c>
      <c r="Q46" t="s">
        <v>3573</v>
      </c>
    </row>
    <row r="47" spans="1:18">
      <c r="A47" t="s">
        <v>836</v>
      </c>
      <c r="B47" t="s">
        <v>840</v>
      </c>
      <c r="C47" t="s">
        <v>2298</v>
      </c>
      <c r="D47" t="s">
        <v>3552</v>
      </c>
      <c r="E47">
        <v>45</v>
      </c>
      <c r="F47" t="s">
        <v>3557</v>
      </c>
      <c r="G47">
        <v>0</v>
      </c>
      <c r="H47">
        <v>0</v>
      </c>
      <c r="I47">
        <v>113050</v>
      </c>
      <c r="J47">
        <v>26.55</v>
      </c>
      <c r="K47" t="s">
        <v>3584</v>
      </c>
      <c r="L47" t="s">
        <v>117</v>
      </c>
      <c r="M47" t="s">
        <v>70</v>
      </c>
      <c r="N47" t="s">
        <v>457</v>
      </c>
      <c r="O47" t="s">
        <v>3569</v>
      </c>
      <c r="P47" t="s">
        <v>3573</v>
      </c>
      <c r="Q47" t="s">
        <v>3573</v>
      </c>
      <c r="R47" t="s">
        <v>118</v>
      </c>
    </row>
    <row r="48" spans="1:18">
      <c r="A48" t="s">
        <v>836</v>
      </c>
      <c r="B48" t="s">
        <v>840</v>
      </c>
      <c r="C48" t="s">
        <v>2299</v>
      </c>
      <c r="D48" t="s">
        <v>3552</v>
      </c>
      <c r="E48">
        <v>28</v>
      </c>
      <c r="F48" t="s">
        <v>3555</v>
      </c>
      <c r="G48">
        <v>0</v>
      </c>
      <c r="H48">
        <v>0</v>
      </c>
      <c r="I48">
        <v>113798</v>
      </c>
      <c r="J48">
        <v>31</v>
      </c>
      <c r="K48" t="s">
        <v>3584</v>
      </c>
      <c r="L48" t="s">
        <v>3561</v>
      </c>
      <c r="M48" t="s">
        <v>3561</v>
      </c>
      <c r="N48" t="s">
        <v>457</v>
      </c>
      <c r="O48" t="s">
        <v>3569</v>
      </c>
      <c r="P48" t="s">
        <v>3573</v>
      </c>
      <c r="Q48" t="s">
        <v>3573</v>
      </c>
    </row>
    <row r="49" spans="1:18">
      <c r="A49" t="s">
        <v>836</v>
      </c>
      <c r="B49" t="s">
        <v>9</v>
      </c>
      <c r="C49" t="s">
        <v>2300</v>
      </c>
      <c r="D49" t="s">
        <v>3552</v>
      </c>
      <c r="E49">
        <v>42</v>
      </c>
      <c r="F49" t="s">
        <v>3557</v>
      </c>
      <c r="G49">
        <v>0</v>
      </c>
      <c r="H49">
        <v>0</v>
      </c>
      <c r="I49" t="s">
        <v>119</v>
      </c>
      <c r="J49">
        <v>26.287500000000001</v>
      </c>
      <c r="K49" t="s">
        <v>3584</v>
      </c>
      <c r="L49" t="s">
        <v>120</v>
      </c>
      <c r="M49" t="s">
        <v>3564</v>
      </c>
      <c r="N49" t="s">
        <v>457</v>
      </c>
      <c r="O49">
        <v>5</v>
      </c>
      <c r="P49" t="s">
        <v>3573</v>
      </c>
      <c r="Q49" t="s">
        <v>3573</v>
      </c>
      <c r="R49" t="s">
        <v>53</v>
      </c>
    </row>
    <row r="50" spans="1:18">
      <c r="A50" t="s">
        <v>836</v>
      </c>
      <c r="B50" t="s">
        <v>9</v>
      </c>
      <c r="C50" t="s">
        <v>2301</v>
      </c>
      <c r="D50" t="s">
        <v>3551</v>
      </c>
      <c r="E50">
        <v>53</v>
      </c>
      <c r="F50" t="s">
        <v>3557</v>
      </c>
      <c r="G50">
        <v>0</v>
      </c>
      <c r="H50">
        <v>0</v>
      </c>
      <c r="I50" t="s">
        <v>121</v>
      </c>
      <c r="J50">
        <v>27.445799999999998</v>
      </c>
      <c r="K50" t="s">
        <v>3584</v>
      </c>
      <c r="L50" t="s">
        <v>3561</v>
      </c>
      <c r="M50" t="s">
        <v>3561</v>
      </c>
      <c r="N50" t="s">
        <v>3566</v>
      </c>
      <c r="O50">
        <v>6</v>
      </c>
      <c r="P50" t="s">
        <v>3573</v>
      </c>
      <c r="Q50" t="s">
        <v>3573</v>
      </c>
      <c r="R50" t="s">
        <v>118</v>
      </c>
    </row>
    <row r="51" spans="1:18">
      <c r="A51" t="s">
        <v>836</v>
      </c>
      <c r="B51" t="s">
        <v>9</v>
      </c>
      <c r="C51" t="s">
        <v>2302</v>
      </c>
      <c r="D51" t="s">
        <v>3552</v>
      </c>
      <c r="E51">
        <v>36</v>
      </c>
      <c r="F51" t="s">
        <v>3557</v>
      </c>
      <c r="G51">
        <v>1</v>
      </c>
      <c r="H51">
        <v>0</v>
      </c>
      <c r="I51" t="s">
        <v>122</v>
      </c>
      <c r="J51">
        <v>512.32920000000001</v>
      </c>
      <c r="K51" t="s">
        <v>3582</v>
      </c>
      <c r="L51" t="s">
        <v>123</v>
      </c>
      <c r="M51" t="s">
        <v>70</v>
      </c>
      <c r="N51" t="s">
        <v>3566</v>
      </c>
      <c r="O51">
        <v>3</v>
      </c>
      <c r="P51" t="s">
        <v>3573</v>
      </c>
      <c r="Q51" t="s">
        <v>3573</v>
      </c>
      <c r="R51" t="s">
        <v>124</v>
      </c>
    </row>
    <row r="52" spans="1:18">
      <c r="A52" t="s">
        <v>836</v>
      </c>
      <c r="B52" t="s">
        <v>9</v>
      </c>
      <c r="C52" t="s">
        <v>2303</v>
      </c>
      <c r="D52" t="s">
        <v>3551</v>
      </c>
      <c r="E52">
        <v>58</v>
      </c>
      <c r="F52" t="s">
        <v>3557</v>
      </c>
      <c r="G52">
        <v>1</v>
      </c>
      <c r="H52">
        <v>0</v>
      </c>
      <c r="I52" t="s">
        <v>122</v>
      </c>
      <c r="J52">
        <v>512.32920000000001</v>
      </c>
      <c r="K52" t="s">
        <v>3582</v>
      </c>
      <c r="L52" t="s">
        <v>123</v>
      </c>
      <c r="M52" t="s">
        <v>70</v>
      </c>
      <c r="N52" t="s">
        <v>3566</v>
      </c>
      <c r="O52">
        <v>3</v>
      </c>
      <c r="P52" t="s">
        <v>3573</v>
      </c>
      <c r="Q52" t="s">
        <v>3573</v>
      </c>
      <c r="R52" t="s">
        <v>125</v>
      </c>
    </row>
    <row r="53" spans="1:18">
      <c r="A53" t="s">
        <v>836</v>
      </c>
      <c r="B53" t="s">
        <v>840</v>
      </c>
      <c r="C53" t="s">
        <v>2304</v>
      </c>
      <c r="D53" t="s">
        <v>3552</v>
      </c>
      <c r="E53">
        <v>33</v>
      </c>
      <c r="F53" t="s">
        <v>3557</v>
      </c>
      <c r="G53">
        <v>0</v>
      </c>
      <c r="H53">
        <v>0</v>
      </c>
      <c r="I53">
        <v>695</v>
      </c>
      <c r="J53">
        <v>5</v>
      </c>
      <c r="K53" t="s">
        <v>3583</v>
      </c>
      <c r="L53" t="s">
        <v>123</v>
      </c>
      <c r="M53" t="s">
        <v>70</v>
      </c>
      <c r="N53" t="s">
        <v>457</v>
      </c>
      <c r="O53" t="s">
        <v>3569</v>
      </c>
      <c r="P53" t="s">
        <v>3573</v>
      </c>
      <c r="Q53" t="s">
        <v>3573</v>
      </c>
      <c r="R53" t="s">
        <v>53</v>
      </c>
    </row>
    <row r="54" spans="1:18">
      <c r="A54" t="s">
        <v>836</v>
      </c>
      <c r="B54" t="s">
        <v>840</v>
      </c>
      <c r="C54" t="s">
        <v>2305</v>
      </c>
      <c r="D54" t="s">
        <v>3552</v>
      </c>
      <c r="E54">
        <v>28</v>
      </c>
      <c r="F54" t="s">
        <v>3555</v>
      </c>
      <c r="G54">
        <v>0</v>
      </c>
      <c r="H54">
        <v>0</v>
      </c>
      <c r="I54">
        <v>113059</v>
      </c>
      <c r="J54">
        <v>47.1</v>
      </c>
      <c r="K54" t="s">
        <v>3584</v>
      </c>
      <c r="L54" t="s">
        <v>3561</v>
      </c>
      <c r="M54" t="s">
        <v>3561</v>
      </c>
      <c r="N54" t="s">
        <v>457</v>
      </c>
      <c r="O54" t="s">
        <v>3569</v>
      </c>
      <c r="P54" t="s">
        <v>3573</v>
      </c>
      <c r="Q54" t="s">
        <v>3573</v>
      </c>
      <c r="R54" t="s">
        <v>63</v>
      </c>
    </row>
    <row r="55" spans="1:18">
      <c r="A55" t="s">
        <v>836</v>
      </c>
      <c r="B55" t="s">
        <v>840</v>
      </c>
      <c r="C55" t="s">
        <v>2306</v>
      </c>
      <c r="D55" t="s">
        <v>3552</v>
      </c>
      <c r="E55">
        <v>17</v>
      </c>
      <c r="F55" t="s">
        <v>3560</v>
      </c>
      <c r="G55">
        <v>0</v>
      </c>
      <c r="H55">
        <v>0</v>
      </c>
      <c r="I55">
        <v>113059</v>
      </c>
      <c r="J55">
        <v>47.1</v>
      </c>
      <c r="K55" t="s">
        <v>3584</v>
      </c>
      <c r="L55" t="s">
        <v>3561</v>
      </c>
      <c r="M55" t="s">
        <v>3561</v>
      </c>
      <c r="N55" t="s">
        <v>457</v>
      </c>
      <c r="O55" t="s">
        <v>3569</v>
      </c>
      <c r="P55" t="s">
        <v>3573</v>
      </c>
      <c r="Q55" t="s">
        <v>3573</v>
      </c>
      <c r="R55" t="s">
        <v>63</v>
      </c>
    </row>
    <row r="56" spans="1:18">
      <c r="A56" t="s">
        <v>836</v>
      </c>
      <c r="B56" t="s">
        <v>9</v>
      </c>
      <c r="C56" t="s">
        <v>2307</v>
      </c>
      <c r="D56" t="s">
        <v>3552</v>
      </c>
      <c r="E56">
        <v>11</v>
      </c>
      <c r="F56" t="s">
        <v>3560</v>
      </c>
      <c r="G56">
        <v>2</v>
      </c>
      <c r="H56">
        <v>1</v>
      </c>
      <c r="I56">
        <v>113760</v>
      </c>
      <c r="J56">
        <v>120</v>
      </c>
      <c r="K56" t="s">
        <v>3582</v>
      </c>
      <c r="L56" t="s">
        <v>126</v>
      </c>
      <c r="M56" t="s">
        <v>70</v>
      </c>
      <c r="N56" t="s">
        <v>457</v>
      </c>
      <c r="O56">
        <v>4</v>
      </c>
      <c r="P56" t="s">
        <v>3573</v>
      </c>
      <c r="Q56" t="s">
        <v>3573</v>
      </c>
      <c r="R56" t="s">
        <v>127</v>
      </c>
    </row>
    <row r="57" spans="1:18">
      <c r="A57" t="s">
        <v>836</v>
      </c>
      <c r="B57" t="s">
        <v>9</v>
      </c>
      <c r="C57" t="s">
        <v>2308</v>
      </c>
      <c r="D57" t="s">
        <v>3551</v>
      </c>
      <c r="E57">
        <v>14</v>
      </c>
      <c r="F57" t="s">
        <v>3560</v>
      </c>
      <c r="G57">
        <v>2</v>
      </c>
      <c r="H57">
        <v>1</v>
      </c>
      <c r="I57">
        <v>113760</v>
      </c>
      <c r="J57">
        <v>120</v>
      </c>
      <c r="K57" t="s">
        <v>3582</v>
      </c>
      <c r="L57" t="s">
        <v>126</v>
      </c>
      <c r="M57" t="s">
        <v>70</v>
      </c>
      <c r="N57" t="s">
        <v>457</v>
      </c>
      <c r="O57">
        <v>4</v>
      </c>
      <c r="P57" t="s">
        <v>3573</v>
      </c>
      <c r="Q57" t="s">
        <v>3573</v>
      </c>
      <c r="R57" t="s">
        <v>127</v>
      </c>
    </row>
    <row r="58" spans="1:18">
      <c r="A58" t="s">
        <v>836</v>
      </c>
      <c r="B58" t="s">
        <v>9</v>
      </c>
      <c r="C58" t="s">
        <v>2309</v>
      </c>
      <c r="D58" t="s">
        <v>3552</v>
      </c>
      <c r="E58">
        <v>36</v>
      </c>
      <c r="F58" t="s">
        <v>3557</v>
      </c>
      <c r="G58">
        <v>2</v>
      </c>
      <c r="H58">
        <v>1</v>
      </c>
      <c r="I58">
        <v>113760</v>
      </c>
      <c r="J58">
        <v>120</v>
      </c>
      <c r="K58" t="s">
        <v>3582</v>
      </c>
      <c r="L58" t="s">
        <v>126</v>
      </c>
      <c r="M58" t="s">
        <v>70</v>
      </c>
      <c r="N58" t="s">
        <v>457</v>
      </c>
      <c r="O58" t="s">
        <v>62</v>
      </c>
      <c r="P58" t="s">
        <v>3573</v>
      </c>
      <c r="Q58" t="s">
        <v>3573</v>
      </c>
      <c r="R58" t="s">
        <v>127</v>
      </c>
    </row>
    <row r="59" spans="1:18">
      <c r="A59" t="s">
        <v>836</v>
      </c>
      <c r="B59" t="s">
        <v>9</v>
      </c>
      <c r="C59" t="s">
        <v>2310</v>
      </c>
      <c r="D59" t="s">
        <v>3551</v>
      </c>
      <c r="E59">
        <v>36</v>
      </c>
      <c r="F59" t="s">
        <v>3557</v>
      </c>
      <c r="G59">
        <v>2</v>
      </c>
      <c r="H59">
        <v>1</v>
      </c>
      <c r="I59">
        <v>113760</v>
      </c>
      <c r="J59">
        <v>120</v>
      </c>
      <c r="K59" t="s">
        <v>3582</v>
      </c>
      <c r="L59" t="s">
        <v>126</v>
      </c>
      <c r="M59" t="s">
        <v>70</v>
      </c>
      <c r="N59" t="s">
        <v>457</v>
      </c>
      <c r="O59">
        <v>4</v>
      </c>
      <c r="P59" t="s">
        <v>3573</v>
      </c>
      <c r="Q59" t="s">
        <v>3573</v>
      </c>
      <c r="R59" t="s">
        <v>127</v>
      </c>
    </row>
    <row r="60" spans="1:18">
      <c r="A60" t="s">
        <v>836</v>
      </c>
      <c r="B60" t="s">
        <v>840</v>
      </c>
      <c r="C60" t="s">
        <v>2311</v>
      </c>
      <c r="D60" t="s">
        <v>3552</v>
      </c>
      <c r="E60">
        <v>49</v>
      </c>
      <c r="F60" t="s">
        <v>3557</v>
      </c>
      <c r="G60">
        <v>0</v>
      </c>
      <c r="H60">
        <v>0</v>
      </c>
      <c r="I60">
        <v>19924</v>
      </c>
      <c r="J60">
        <v>26</v>
      </c>
      <c r="K60" t="s">
        <v>3584</v>
      </c>
      <c r="L60" t="s">
        <v>3561</v>
      </c>
      <c r="M60" t="s">
        <v>3561</v>
      </c>
      <c r="N60" t="s">
        <v>457</v>
      </c>
      <c r="O60" t="s">
        <v>3569</v>
      </c>
      <c r="P60" t="s">
        <v>3573</v>
      </c>
      <c r="Q60" t="s">
        <v>3573</v>
      </c>
      <c r="R60" t="s">
        <v>128</v>
      </c>
    </row>
    <row r="61" spans="1:18">
      <c r="A61" t="s">
        <v>836</v>
      </c>
      <c r="B61" t="s">
        <v>9</v>
      </c>
      <c r="C61" t="s">
        <v>2312</v>
      </c>
      <c r="D61" t="s">
        <v>3551</v>
      </c>
      <c r="E61">
        <v>28</v>
      </c>
      <c r="F61" t="s">
        <v>3555</v>
      </c>
      <c r="G61">
        <v>0</v>
      </c>
      <c r="H61">
        <v>0</v>
      </c>
      <c r="I61">
        <v>17770</v>
      </c>
      <c r="J61">
        <v>27.720800000000001</v>
      </c>
      <c r="K61" t="s">
        <v>3584</v>
      </c>
      <c r="L61" t="s">
        <v>3561</v>
      </c>
      <c r="M61" t="s">
        <v>3561</v>
      </c>
      <c r="N61" t="s">
        <v>3566</v>
      </c>
      <c r="O61">
        <v>5</v>
      </c>
      <c r="P61" t="s">
        <v>3573</v>
      </c>
      <c r="Q61" t="s">
        <v>3573</v>
      </c>
      <c r="R61" t="s">
        <v>53</v>
      </c>
    </row>
    <row r="62" spans="1:18">
      <c r="A62" t="s">
        <v>836</v>
      </c>
      <c r="B62" t="s">
        <v>840</v>
      </c>
      <c r="C62" t="s">
        <v>2313</v>
      </c>
      <c r="D62" t="s">
        <v>3552</v>
      </c>
      <c r="E62">
        <v>36</v>
      </c>
      <c r="F62" t="s">
        <v>3557</v>
      </c>
      <c r="G62">
        <v>0</v>
      </c>
      <c r="H62">
        <v>1</v>
      </c>
      <c r="I62">
        <v>19877</v>
      </c>
      <c r="J62">
        <v>78.849999999999994</v>
      </c>
      <c r="K62" t="s">
        <v>3582</v>
      </c>
      <c r="L62" t="s">
        <v>129</v>
      </c>
      <c r="M62" t="s">
        <v>62</v>
      </c>
      <c r="N62" t="s">
        <v>457</v>
      </c>
      <c r="O62" t="s">
        <v>3569</v>
      </c>
      <c r="P62">
        <v>172</v>
      </c>
      <c r="Q62" t="s">
        <v>3574</v>
      </c>
      <c r="R62" t="s">
        <v>130</v>
      </c>
    </row>
    <row r="63" spans="1:18">
      <c r="A63" t="s">
        <v>836</v>
      </c>
      <c r="B63" t="s">
        <v>9</v>
      </c>
      <c r="C63" t="s">
        <v>2314</v>
      </c>
      <c r="D63" t="s">
        <v>3551</v>
      </c>
      <c r="E63">
        <v>76</v>
      </c>
      <c r="F63" t="s">
        <v>3559</v>
      </c>
      <c r="G63">
        <v>0</v>
      </c>
      <c r="H63">
        <v>1</v>
      </c>
      <c r="I63">
        <v>19877</v>
      </c>
      <c r="J63">
        <v>78.849999999999994</v>
      </c>
      <c r="K63" t="s">
        <v>3582</v>
      </c>
      <c r="L63" t="s">
        <v>129</v>
      </c>
      <c r="M63" t="s">
        <v>62</v>
      </c>
      <c r="N63" t="s">
        <v>457</v>
      </c>
      <c r="O63">
        <v>6</v>
      </c>
      <c r="P63" t="s">
        <v>3573</v>
      </c>
      <c r="Q63" t="s">
        <v>3573</v>
      </c>
      <c r="R63" t="s">
        <v>130</v>
      </c>
    </row>
    <row r="64" spans="1:18">
      <c r="A64" t="s">
        <v>836</v>
      </c>
      <c r="B64" t="s">
        <v>840</v>
      </c>
      <c r="C64" t="s">
        <v>2315</v>
      </c>
      <c r="D64" t="s">
        <v>3552</v>
      </c>
      <c r="E64">
        <v>46</v>
      </c>
      <c r="F64" t="s">
        <v>3557</v>
      </c>
      <c r="G64">
        <v>0</v>
      </c>
      <c r="H64">
        <v>1</v>
      </c>
      <c r="I64" t="s">
        <v>131</v>
      </c>
      <c r="J64">
        <v>61.174999999999997</v>
      </c>
      <c r="K64" t="s">
        <v>3582</v>
      </c>
      <c r="L64" t="s">
        <v>132</v>
      </c>
      <c r="M64" t="s">
        <v>3564</v>
      </c>
      <c r="N64" t="s">
        <v>457</v>
      </c>
      <c r="O64" t="s">
        <v>3569</v>
      </c>
      <c r="P64" t="s">
        <v>3573</v>
      </c>
      <c r="Q64" t="s">
        <v>3573</v>
      </c>
      <c r="R64" t="s">
        <v>133</v>
      </c>
    </row>
    <row r="65" spans="1:18">
      <c r="A65" t="s">
        <v>836</v>
      </c>
      <c r="B65" t="s">
        <v>9</v>
      </c>
      <c r="C65" t="s">
        <v>2316</v>
      </c>
      <c r="D65" t="s">
        <v>3551</v>
      </c>
      <c r="E65">
        <v>47</v>
      </c>
      <c r="F65" t="s">
        <v>3557</v>
      </c>
      <c r="G65">
        <v>0</v>
      </c>
      <c r="H65">
        <v>1</v>
      </c>
      <c r="I65" t="s">
        <v>131</v>
      </c>
      <c r="J65">
        <v>61.174999999999997</v>
      </c>
      <c r="K65" t="s">
        <v>3582</v>
      </c>
      <c r="L65" t="s">
        <v>132</v>
      </c>
      <c r="M65" t="s">
        <v>3564</v>
      </c>
      <c r="N65" t="s">
        <v>457</v>
      </c>
      <c r="O65">
        <v>4</v>
      </c>
      <c r="P65" t="s">
        <v>3573</v>
      </c>
      <c r="Q65" t="s">
        <v>3573</v>
      </c>
      <c r="R65" t="s">
        <v>133</v>
      </c>
    </row>
    <row r="66" spans="1:18">
      <c r="A66" t="s">
        <v>836</v>
      </c>
      <c r="B66" t="s">
        <v>9</v>
      </c>
      <c r="C66" t="s">
        <v>2317</v>
      </c>
      <c r="D66" t="s">
        <v>3552</v>
      </c>
      <c r="E66">
        <v>27</v>
      </c>
      <c r="F66" t="s">
        <v>3555</v>
      </c>
      <c r="G66">
        <v>0</v>
      </c>
      <c r="H66">
        <v>1</v>
      </c>
      <c r="I66">
        <v>113806</v>
      </c>
      <c r="J66">
        <v>53.1</v>
      </c>
      <c r="K66" t="s">
        <v>3582</v>
      </c>
      <c r="L66" t="s">
        <v>134</v>
      </c>
      <c r="M66" t="s">
        <v>3564</v>
      </c>
      <c r="N66" t="s">
        <v>457</v>
      </c>
      <c r="O66">
        <v>5</v>
      </c>
      <c r="P66" t="s">
        <v>3573</v>
      </c>
      <c r="Q66" t="s">
        <v>3573</v>
      </c>
      <c r="R66" t="s">
        <v>135</v>
      </c>
    </row>
    <row r="67" spans="1:18">
      <c r="A67" t="s">
        <v>836</v>
      </c>
      <c r="B67" t="s">
        <v>9</v>
      </c>
      <c r="C67" t="s">
        <v>2318</v>
      </c>
      <c r="D67" t="s">
        <v>3551</v>
      </c>
      <c r="E67">
        <v>33</v>
      </c>
      <c r="F67" t="s">
        <v>3557</v>
      </c>
      <c r="G67">
        <v>0</v>
      </c>
      <c r="H67">
        <v>1</v>
      </c>
      <c r="I67">
        <v>113806</v>
      </c>
      <c r="J67">
        <v>53.1</v>
      </c>
      <c r="K67" t="s">
        <v>3582</v>
      </c>
      <c r="L67" t="s">
        <v>134</v>
      </c>
      <c r="M67" t="s">
        <v>3564</v>
      </c>
      <c r="N67" t="s">
        <v>457</v>
      </c>
      <c r="O67">
        <v>5</v>
      </c>
      <c r="P67" t="s">
        <v>3573</v>
      </c>
      <c r="Q67" t="s">
        <v>3573</v>
      </c>
      <c r="R67" t="s">
        <v>135</v>
      </c>
    </row>
    <row r="68" spans="1:18">
      <c r="A68" t="s">
        <v>836</v>
      </c>
      <c r="B68" t="s">
        <v>9</v>
      </c>
      <c r="C68" t="s">
        <v>2319</v>
      </c>
      <c r="D68" t="s">
        <v>3551</v>
      </c>
      <c r="E68">
        <v>36</v>
      </c>
      <c r="F68" t="s">
        <v>3557</v>
      </c>
      <c r="G68">
        <v>0</v>
      </c>
      <c r="H68">
        <v>0</v>
      </c>
      <c r="I68" t="s">
        <v>101</v>
      </c>
      <c r="J68">
        <v>262.375</v>
      </c>
      <c r="K68" t="s">
        <v>3582</v>
      </c>
      <c r="L68" t="s">
        <v>136</v>
      </c>
      <c r="M68" t="s">
        <v>70</v>
      </c>
      <c r="N68" t="s">
        <v>3566</v>
      </c>
      <c r="O68">
        <v>4</v>
      </c>
      <c r="P68" t="s">
        <v>3573</v>
      </c>
      <c r="Q68" t="s">
        <v>3573</v>
      </c>
    </row>
    <row r="69" spans="1:18">
      <c r="A69" t="s">
        <v>836</v>
      </c>
      <c r="B69" t="s">
        <v>9</v>
      </c>
      <c r="C69" t="s">
        <v>2320</v>
      </c>
      <c r="D69" t="s">
        <v>3551</v>
      </c>
      <c r="E69">
        <v>30</v>
      </c>
      <c r="F69" t="s">
        <v>3557</v>
      </c>
      <c r="G69">
        <v>0</v>
      </c>
      <c r="H69">
        <v>0</v>
      </c>
      <c r="I69">
        <v>110152</v>
      </c>
      <c r="J69">
        <v>86.5</v>
      </c>
      <c r="K69" t="s">
        <v>3582</v>
      </c>
      <c r="L69" t="s">
        <v>137</v>
      </c>
      <c r="M69" t="s">
        <v>70</v>
      </c>
      <c r="N69" t="s">
        <v>457</v>
      </c>
      <c r="O69">
        <v>8</v>
      </c>
      <c r="P69" t="s">
        <v>3573</v>
      </c>
      <c r="Q69" t="s">
        <v>3573</v>
      </c>
      <c r="R69" t="s">
        <v>138</v>
      </c>
    </row>
    <row r="70" spans="1:18">
      <c r="A70" t="s">
        <v>836</v>
      </c>
      <c r="B70" t="s">
        <v>9</v>
      </c>
      <c r="C70" t="s">
        <v>2321</v>
      </c>
      <c r="D70" t="s">
        <v>3552</v>
      </c>
      <c r="E70">
        <v>45</v>
      </c>
      <c r="F70" t="s">
        <v>3557</v>
      </c>
      <c r="G70">
        <v>0</v>
      </c>
      <c r="H70">
        <v>0</v>
      </c>
      <c r="I70" t="s">
        <v>139</v>
      </c>
      <c r="J70">
        <v>29.7</v>
      </c>
      <c r="K70" t="s">
        <v>3584</v>
      </c>
      <c r="L70" t="s">
        <v>140</v>
      </c>
      <c r="M70" t="s">
        <v>78</v>
      </c>
      <c r="N70" t="s">
        <v>3566</v>
      </c>
      <c r="O70">
        <v>7</v>
      </c>
      <c r="P70" t="s">
        <v>3573</v>
      </c>
      <c r="Q70" t="s">
        <v>3573</v>
      </c>
      <c r="R70" t="s">
        <v>68</v>
      </c>
    </row>
    <row r="71" spans="1:18">
      <c r="A71" t="s">
        <v>836</v>
      </c>
      <c r="B71" t="s">
        <v>9</v>
      </c>
      <c r="C71" t="s">
        <v>2322</v>
      </c>
      <c r="D71" t="s">
        <v>3551</v>
      </c>
      <c r="E71">
        <v>28</v>
      </c>
      <c r="F71" t="s">
        <v>3555</v>
      </c>
      <c r="G71">
        <v>1</v>
      </c>
      <c r="H71">
        <v>0</v>
      </c>
      <c r="I71">
        <v>113505</v>
      </c>
      <c r="J71">
        <v>55</v>
      </c>
      <c r="K71" t="s">
        <v>3582</v>
      </c>
      <c r="L71" t="s">
        <v>103</v>
      </c>
      <c r="M71" t="s">
        <v>3564</v>
      </c>
      <c r="N71" t="s">
        <v>457</v>
      </c>
      <c r="O71">
        <v>6</v>
      </c>
      <c r="P71" t="s">
        <v>3573</v>
      </c>
      <c r="Q71" t="s">
        <v>3573</v>
      </c>
      <c r="R71" t="s">
        <v>104</v>
      </c>
    </row>
    <row r="72" spans="1:18">
      <c r="A72" t="s">
        <v>836</v>
      </c>
      <c r="B72" t="s">
        <v>840</v>
      </c>
      <c r="C72" t="s">
        <v>2323</v>
      </c>
      <c r="D72" t="s">
        <v>3552</v>
      </c>
      <c r="E72">
        <v>28</v>
      </c>
      <c r="F72" t="s">
        <v>3555</v>
      </c>
      <c r="G72">
        <v>0</v>
      </c>
      <c r="H72">
        <v>0</v>
      </c>
      <c r="I72">
        <v>112051</v>
      </c>
      <c r="J72">
        <v>0</v>
      </c>
      <c r="K72" t="s">
        <v>3583</v>
      </c>
      <c r="L72" t="s">
        <v>3561</v>
      </c>
      <c r="M72" t="s">
        <v>3561</v>
      </c>
      <c r="N72" t="s">
        <v>457</v>
      </c>
      <c r="O72" t="s">
        <v>3569</v>
      </c>
      <c r="P72" t="s">
        <v>3573</v>
      </c>
      <c r="Q72" t="s">
        <v>3573</v>
      </c>
      <c r="R72" t="s">
        <v>141</v>
      </c>
    </row>
    <row r="73" spans="1:18">
      <c r="A73" t="s">
        <v>836</v>
      </c>
      <c r="B73" t="s">
        <v>840</v>
      </c>
      <c r="C73" t="s">
        <v>2324</v>
      </c>
      <c r="D73" t="s">
        <v>3552</v>
      </c>
      <c r="E73">
        <v>27</v>
      </c>
      <c r="F73" t="s">
        <v>3555</v>
      </c>
      <c r="G73">
        <v>0</v>
      </c>
      <c r="H73">
        <v>1</v>
      </c>
      <c r="I73">
        <v>13508</v>
      </c>
      <c r="J73">
        <v>136.7792</v>
      </c>
      <c r="K73" t="s">
        <v>3582</v>
      </c>
      <c r="L73" t="s">
        <v>142</v>
      </c>
      <c r="M73" t="s">
        <v>62</v>
      </c>
      <c r="N73" t="s">
        <v>3566</v>
      </c>
      <c r="O73" t="s">
        <v>3569</v>
      </c>
      <c r="P73" t="s">
        <v>3573</v>
      </c>
      <c r="Q73" t="s">
        <v>3573</v>
      </c>
      <c r="R73" t="s">
        <v>105</v>
      </c>
    </row>
    <row r="74" spans="1:18">
      <c r="A74" t="s">
        <v>836</v>
      </c>
      <c r="B74" t="s">
        <v>9</v>
      </c>
      <c r="C74" t="s">
        <v>2325</v>
      </c>
      <c r="D74" t="s">
        <v>3551</v>
      </c>
      <c r="E74">
        <v>26</v>
      </c>
      <c r="F74" t="s">
        <v>3555</v>
      </c>
      <c r="G74">
        <v>0</v>
      </c>
      <c r="H74">
        <v>1</v>
      </c>
      <c r="I74">
        <v>13508</v>
      </c>
      <c r="J74">
        <v>136.7792</v>
      </c>
      <c r="K74" t="s">
        <v>3582</v>
      </c>
      <c r="L74" t="s">
        <v>142</v>
      </c>
      <c r="M74" t="s">
        <v>62</v>
      </c>
      <c r="N74" t="s">
        <v>3566</v>
      </c>
      <c r="O74">
        <v>4</v>
      </c>
      <c r="P74" t="s">
        <v>3573</v>
      </c>
      <c r="Q74" t="s">
        <v>3573</v>
      </c>
      <c r="R74" t="s">
        <v>105</v>
      </c>
    </row>
    <row r="75" spans="1:18">
      <c r="A75" t="s">
        <v>836</v>
      </c>
      <c r="B75" t="s">
        <v>9</v>
      </c>
      <c r="C75" t="s">
        <v>2326</v>
      </c>
      <c r="D75" t="s">
        <v>3551</v>
      </c>
      <c r="E75">
        <v>22</v>
      </c>
      <c r="F75" t="s">
        <v>3555</v>
      </c>
      <c r="G75">
        <v>0</v>
      </c>
      <c r="H75">
        <v>0</v>
      </c>
      <c r="I75">
        <v>113781</v>
      </c>
      <c r="J75">
        <v>151.55000000000001</v>
      </c>
      <c r="K75" t="s">
        <v>3582</v>
      </c>
      <c r="L75" t="s">
        <v>3561</v>
      </c>
      <c r="M75" t="s">
        <v>3561</v>
      </c>
      <c r="N75" t="s">
        <v>457</v>
      </c>
      <c r="O75">
        <v>11</v>
      </c>
      <c r="P75" t="s">
        <v>3573</v>
      </c>
      <c r="Q75" t="s">
        <v>3573</v>
      </c>
    </row>
    <row r="76" spans="1:18">
      <c r="A76" t="s">
        <v>836</v>
      </c>
      <c r="B76" t="s">
        <v>840</v>
      </c>
      <c r="C76" t="s">
        <v>2327</v>
      </c>
      <c r="D76" t="s">
        <v>3552</v>
      </c>
      <c r="E76">
        <v>28</v>
      </c>
      <c r="F76" t="s">
        <v>3555</v>
      </c>
      <c r="G76">
        <v>0</v>
      </c>
      <c r="H76">
        <v>0</v>
      </c>
      <c r="I76">
        <v>110465</v>
      </c>
      <c r="J76">
        <v>52</v>
      </c>
      <c r="K76" t="s">
        <v>3582</v>
      </c>
      <c r="L76" t="s">
        <v>143</v>
      </c>
      <c r="M76" t="s">
        <v>78</v>
      </c>
      <c r="N76" t="s">
        <v>457</v>
      </c>
      <c r="O76" t="s">
        <v>3569</v>
      </c>
      <c r="P76" t="s">
        <v>3573</v>
      </c>
      <c r="Q76" t="s">
        <v>3573</v>
      </c>
      <c r="R76" t="s">
        <v>144</v>
      </c>
    </row>
    <row r="77" spans="1:18">
      <c r="A77" t="s">
        <v>836</v>
      </c>
      <c r="B77" t="s">
        <v>840</v>
      </c>
      <c r="C77" t="s">
        <v>2328</v>
      </c>
      <c r="D77" t="s">
        <v>3552</v>
      </c>
      <c r="E77">
        <v>47</v>
      </c>
      <c r="F77" t="s">
        <v>3557</v>
      </c>
      <c r="G77">
        <v>0</v>
      </c>
      <c r="H77">
        <v>0</v>
      </c>
      <c r="I77">
        <v>5727</v>
      </c>
      <c r="J77">
        <v>25.587499999999999</v>
      </c>
      <c r="K77" t="s">
        <v>3584</v>
      </c>
      <c r="L77" t="s">
        <v>145</v>
      </c>
      <c r="M77" t="s">
        <v>3564</v>
      </c>
      <c r="N77" t="s">
        <v>457</v>
      </c>
      <c r="O77" t="s">
        <v>3569</v>
      </c>
      <c r="P77" t="s">
        <v>3573</v>
      </c>
      <c r="Q77" t="s">
        <v>3573</v>
      </c>
      <c r="R77" t="s">
        <v>146</v>
      </c>
    </row>
    <row r="78" spans="1:18">
      <c r="A78" t="s">
        <v>836</v>
      </c>
      <c r="B78" t="s">
        <v>9</v>
      </c>
      <c r="C78" t="s">
        <v>2329</v>
      </c>
      <c r="D78" t="s">
        <v>3551</v>
      </c>
      <c r="E78">
        <v>39</v>
      </c>
      <c r="F78" t="s">
        <v>3557</v>
      </c>
      <c r="G78">
        <v>1</v>
      </c>
      <c r="H78">
        <v>1</v>
      </c>
      <c r="I78" t="s">
        <v>147</v>
      </c>
      <c r="J78">
        <v>83.158299999999997</v>
      </c>
      <c r="K78" t="s">
        <v>3582</v>
      </c>
      <c r="L78" t="s">
        <v>148</v>
      </c>
      <c r="M78" t="s">
        <v>3564</v>
      </c>
      <c r="N78" t="s">
        <v>3566</v>
      </c>
      <c r="O78">
        <v>14</v>
      </c>
      <c r="P78" t="s">
        <v>3573</v>
      </c>
      <c r="Q78" t="s">
        <v>3573</v>
      </c>
      <c r="R78" t="s">
        <v>149</v>
      </c>
    </row>
    <row r="79" spans="1:18">
      <c r="A79" t="s">
        <v>836</v>
      </c>
      <c r="B79" t="s">
        <v>840</v>
      </c>
      <c r="C79" t="s">
        <v>2330</v>
      </c>
      <c r="D79" t="s">
        <v>3552</v>
      </c>
      <c r="E79">
        <v>37</v>
      </c>
      <c r="F79" t="s">
        <v>3557</v>
      </c>
      <c r="G79">
        <v>1</v>
      </c>
      <c r="H79">
        <v>1</v>
      </c>
      <c r="I79" t="s">
        <v>147</v>
      </c>
      <c r="J79">
        <v>83.158299999999997</v>
      </c>
      <c r="K79" t="s">
        <v>3582</v>
      </c>
      <c r="L79" t="s">
        <v>150</v>
      </c>
      <c r="M79" t="s">
        <v>3564</v>
      </c>
      <c r="N79" t="s">
        <v>3566</v>
      </c>
      <c r="O79" t="s">
        <v>3569</v>
      </c>
      <c r="P79" t="s">
        <v>3573</v>
      </c>
      <c r="Q79" t="s">
        <v>3573</v>
      </c>
      <c r="R79" t="s">
        <v>149</v>
      </c>
    </row>
    <row r="80" spans="1:18">
      <c r="A80" t="s">
        <v>836</v>
      </c>
      <c r="B80" t="s">
        <v>9</v>
      </c>
      <c r="C80" t="s">
        <v>2331</v>
      </c>
      <c r="D80" t="s">
        <v>3551</v>
      </c>
      <c r="E80">
        <v>64</v>
      </c>
      <c r="F80" t="s">
        <v>3559</v>
      </c>
      <c r="G80">
        <v>2</v>
      </c>
      <c r="H80">
        <v>0</v>
      </c>
      <c r="I80" t="s">
        <v>147</v>
      </c>
      <c r="J80">
        <v>83.158299999999997</v>
      </c>
      <c r="K80" t="s">
        <v>3582</v>
      </c>
      <c r="L80" t="s">
        <v>151</v>
      </c>
      <c r="M80" t="s">
        <v>3564</v>
      </c>
      <c r="N80" t="s">
        <v>3566</v>
      </c>
      <c r="O80">
        <v>14</v>
      </c>
      <c r="P80" t="s">
        <v>3573</v>
      </c>
      <c r="Q80" t="s">
        <v>3573</v>
      </c>
      <c r="R80" t="s">
        <v>149</v>
      </c>
    </row>
    <row r="81" spans="1:18">
      <c r="A81" t="s">
        <v>836</v>
      </c>
      <c r="B81" t="s">
        <v>9</v>
      </c>
      <c r="C81" t="s">
        <v>2332</v>
      </c>
      <c r="D81" t="s">
        <v>3551</v>
      </c>
      <c r="E81">
        <v>55</v>
      </c>
      <c r="F81" t="s">
        <v>3557</v>
      </c>
      <c r="G81">
        <v>0</v>
      </c>
      <c r="H81">
        <v>2</v>
      </c>
      <c r="I81">
        <v>11770</v>
      </c>
      <c r="J81">
        <v>25.7</v>
      </c>
      <c r="K81" t="s">
        <v>3584</v>
      </c>
      <c r="L81" t="s">
        <v>58</v>
      </c>
      <c r="M81" t="s">
        <v>62</v>
      </c>
      <c r="N81" t="s">
        <v>457</v>
      </c>
      <c r="O81">
        <v>2</v>
      </c>
      <c r="P81" t="s">
        <v>3573</v>
      </c>
      <c r="Q81" t="s">
        <v>3573</v>
      </c>
      <c r="R81" t="s">
        <v>53</v>
      </c>
    </row>
    <row r="82" spans="1:18">
      <c r="A82" t="s">
        <v>836</v>
      </c>
      <c r="B82" t="s">
        <v>840</v>
      </c>
      <c r="C82" t="s">
        <v>2333</v>
      </c>
      <c r="D82" t="s">
        <v>3552</v>
      </c>
      <c r="E82">
        <v>28</v>
      </c>
      <c r="F82" t="s">
        <v>3555</v>
      </c>
      <c r="G82">
        <v>0</v>
      </c>
      <c r="H82">
        <v>0</v>
      </c>
      <c r="I82">
        <v>113791</v>
      </c>
      <c r="J82">
        <v>26.55</v>
      </c>
      <c r="K82" t="s">
        <v>3584</v>
      </c>
      <c r="L82" t="s">
        <v>3561</v>
      </c>
      <c r="M82" t="s">
        <v>3561</v>
      </c>
      <c r="N82" t="s">
        <v>457</v>
      </c>
      <c r="O82" t="s">
        <v>3569</v>
      </c>
      <c r="P82" t="s">
        <v>3573</v>
      </c>
      <c r="Q82" t="s">
        <v>3573</v>
      </c>
      <c r="R82" t="s">
        <v>152</v>
      </c>
    </row>
    <row r="83" spans="1:18">
      <c r="A83" t="s">
        <v>836</v>
      </c>
      <c r="B83" t="s">
        <v>840</v>
      </c>
      <c r="C83" t="s">
        <v>2334</v>
      </c>
      <c r="D83" t="s">
        <v>3552</v>
      </c>
      <c r="E83">
        <v>70</v>
      </c>
      <c r="F83" t="s">
        <v>3559</v>
      </c>
      <c r="G83">
        <v>1</v>
      </c>
      <c r="H83">
        <v>1</v>
      </c>
      <c r="I83" t="s">
        <v>153</v>
      </c>
      <c r="J83">
        <v>71</v>
      </c>
      <c r="K83" t="s">
        <v>3582</v>
      </c>
      <c r="L83" t="s">
        <v>154</v>
      </c>
      <c r="M83" t="s">
        <v>70</v>
      </c>
      <c r="N83" t="s">
        <v>457</v>
      </c>
      <c r="O83" t="s">
        <v>3569</v>
      </c>
      <c r="P83">
        <v>269</v>
      </c>
      <c r="Q83" t="s">
        <v>3574</v>
      </c>
      <c r="R83" t="s">
        <v>155</v>
      </c>
    </row>
    <row r="84" spans="1:18">
      <c r="A84" t="s">
        <v>836</v>
      </c>
      <c r="B84" t="s">
        <v>9</v>
      </c>
      <c r="C84" t="s">
        <v>2335</v>
      </c>
      <c r="D84" t="s">
        <v>3551</v>
      </c>
      <c r="E84">
        <v>36</v>
      </c>
      <c r="F84" t="s">
        <v>3557</v>
      </c>
      <c r="G84">
        <v>2</v>
      </c>
      <c r="H84">
        <v>0</v>
      </c>
      <c r="I84" t="s">
        <v>153</v>
      </c>
      <c r="J84">
        <v>71</v>
      </c>
      <c r="K84" t="s">
        <v>3582</v>
      </c>
      <c r="L84" t="s">
        <v>154</v>
      </c>
      <c r="M84" t="s">
        <v>70</v>
      </c>
      <c r="N84" t="s">
        <v>457</v>
      </c>
      <c r="O84">
        <v>7</v>
      </c>
      <c r="P84" t="s">
        <v>3573</v>
      </c>
      <c r="Q84" t="s">
        <v>3573</v>
      </c>
      <c r="R84" t="s">
        <v>155</v>
      </c>
    </row>
    <row r="85" spans="1:18">
      <c r="A85" t="s">
        <v>836</v>
      </c>
      <c r="B85" t="s">
        <v>9</v>
      </c>
      <c r="C85" t="s">
        <v>2336</v>
      </c>
      <c r="D85" t="s">
        <v>3551</v>
      </c>
      <c r="E85">
        <v>64</v>
      </c>
      <c r="F85" t="s">
        <v>3559</v>
      </c>
      <c r="G85">
        <v>1</v>
      </c>
      <c r="H85">
        <v>1</v>
      </c>
      <c r="I85">
        <v>112901</v>
      </c>
      <c r="J85">
        <v>26.55</v>
      </c>
      <c r="K85" t="s">
        <v>3584</v>
      </c>
      <c r="L85" t="s">
        <v>156</v>
      </c>
      <c r="M85" t="s">
        <v>70</v>
      </c>
      <c r="N85" t="s">
        <v>457</v>
      </c>
      <c r="O85">
        <v>7</v>
      </c>
      <c r="P85" t="s">
        <v>3573</v>
      </c>
      <c r="Q85" t="s">
        <v>3573</v>
      </c>
      <c r="R85" t="s">
        <v>155</v>
      </c>
    </row>
    <row r="86" spans="1:18">
      <c r="A86" t="s">
        <v>836</v>
      </c>
      <c r="B86" t="s">
        <v>840</v>
      </c>
      <c r="C86" t="s">
        <v>2337</v>
      </c>
      <c r="D86" t="s">
        <v>3552</v>
      </c>
      <c r="E86">
        <v>39</v>
      </c>
      <c r="F86" t="s">
        <v>3557</v>
      </c>
      <c r="G86">
        <v>0</v>
      </c>
      <c r="H86">
        <v>1</v>
      </c>
      <c r="I86" t="s">
        <v>157</v>
      </c>
      <c r="J86">
        <v>71.283299999999997</v>
      </c>
      <c r="K86" t="s">
        <v>3582</v>
      </c>
      <c r="L86" t="s">
        <v>35</v>
      </c>
      <c r="M86" t="s">
        <v>62</v>
      </c>
      <c r="N86" t="s">
        <v>3566</v>
      </c>
      <c r="O86" t="s">
        <v>3569</v>
      </c>
      <c r="P86" t="s">
        <v>3573</v>
      </c>
      <c r="Q86" t="s">
        <v>3573</v>
      </c>
      <c r="R86" t="s">
        <v>53</v>
      </c>
    </row>
    <row r="87" spans="1:18">
      <c r="A87" t="s">
        <v>836</v>
      </c>
      <c r="B87" t="s">
        <v>9</v>
      </c>
      <c r="C87" t="s">
        <v>2338</v>
      </c>
      <c r="D87" t="s">
        <v>3551</v>
      </c>
      <c r="E87">
        <v>38</v>
      </c>
      <c r="F87" t="s">
        <v>3557</v>
      </c>
      <c r="G87">
        <v>0</v>
      </c>
      <c r="H87">
        <v>1</v>
      </c>
      <c r="I87" t="s">
        <v>157</v>
      </c>
      <c r="J87">
        <v>71.283299999999997</v>
      </c>
      <c r="K87" t="s">
        <v>3582</v>
      </c>
      <c r="L87" t="s">
        <v>35</v>
      </c>
      <c r="M87" t="s">
        <v>62</v>
      </c>
      <c r="N87" t="s">
        <v>3566</v>
      </c>
      <c r="O87">
        <v>4</v>
      </c>
      <c r="P87" t="s">
        <v>3573</v>
      </c>
      <c r="Q87" t="s">
        <v>3573</v>
      </c>
      <c r="R87" t="s">
        <v>53</v>
      </c>
    </row>
    <row r="88" spans="1:18">
      <c r="A88" t="s">
        <v>836</v>
      </c>
      <c r="B88" t="s">
        <v>9</v>
      </c>
      <c r="C88" t="s">
        <v>2339</v>
      </c>
      <c r="D88" t="s">
        <v>3552</v>
      </c>
      <c r="E88">
        <v>51</v>
      </c>
      <c r="F88" t="s">
        <v>3557</v>
      </c>
      <c r="G88">
        <v>0</v>
      </c>
      <c r="H88">
        <v>0</v>
      </c>
      <c r="I88">
        <v>113055</v>
      </c>
      <c r="J88">
        <v>26.55</v>
      </c>
      <c r="K88" t="s">
        <v>3584</v>
      </c>
      <c r="L88" t="s">
        <v>158</v>
      </c>
      <c r="M88" t="s">
        <v>3564</v>
      </c>
      <c r="N88" t="s">
        <v>457</v>
      </c>
      <c r="O88" t="s">
        <v>159</v>
      </c>
      <c r="P88" t="s">
        <v>3573</v>
      </c>
      <c r="Q88" t="s">
        <v>3573</v>
      </c>
      <c r="R88" t="s">
        <v>160</v>
      </c>
    </row>
    <row r="89" spans="1:18">
      <c r="A89" t="s">
        <v>836</v>
      </c>
      <c r="B89" t="s">
        <v>9</v>
      </c>
      <c r="C89" t="s">
        <v>2340</v>
      </c>
      <c r="D89" t="s">
        <v>3552</v>
      </c>
      <c r="E89">
        <v>27</v>
      </c>
      <c r="F89" t="s">
        <v>3555</v>
      </c>
      <c r="G89">
        <v>0</v>
      </c>
      <c r="H89">
        <v>0</v>
      </c>
      <c r="I89">
        <v>113804</v>
      </c>
      <c r="J89">
        <v>30.5</v>
      </c>
      <c r="K89" t="s">
        <v>3584</v>
      </c>
      <c r="L89" t="s">
        <v>3561</v>
      </c>
      <c r="M89" t="s">
        <v>3561</v>
      </c>
      <c r="N89" t="s">
        <v>457</v>
      </c>
      <c r="O89">
        <v>3</v>
      </c>
      <c r="P89" t="s">
        <v>3573</v>
      </c>
      <c r="Q89" t="s">
        <v>3573</v>
      </c>
      <c r="R89" t="s">
        <v>111</v>
      </c>
    </row>
    <row r="90" spans="1:18">
      <c r="A90" t="s">
        <v>836</v>
      </c>
      <c r="B90" t="s">
        <v>9</v>
      </c>
      <c r="C90" t="s">
        <v>2341</v>
      </c>
      <c r="D90" t="s">
        <v>3551</v>
      </c>
      <c r="E90">
        <v>33</v>
      </c>
      <c r="F90" t="s">
        <v>3557</v>
      </c>
      <c r="G90">
        <v>0</v>
      </c>
      <c r="H90">
        <v>0</v>
      </c>
      <c r="I90">
        <v>113781</v>
      </c>
      <c r="J90">
        <v>151.55000000000001</v>
      </c>
      <c r="K90" t="s">
        <v>3582</v>
      </c>
      <c r="L90" t="s">
        <v>3561</v>
      </c>
      <c r="M90" t="s">
        <v>3561</v>
      </c>
      <c r="N90" t="s">
        <v>457</v>
      </c>
      <c r="O90">
        <v>8</v>
      </c>
      <c r="P90" t="s">
        <v>3573</v>
      </c>
      <c r="Q90" t="s">
        <v>3573</v>
      </c>
    </row>
    <row r="91" spans="1:18">
      <c r="A91" t="s">
        <v>836</v>
      </c>
      <c r="B91" t="s">
        <v>840</v>
      </c>
      <c r="C91" t="s">
        <v>2342</v>
      </c>
      <c r="D91" t="s">
        <v>3552</v>
      </c>
      <c r="E91">
        <v>31</v>
      </c>
      <c r="F91" t="s">
        <v>3557</v>
      </c>
      <c r="G91">
        <v>0</v>
      </c>
      <c r="H91">
        <v>1</v>
      </c>
      <c r="I91" t="s">
        <v>161</v>
      </c>
      <c r="J91">
        <v>52</v>
      </c>
      <c r="K91" t="s">
        <v>3582</v>
      </c>
      <c r="L91" t="s">
        <v>162</v>
      </c>
      <c r="M91" t="s">
        <v>70</v>
      </c>
      <c r="N91" t="s">
        <v>457</v>
      </c>
      <c r="O91" t="s">
        <v>3569</v>
      </c>
      <c r="P91" t="s">
        <v>3573</v>
      </c>
      <c r="Q91" t="s">
        <v>3573</v>
      </c>
      <c r="R91" t="s">
        <v>75</v>
      </c>
    </row>
    <row r="92" spans="1:18">
      <c r="A92" t="s">
        <v>836</v>
      </c>
      <c r="B92" t="s">
        <v>9</v>
      </c>
      <c r="C92" t="s">
        <v>2343</v>
      </c>
      <c r="D92" t="s">
        <v>3551</v>
      </c>
      <c r="E92">
        <v>27</v>
      </c>
      <c r="F92" t="s">
        <v>3555</v>
      </c>
      <c r="G92">
        <v>2</v>
      </c>
      <c r="H92">
        <v>1</v>
      </c>
      <c r="I92" t="s">
        <v>161</v>
      </c>
      <c r="J92">
        <v>52</v>
      </c>
      <c r="K92" t="s">
        <v>3582</v>
      </c>
      <c r="L92" t="s">
        <v>162</v>
      </c>
      <c r="M92" t="s">
        <v>70</v>
      </c>
      <c r="N92" t="s">
        <v>457</v>
      </c>
      <c r="O92">
        <v>3</v>
      </c>
      <c r="P92" t="s">
        <v>3573</v>
      </c>
      <c r="Q92" t="s">
        <v>3573</v>
      </c>
      <c r="R92" t="s">
        <v>75</v>
      </c>
    </row>
    <row r="93" spans="1:18">
      <c r="A93" t="s">
        <v>836</v>
      </c>
      <c r="B93" t="s">
        <v>9</v>
      </c>
      <c r="C93" t="s">
        <v>2344</v>
      </c>
      <c r="D93" t="s">
        <v>3552</v>
      </c>
      <c r="E93">
        <v>31</v>
      </c>
      <c r="F93" t="s">
        <v>3557</v>
      </c>
      <c r="G93">
        <v>0</v>
      </c>
      <c r="H93">
        <v>1</v>
      </c>
      <c r="I93">
        <v>17474</v>
      </c>
      <c r="J93">
        <v>57</v>
      </c>
      <c r="K93" t="s">
        <v>3582</v>
      </c>
      <c r="L93" t="s">
        <v>163</v>
      </c>
      <c r="M93" t="s">
        <v>70</v>
      </c>
      <c r="N93" t="s">
        <v>457</v>
      </c>
      <c r="O93">
        <v>3</v>
      </c>
      <c r="P93" t="s">
        <v>3573</v>
      </c>
      <c r="Q93" t="s">
        <v>3573</v>
      </c>
      <c r="R93" t="s">
        <v>164</v>
      </c>
    </row>
    <row r="94" spans="1:18">
      <c r="A94" t="s">
        <v>836</v>
      </c>
      <c r="B94" t="s">
        <v>9</v>
      </c>
      <c r="C94" t="s">
        <v>2345</v>
      </c>
      <c r="D94" t="s">
        <v>3551</v>
      </c>
      <c r="E94">
        <v>17</v>
      </c>
      <c r="F94" t="s">
        <v>3560</v>
      </c>
      <c r="G94">
        <v>0</v>
      </c>
      <c r="H94">
        <v>1</v>
      </c>
      <c r="I94">
        <v>17474</v>
      </c>
      <c r="J94">
        <v>57</v>
      </c>
      <c r="K94" t="s">
        <v>3582</v>
      </c>
      <c r="L94" t="s">
        <v>163</v>
      </c>
      <c r="M94" t="s">
        <v>70</v>
      </c>
      <c r="N94" t="s">
        <v>457</v>
      </c>
      <c r="O94">
        <v>3</v>
      </c>
      <c r="P94" t="s">
        <v>3573</v>
      </c>
      <c r="Q94" t="s">
        <v>3573</v>
      </c>
      <c r="R94" t="s">
        <v>164</v>
      </c>
    </row>
    <row r="95" spans="1:18">
      <c r="A95" t="s">
        <v>836</v>
      </c>
      <c r="B95" t="s">
        <v>9</v>
      </c>
      <c r="C95" t="s">
        <v>2346</v>
      </c>
      <c r="D95" t="s">
        <v>3552</v>
      </c>
      <c r="E95">
        <v>53</v>
      </c>
      <c r="F95" t="s">
        <v>3557</v>
      </c>
      <c r="G95">
        <v>1</v>
      </c>
      <c r="H95">
        <v>1</v>
      </c>
      <c r="I95">
        <v>33638</v>
      </c>
      <c r="J95">
        <v>81.8583</v>
      </c>
      <c r="K95" t="s">
        <v>3582</v>
      </c>
      <c r="L95" t="s">
        <v>165</v>
      </c>
      <c r="M95" t="s">
        <v>78</v>
      </c>
      <c r="N95" t="s">
        <v>457</v>
      </c>
      <c r="O95">
        <v>13</v>
      </c>
      <c r="P95" t="s">
        <v>3573</v>
      </c>
      <c r="Q95" t="s">
        <v>3573</v>
      </c>
      <c r="R95" t="s">
        <v>84</v>
      </c>
    </row>
    <row r="96" spans="1:18">
      <c r="A96" t="s">
        <v>836</v>
      </c>
      <c r="B96" t="s">
        <v>9</v>
      </c>
      <c r="C96" t="s">
        <v>2347</v>
      </c>
      <c r="D96" t="s">
        <v>3552</v>
      </c>
      <c r="E96">
        <v>4</v>
      </c>
      <c r="F96" t="s">
        <v>3556</v>
      </c>
      <c r="G96">
        <v>2</v>
      </c>
      <c r="H96">
        <v>0</v>
      </c>
      <c r="I96">
        <v>33638</v>
      </c>
      <c r="J96">
        <v>81.8583</v>
      </c>
      <c r="K96" t="s">
        <v>3582</v>
      </c>
      <c r="L96" t="s">
        <v>165</v>
      </c>
      <c r="M96" t="s">
        <v>78</v>
      </c>
      <c r="N96" t="s">
        <v>457</v>
      </c>
      <c r="O96">
        <v>5</v>
      </c>
      <c r="P96" t="s">
        <v>3573</v>
      </c>
      <c r="Q96" t="s">
        <v>3573</v>
      </c>
      <c r="R96" t="s">
        <v>84</v>
      </c>
    </row>
    <row r="97" spans="1:18">
      <c r="A97" t="s">
        <v>836</v>
      </c>
      <c r="B97" t="s">
        <v>9</v>
      </c>
      <c r="C97" t="s">
        <v>2348</v>
      </c>
      <c r="D97" t="s">
        <v>3551</v>
      </c>
      <c r="E97">
        <v>54</v>
      </c>
      <c r="F97" t="s">
        <v>3557</v>
      </c>
      <c r="G97">
        <v>1</v>
      </c>
      <c r="H97">
        <v>1</v>
      </c>
      <c r="I97">
        <v>33638</v>
      </c>
      <c r="J97">
        <v>81.8583</v>
      </c>
      <c r="K97" t="s">
        <v>3582</v>
      </c>
      <c r="L97" t="s">
        <v>165</v>
      </c>
      <c r="M97" t="s">
        <v>78</v>
      </c>
      <c r="N97" t="s">
        <v>457</v>
      </c>
      <c r="O97">
        <v>5</v>
      </c>
      <c r="P97" t="s">
        <v>3573</v>
      </c>
      <c r="Q97" t="s">
        <v>3573</v>
      </c>
      <c r="R97" t="s">
        <v>84</v>
      </c>
    </row>
    <row r="98" spans="1:18">
      <c r="A98" t="s">
        <v>836</v>
      </c>
      <c r="B98" t="s">
        <v>840</v>
      </c>
      <c r="C98" t="s">
        <v>2349</v>
      </c>
      <c r="D98" t="s">
        <v>3552</v>
      </c>
      <c r="E98">
        <v>50</v>
      </c>
      <c r="F98" t="s">
        <v>3557</v>
      </c>
      <c r="G98">
        <v>0</v>
      </c>
      <c r="H98">
        <v>1</v>
      </c>
      <c r="I98" t="s">
        <v>166</v>
      </c>
      <c r="J98">
        <v>106.425</v>
      </c>
      <c r="K98" t="s">
        <v>3582</v>
      </c>
      <c r="L98" t="s">
        <v>167</v>
      </c>
      <c r="M98" t="s">
        <v>62</v>
      </c>
      <c r="N98" t="s">
        <v>3566</v>
      </c>
      <c r="O98" t="s">
        <v>3569</v>
      </c>
      <c r="P98">
        <v>62</v>
      </c>
      <c r="Q98" t="s">
        <v>3574</v>
      </c>
      <c r="R98" t="s">
        <v>168</v>
      </c>
    </row>
    <row r="99" spans="1:18">
      <c r="A99" t="s">
        <v>836</v>
      </c>
      <c r="B99" t="s">
        <v>9</v>
      </c>
      <c r="C99" t="s">
        <v>2350</v>
      </c>
      <c r="D99" t="s">
        <v>3551</v>
      </c>
      <c r="E99">
        <v>27</v>
      </c>
      <c r="F99" t="s">
        <v>3555</v>
      </c>
      <c r="G99">
        <v>1</v>
      </c>
      <c r="H99">
        <v>1</v>
      </c>
      <c r="I99" t="s">
        <v>73</v>
      </c>
      <c r="J99">
        <v>247.52080000000001</v>
      </c>
      <c r="K99" t="s">
        <v>3582</v>
      </c>
      <c r="L99" t="s">
        <v>74</v>
      </c>
      <c r="M99" t="s">
        <v>70</v>
      </c>
      <c r="N99" t="s">
        <v>3566</v>
      </c>
      <c r="O99">
        <v>6</v>
      </c>
      <c r="P99" t="s">
        <v>3573</v>
      </c>
      <c r="Q99" t="s">
        <v>3573</v>
      </c>
      <c r="R99" t="s">
        <v>75</v>
      </c>
    </row>
    <row r="100" spans="1:18">
      <c r="A100" t="s">
        <v>836</v>
      </c>
      <c r="B100" t="s">
        <v>9</v>
      </c>
      <c r="C100" t="s">
        <v>2351</v>
      </c>
      <c r="D100" t="s">
        <v>3551</v>
      </c>
      <c r="E100">
        <v>48</v>
      </c>
      <c r="F100" t="s">
        <v>3557</v>
      </c>
      <c r="G100">
        <v>0</v>
      </c>
      <c r="H100">
        <v>1</v>
      </c>
      <c r="I100" t="s">
        <v>166</v>
      </c>
      <c r="J100">
        <v>106.425</v>
      </c>
      <c r="K100" t="s">
        <v>3582</v>
      </c>
      <c r="L100" t="s">
        <v>167</v>
      </c>
      <c r="M100" t="s">
        <v>62</v>
      </c>
      <c r="N100" t="s">
        <v>3566</v>
      </c>
      <c r="O100">
        <v>2</v>
      </c>
      <c r="P100" t="s">
        <v>3573</v>
      </c>
      <c r="Q100" t="s">
        <v>3573</v>
      </c>
      <c r="R100" t="s">
        <v>168</v>
      </c>
    </row>
    <row r="101" spans="1:18">
      <c r="A101" t="s">
        <v>836</v>
      </c>
      <c r="B101" t="s">
        <v>9</v>
      </c>
      <c r="C101" t="s">
        <v>2352</v>
      </c>
      <c r="D101" t="s">
        <v>3551</v>
      </c>
      <c r="E101">
        <v>48</v>
      </c>
      <c r="F101" t="s">
        <v>3557</v>
      </c>
      <c r="G101">
        <v>0</v>
      </c>
      <c r="H101">
        <v>1</v>
      </c>
      <c r="I101">
        <v>11755</v>
      </c>
      <c r="J101">
        <v>39.6</v>
      </c>
      <c r="K101" t="s">
        <v>3584</v>
      </c>
      <c r="L101" t="s">
        <v>169</v>
      </c>
      <c r="M101" t="s">
        <v>78</v>
      </c>
      <c r="N101" t="s">
        <v>3566</v>
      </c>
      <c r="O101">
        <v>1</v>
      </c>
      <c r="P101" t="s">
        <v>3573</v>
      </c>
      <c r="Q101" t="s">
        <v>3573</v>
      </c>
      <c r="R101" t="s">
        <v>170</v>
      </c>
    </row>
    <row r="102" spans="1:18">
      <c r="A102" t="s">
        <v>836</v>
      </c>
      <c r="B102" t="s">
        <v>9</v>
      </c>
      <c r="C102" t="s">
        <v>2353</v>
      </c>
      <c r="D102" t="s">
        <v>3552</v>
      </c>
      <c r="E102">
        <v>49</v>
      </c>
      <c r="F102" t="s">
        <v>3557</v>
      </c>
      <c r="G102">
        <v>0</v>
      </c>
      <c r="H102">
        <v>1</v>
      </c>
      <c r="I102" t="s">
        <v>171</v>
      </c>
      <c r="J102">
        <v>56.929200000000002</v>
      </c>
      <c r="K102" t="s">
        <v>3582</v>
      </c>
      <c r="L102" t="s">
        <v>172</v>
      </c>
      <c r="M102" t="s">
        <v>78</v>
      </c>
      <c r="N102" t="s">
        <v>3566</v>
      </c>
      <c r="O102">
        <v>1</v>
      </c>
      <c r="P102" t="s">
        <v>3573</v>
      </c>
      <c r="Q102" t="s">
        <v>3573</v>
      </c>
      <c r="R102" t="s">
        <v>170</v>
      </c>
    </row>
    <row r="103" spans="1:18">
      <c r="A103" t="s">
        <v>836</v>
      </c>
      <c r="B103" t="s">
        <v>840</v>
      </c>
      <c r="C103" t="s">
        <v>2354</v>
      </c>
      <c r="D103" t="s">
        <v>3552</v>
      </c>
      <c r="E103">
        <v>39</v>
      </c>
      <c r="F103" t="s">
        <v>3557</v>
      </c>
      <c r="G103">
        <v>0</v>
      </c>
      <c r="H103">
        <v>0</v>
      </c>
      <c r="I103" t="s">
        <v>173</v>
      </c>
      <c r="J103">
        <v>29.7</v>
      </c>
      <c r="K103" t="s">
        <v>3584</v>
      </c>
      <c r="L103" t="s">
        <v>174</v>
      </c>
      <c r="M103" t="s">
        <v>78</v>
      </c>
      <c r="N103" t="s">
        <v>3566</v>
      </c>
      <c r="O103" t="s">
        <v>3569</v>
      </c>
      <c r="P103">
        <v>133</v>
      </c>
      <c r="Q103" t="s">
        <v>3574</v>
      </c>
      <c r="R103" t="s">
        <v>111</v>
      </c>
    </row>
    <row r="104" spans="1:18">
      <c r="A104" t="s">
        <v>836</v>
      </c>
      <c r="B104" t="s">
        <v>9</v>
      </c>
      <c r="C104" t="s">
        <v>2355</v>
      </c>
      <c r="D104" t="s">
        <v>3551</v>
      </c>
      <c r="E104">
        <v>23</v>
      </c>
      <c r="F104" t="s">
        <v>3555</v>
      </c>
      <c r="G104">
        <v>1</v>
      </c>
      <c r="H104">
        <v>0</v>
      </c>
      <c r="I104">
        <v>11767</v>
      </c>
      <c r="J104">
        <v>83.158299999999997</v>
      </c>
      <c r="K104" t="s">
        <v>3582</v>
      </c>
      <c r="L104" t="s">
        <v>175</v>
      </c>
      <c r="M104" t="s">
        <v>62</v>
      </c>
      <c r="N104" t="s">
        <v>3566</v>
      </c>
      <c r="O104">
        <v>7</v>
      </c>
      <c r="P104" t="s">
        <v>3573</v>
      </c>
      <c r="Q104" t="s">
        <v>3573</v>
      </c>
      <c r="R104" t="s">
        <v>176</v>
      </c>
    </row>
    <row r="105" spans="1:18">
      <c r="A105" t="s">
        <v>836</v>
      </c>
      <c r="B105" t="s">
        <v>9</v>
      </c>
      <c r="C105" t="s">
        <v>2356</v>
      </c>
      <c r="D105" t="s">
        <v>3551</v>
      </c>
      <c r="E105">
        <v>38</v>
      </c>
      <c r="F105" t="s">
        <v>3557</v>
      </c>
      <c r="G105">
        <v>0</v>
      </c>
      <c r="H105">
        <v>0</v>
      </c>
      <c r="I105" t="s">
        <v>64</v>
      </c>
      <c r="J105">
        <v>227.52500000000001</v>
      </c>
      <c r="K105" t="s">
        <v>3582</v>
      </c>
      <c r="L105" t="s">
        <v>177</v>
      </c>
      <c r="M105" t="s">
        <v>62</v>
      </c>
      <c r="N105" t="s">
        <v>3566</v>
      </c>
      <c r="O105">
        <v>4</v>
      </c>
      <c r="P105" t="s">
        <v>3573</v>
      </c>
      <c r="Q105" t="s">
        <v>3573</v>
      </c>
      <c r="R105" t="s">
        <v>53</v>
      </c>
    </row>
    <row r="106" spans="1:18">
      <c r="A106" t="s">
        <v>836</v>
      </c>
      <c r="B106" t="s">
        <v>9</v>
      </c>
      <c r="C106" t="s">
        <v>2357</v>
      </c>
      <c r="D106" t="s">
        <v>3551</v>
      </c>
      <c r="E106">
        <v>54</v>
      </c>
      <c r="F106" t="s">
        <v>3557</v>
      </c>
      <c r="G106">
        <v>0</v>
      </c>
      <c r="H106">
        <v>1</v>
      </c>
      <c r="I106">
        <v>36947</v>
      </c>
      <c r="J106">
        <v>78.2667</v>
      </c>
      <c r="K106" t="s">
        <v>3582</v>
      </c>
      <c r="L106" t="s">
        <v>178</v>
      </c>
      <c r="M106" t="s">
        <v>59</v>
      </c>
      <c r="N106" t="s">
        <v>3566</v>
      </c>
      <c r="O106">
        <v>4</v>
      </c>
      <c r="P106" t="s">
        <v>3573</v>
      </c>
      <c r="Q106" t="s">
        <v>3573</v>
      </c>
      <c r="R106" t="s">
        <v>179</v>
      </c>
    </row>
    <row r="107" spans="1:18">
      <c r="A107" t="s">
        <v>836</v>
      </c>
      <c r="B107" t="s">
        <v>840</v>
      </c>
      <c r="C107" t="s">
        <v>2358</v>
      </c>
      <c r="D107" t="s">
        <v>3551</v>
      </c>
      <c r="E107">
        <v>36</v>
      </c>
      <c r="F107" t="s">
        <v>3557</v>
      </c>
      <c r="G107">
        <v>0</v>
      </c>
      <c r="H107">
        <v>0</v>
      </c>
      <c r="I107" t="s">
        <v>180</v>
      </c>
      <c r="J107">
        <v>31.679200000000002</v>
      </c>
      <c r="K107" t="s">
        <v>3584</v>
      </c>
      <c r="L107" t="s">
        <v>181</v>
      </c>
      <c r="M107" t="s">
        <v>78</v>
      </c>
      <c r="N107" t="s">
        <v>3566</v>
      </c>
      <c r="O107" t="s">
        <v>3569</v>
      </c>
      <c r="P107" t="s">
        <v>3573</v>
      </c>
      <c r="Q107" t="s">
        <v>3573</v>
      </c>
      <c r="R107" t="s">
        <v>53</v>
      </c>
    </row>
    <row r="108" spans="1:18">
      <c r="A108" t="s">
        <v>836</v>
      </c>
      <c r="B108" t="s">
        <v>840</v>
      </c>
      <c r="C108" t="s">
        <v>2359</v>
      </c>
      <c r="D108" t="s">
        <v>3552</v>
      </c>
      <c r="E108">
        <v>28</v>
      </c>
      <c r="F108" t="s">
        <v>3555</v>
      </c>
      <c r="G108">
        <v>0</v>
      </c>
      <c r="H108">
        <v>0</v>
      </c>
      <c r="I108" t="s">
        <v>82</v>
      </c>
      <c r="J108">
        <v>221.7792</v>
      </c>
      <c r="K108" t="s">
        <v>3582</v>
      </c>
      <c r="L108" t="s">
        <v>182</v>
      </c>
      <c r="M108" t="s">
        <v>62</v>
      </c>
      <c r="N108" t="s">
        <v>457</v>
      </c>
      <c r="O108" t="s">
        <v>3569</v>
      </c>
      <c r="P108" t="s">
        <v>3573</v>
      </c>
      <c r="Q108" t="s">
        <v>3573</v>
      </c>
    </row>
    <row r="109" spans="1:18">
      <c r="A109" t="s">
        <v>836</v>
      </c>
      <c r="B109" t="s">
        <v>9</v>
      </c>
      <c r="C109" t="s">
        <v>2360</v>
      </c>
      <c r="D109" t="s">
        <v>3551</v>
      </c>
      <c r="E109">
        <v>28</v>
      </c>
      <c r="F109" t="s">
        <v>3555</v>
      </c>
      <c r="G109">
        <v>0</v>
      </c>
      <c r="H109">
        <v>0</v>
      </c>
      <c r="I109" t="s">
        <v>183</v>
      </c>
      <c r="J109">
        <v>31.683299999999999</v>
      </c>
      <c r="K109" t="s">
        <v>3584</v>
      </c>
      <c r="L109" t="s">
        <v>3561</v>
      </c>
      <c r="M109" t="s">
        <v>3561</v>
      </c>
      <c r="N109" t="s">
        <v>457</v>
      </c>
      <c r="O109">
        <v>7</v>
      </c>
      <c r="P109" t="s">
        <v>3573</v>
      </c>
      <c r="Q109" t="s">
        <v>3573</v>
      </c>
      <c r="R109" t="s">
        <v>53</v>
      </c>
    </row>
    <row r="110" spans="1:18">
      <c r="A110" t="s">
        <v>836</v>
      </c>
      <c r="B110" t="s">
        <v>9</v>
      </c>
      <c r="C110" t="s">
        <v>2361</v>
      </c>
      <c r="D110" t="s">
        <v>3551</v>
      </c>
      <c r="E110">
        <v>28</v>
      </c>
      <c r="F110" t="s">
        <v>3555</v>
      </c>
      <c r="G110">
        <v>0</v>
      </c>
      <c r="H110">
        <v>0</v>
      </c>
      <c r="I110">
        <v>17421</v>
      </c>
      <c r="J110">
        <v>110.88330000000001</v>
      </c>
      <c r="K110" t="s">
        <v>3582</v>
      </c>
      <c r="L110" t="s">
        <v>3561</v>
      </c>
      <c r="M110" t="s">
        <v>3561</v>
      </c>
      <c r="N110" t="s">
        <v>3566</v>
      </c>
      <c r="O110">
        <v>4</v>
      </c>
      <c r="P110" t="s">
        <v>3573</v>
      </c>
      <c r="Q110" t="s">
        <v>3573</v>
      </c>
    </row>
    <row r="111" spans="1:18">
      <c r="A111" t="s">
        <v>836</v>
      </c>
      <c r="B111" t="s">
        <v>9</v>
      </c>
      <c r="C111" t="s">
        <v>2362</v>
      </c>
      <c r="D111" t="s">
        <v>3552</v>
      </c>
      <c r="E111">
        <v>36</v>
      </c>
      <c r="F111" t="s">
        <v>3557</v>
      </c>
      <c r="G111">
        <v>0</v>
      </c>
      <c r="H111">
        <v>0</v>
      </c>
      <c r="I111" t="s">
        <v>184</v>
      </c>
      <c r="J111">
        <v>26.387499999999999</v>
      </c>
      <c r="K111" t="s">
        <v>3584</v>
      </c>
      <c r="L111" t="s">
        <v>185</v>
      </c>
      <c r="M111" t="s">
        <v>3564</v>
      </c>
      <c r="N111" t="s">
        <v>457</v>
      </c>
      <c r="O111">
        <v>5</v>
      </c>
      <c r="P111" t="s">
        <v>3573</v>
      </c>
      <c r="Q111" t="s">
        <v>3573</v>
      </c>
      <c r="R111" t="s">
        <v>186</v>
      </c>
    </row>
    <row r="112" spans="1:18">
      <c r="A112" t="s">
        <v>836</v>
      </c>
      <c r="B112" t="s">
        <v>840</v>
      </c>
      <c r="C112" t="s">
        <v>2363</v>
      </c>
      <c r="D112" t="s">
        <v>3552</v>
      </c>
      <c r="E112">
        <v>30</v>
      </c>
      <c r="F112" t="s">
        <v>3557</v>
      </c>
      <c r="G112">
        <v>0</v>
      </c>
      <c r="H112">
        <v>0</v>
      </c>
      <c r="I112">
        <v>113051</v>
      </c>
      <c r="J112">
        <v>27.75</v>
      </c>
      <c r="K112" t="s">
        <v>3584</v>
      </c>
      <c r="L112" t="s">
        <v>187</v>
      </c>
      <c r="M112" t="s">
        <v>62</v>
      </c>
      <c r="N112" t="s">
        <v>3566</v>
      </c>
      <c r="O112" t="s">
        <v>3569</v>
      </c>
      <c r="P112" t="s">
        <v>3573</v>
      </c>
      <c r="Q112" t="s">
        <v>3573</v>
      </c>
      <c r="R112" t="s">
        <v>53</v>
      </c>
    </row>
    <row r="113" spans="1:18">
      <c r="A113" t="s">
        <v>836</v>
      </c>
      <c r="B113" t="s">
        <v>9</v>
      </c>
      <c r="C113" t="s">
        <v>2364</v>
      </c>
      <c r="D113" t="s">
        <v>3551</v>
      </c>
      <c r="E113">
        <v>24</v>
      </c>
      <c r="F113" t="s">
        <v>3555</v>
      </c>
      <c r="G113">
        <v>2</v>
      </c>
      <c r="H113">
        <v>3</v>
      </c>
      <c r="I113">
        <v>19950</v>
      </c>
      <c r="J113">
        <v>263</v>
      </c>
      <c r="K113" t="s">
        <v>3582</v>
      </c>
      <c r="L113" t="s">
        <v>188</v>
      </c>
      <c r="M113" t="s">
        <v>62</v>
      </c>
      <c r="N113" t="s">
        <v>457</v>
      </c>
      <c r="O113">
        <v>10</v>
      </c>
      <c r="P113" t="s">
        <v>3573</v>
      </c>
      <c r="Q113" t="s">
        <v>3573</v>
      </c>
      <c r="R113" t="s">
        <v>189</v>
      </c>
    </row>
    <row r="114" spans="1:18">
      <c r="A114" t="s">
        <v>836</v>
      </c>
      <c r="B114" t="s">
        <v>9</v>
      </c>
      <c r="C114" t="s">
        <v>2365</v>
      </c>
      <c r="D114" t="s">
        <v>3551</v>
      </c>
      <c r="E114">
        <v>28</v>
      </c>
      <c r="F114" t="s">
        <v>3555</v>
      </c>
      <c r="G114">
        <v>2</v>
      </c>
      <c r="H114">
        <v>3</v>
      </c>
      <c r="I114">
        <v>19950</v>
      </c>
      <c r="J114">
        <v>263</v>
      </c>
      <c r="K114" t="s">
        <v>3582</v>
      </c>
      <c r="L114" t="s">
        <v>188</v>
      </c>
      <c r="M114" t="s">
        <v>62</v>
      </c>
      <c r="N114" t="s">
        <v>457</v>
      </c>
      <c r="O114">
        <v>10</v>
      </c>
      <c r="P114" t="s">
        <v>3573</v>
      </c>
      <c r="Q114" t="s">
        <v>3573</v>
      </c>
      <c r="R114" t="s">
        <v>189</v>
      </c>
    </row>
    <row r="115" spans="1:18">
      <c r="A115" t="s">
        <v>836</v>
      </c>
      <c r="B115" t="s">
        <v>9</v>
      </c>
      <c r="C115" t="s">
        <v>2366</v>
      </c>
      <c r="D115" t="s">
        <v>3551</v>
      </c>
      <c r="E115">
        <v>23</v>
      </c>
      <c r="F115" t="s">
        <v>3555</v>
      </c>
      <c r="G115">
        <v>2</v>
      </c>
      <c r="H115">
        <v>3</v>
      </c>
      <c r="I115">
        <v>19950</v>
      </c>
      <c r="J115">
        <v>263</v>
      </c>
      <c r="K115" t="s">
        <v>3582</v>
      </c>
      <c r="L115" t="s">
        <v>188</v>
      </c>
      <c r="M115" t="s">
        <v>62</v>
      </c>
      <c r="N115" t="s">
        <v>457</v>
      </c>
      <c r="O115">
        <v>10</v>
      </c>
      <c r="P115" t="s">
        <v>3573</v>
      </c>
      <c r="Q115" t="s">
        <v>3573</v>
      </c>
      <c r="R115" t="s">
        <v>189</v>
      </c>
    </row>
    <row r="116" spans="1:18">
      <c r="A116" t="s">
        <v>836</v>
      </c>
      <c r="B116" t="s">
        <v>840</v>
      </c>
      <c r="C116" t="s">
        <v>2367</v>
      </c>
      <c r="D116" t="s">
        <v>3552</v>
      </c>
      <c r="E116">
        <v>19</v>
      </c>
      <c r="F116" t="s">
        <v>3555</v>
      </c>
      <c r="G116">
        <v>2</v>
      </c>
      <c r="H116">
        <v>3</v>
      </c>
      <c r="I116">
        <v>19950</v>
      </c>
      <c r="J116">
        <v>263</v>
      </c>
      <c r="K116" t="s">
        <v>3582</v>
      </c>
      <c r="L116" t="s">
        <v>188</v>
      </c>
      <c r="M116" t="s">
        <v>62</v>
      </c>
      <c r="N116" t="s">
        <v>457</v>
      </c>
      <c r="O116" t="s">
        <v>3569</v>
      </c>
      <c r="P116" t="s">
        <v>3573</v>
      </c>
      <c r="Q116" t="s">
        <v>3573</v>
      </c>
      <c r="R116" t="s">
        <v>189</v>
      </c>
    </row>
    <row r="117" spans="1:18">
      <c r="A117" t="s">
        <v>836</v>
      </c>
      <c r="B117" t="s">
        <v>840</v>
      </c>
      <c r="C117" t="s">
        <v>2368</v>
      </c>
      <c r="D117" t="s">
        <v>3552</v>
      </c>
      <c r="E117">
        <v>64</v>
      </c>
      <c r="F117" t="s">
        <v>3559</v>
      </c>
      <c r="G117">
        <v>4</v>
      </c>
      <c r="H117">
        <v>1</v>
      </c>
      <c r="I117">
        <v>19950</v>
      </c>
      <c r="J117">
        <v>263</v>
      </c>
      <c r="K117" t="s">
        <v>3582</v>
      </c>
      <c r="L117" t="s">
        <v>188</v>
      </c>
      <c r="M117" t="s">
        <v>62</v>
      </c>
      <c r="N117" t="s">
        <v>457</v>
      </c>
      <c r="O117" t="s">
        <v>3569</v>
      </c>
      <c r="P117" t="s">
        <v>3573</v>
      </c>
      <c r="Q117" t="s">
        <v>3573</v>
      </c>
      <c r="R117" t="s">
        <v>189</v>
      </c>
    </row>
    <row r="118" spans="1:18">
      <c r="A118" t="s">
        <v>836</v>
      </c>
      <c r="B118" t="s">
        <v>9</v>
      </c>
      <c r="C118" t="s">
        <v>2369</v>
      </c>
      <c r="D118" t="s">
        <v>3551</v>
      </c>
      <c r="E118">
        <v>60</v>
      </c>
      <c r="F118" t="s">
        <v>3559</v>
      </c>
      <c r="G118">
        <v>4</v>
      </c>
      <c r="H118">
        <v>1</v>
      </c>
      <c r="I118">
        <v>19950</v>
      </c>
      <c r="J118">
        <v>263</v>
      </c>
      <c r="K118" t="s">
        <v>3582</v>
      </c>
      <c r="L118" t="s">
        <v>188</v>
      </c>
      <c r="M118" t="s">
        <v>62</v>
      </c>
      <c r="N118" t="s">
        <v>457</v>
      </c>
      <c r="O118">
        <v>10</v>
      </c>
      <c r="P118" t="s">
        <v>3573</v>
      </c>
      <c r="Q118" t="s">
        <v>3573</v>
      </c>
      <c r="R118" t="s">
        <v>189</v>
      </c>
    </row>
    <row r="119" spans="1:18">
      <c r="A119" t="s">
        <v>836</v>
      </c>
      <c r="B119" t="s">
        <v>9</v>
      </c>
      <c r="C119" t="s">
        <v>2370</v>
      </c>
      <c r="D119" t="s">
        <v>3551</v>
      </c>
      <c r="E119">
        <v>30</v>
      </c>
      <c r="F119" t="s">
        <v>3557</v>
      </c>
      <c r="G119">
        <v>0</v>
      </c>
      <c r="H119">
        <v>0</v>
      </c>
      <c r="I119" t="s">
        <v>171</v>
      </c>
      <c r="J119">
        <v>56.929200000000002</v>
      </c>
      <c r="K119" t="s">
        <v>3582</v>
      </c>
      <c r="L119" t="s">
        <v>190</v>
      </c>
      <c r="M119" t="s">
        <v>3564</v>
      </c>
      <c r="N119" t="s">
        <v>3566</v>
      </c>
      <c r="O119">
        <v>1</v>
      </c>
      <c r="P119" t="s">
        <v>3573</v>
      </c>
      <c r="Q119" t="s">
        <v>3573</v>
      </c>
    </row>
    <row r="120" spans="1:18">
      <c r="A120" t="s">
        <v>836</v>
      </c>
      <c r="B120" t="s">
        <v>840</v>
      </c>
      <c r="C120" t="s">
        <v>2371</v>
      </c>
      <c r="D120" t="s">
        <v>3552</v>
      </c>
      <c r="E120">
        <v>28</v>
      </c>
      <c r="F120" t="s">
        <v>3555</v>
      </c>
      <c r="G120">
        <v>0</v>
      </c>
      <c r="H120">
        <v>0</v>
      </c>
      <c r="I120">
        <v>113778</v>
      </c>
      <c r="J120">
        <v>26.55</v>
      </c>
      <c r="K120" t="s">
        <v>3584</v>
      </c>
      <c r="L120" t="s">
        <v>191</v>
      </c>
      <c r="M120" t="s">
        <v>59</v>
      </c>
      <c r="N120" t="s">
        <v>457</v>
      </c>
      <c r="O120" t="s">
        <v>3569</v>
      </c>
      <c r="P120" t="s">
        <v>3573</v>
      </c>
      <c r="Q120" t="s">
        <v>3573</v>
      </c>
      <c r="R120" t="s">
        <v>192</v>
      </c>
    </row>
    <row r="121" spans="1:18">
      <c r="A121" t="s">
        <v>836</v>
      </c>
      <c r="B121" t="s">
        <v>9</v>
      </c>
      <c r="C121" t="s">
        <v>2372</v>
      </c>
      <c r="D121" t="s">
        <v>3552</v>
      </c>
      <c r="E121">
        <v>50</v>
      </c>
      <c r="F121" t="s">
        <v>3557</v>
      </c>
      <c r="G121">
        <v>0</v>
      </c>
      <c r="H121">
        <v>2</v>
      </c>
      <c r="I121" t="s">
        <v>193</v>
      </c>
      <c r="J121">
        <v>133.65</v>
      </c>
      <c r="K121" t="s">
        <v>3582</v>
      </c>
      <c r="L121" t="s">
        <v>3561</v>
      </c>
      <c r="M121" t="s">
        <v>3561</v>
      </c>
      <c r="N121" t="s">
        <v>457</v>
      </c>
      <c r="O121">
        <v>5</v>
      </c>
      <c r="P121" t="s">
        <v>3573</v>
      </c>
      <c r="Q121" t="s">
        <v>3573</v>
      </c>
      <c r="R121" t="s">
        <v>53</v>
      </c>
    </row>
    <row r="122" spans="1:18">
      <c r="A122" t="s">
        <v>836</v>
      </c>
      <c r="B122" t="s">
        <v>9</v>
      </c>
      <c r="C122" t="s">
        <v>2373</v>
      </c>
      <c r="D122" t="s">
        <v>3552</v>
      </c>
      <c r="E122">
        <v>43</v>
      </c>
      <c r="F122" t="s">
        <v>3557</v>
      </c>
      <c r="G122">
        <v>0</v>
      </c>
      <c r="H122">
        <v>1</v>
      </c>
      <c r="I122">
        <v>17765</v>
      </c>
      <c r="J122">
        <v>27.720800000000001</v>
      </c>
      <c r="K122" t="s">
        <v>3584</v>
      </c>
      <c r="L122" t="s">
        <v>194</v>
      </c>
      <c r="M122" t="s">
        <v>59</v>
      </c>
      <c r="N122" t="s">
        <v>3566</v>
      </c>
      <c r="O122">
        <v>5</v>
      </c>
      <c r="P122" t="s">
        <v>3573</v>
      </c>
      <c r="Q122" t="s">
        <v>3573</v>
      </c>
      <c r="R122" t="s">
        <v>53</v>
      </c>
    </row>
    <row r="123" spans="1:18">
      <c r="A123" t="s">
        <v>836</v>
      </c>
      <c r="B123" t="s">
        <v>9</v>
      </c>
      <c r="C123" t="s">
        <v>2374</v>
      </c>
      <c r="D123" t="s">
        <v>3551</v>
      </c>
      <c r="E123">
        <v>28</v>
      </c>
      <c r="F123" t="s">
        <v>3555</v>
      </c>
      <c r="G123">
        <v>0</v>
      </c>
      <c r="H123">
        <v>1</v>
      </c>
      <c r="I123" t="s">
        <v>193</v>
      </c>
      <c r="J123">
        <v>133.65</v>
      </c>
      <c r="K123" t="s">
        <v>3582</v>
      </c>
      <c r="L123" t="s">
        <v>3561</v>
      </c>
      <c r="M123" t="s">
        <v>3561</v>
      </c>
      <c r="N123" t="s">
        <v>457</v>
      </c>
      <c r="O123">
        <v>5</v>
      </c>
      <c r="P123" t="s">
        <v>3573</v>
      </c>
      <c r="Q123" t="s">
        <v>3573</v>
      </c>
      <c r="R123" t="s">
        <v>53</v>
      </c>
    </row>
    <row r="124" spans="1:18">
      <c r="A124" t="s">
        <v>836</v>
      </c>
      <c r="B124" t="s">
        <v>9</v>
      </c>
      <c r="C124" t="s">
        <v>2375</v>
      </c>
      <c r="D124" t="s">
        <v>3551</v>
      </c>
      <c r="E124">
        <v>22</v>
      </c>
      <c r="F124" t="s">
        <v>3555</v>
      </c>
      <c r="G124">
        <v>2</v>
      </c>
      <c r="H124">
        <v>0</v>
      </c>
      <c r="I124">
        <v>13568</v>
      </c>
      <c r="J124">
        <v>49.5</v>
      </c>
      <c r="K124" t="s">
        <v>3584</v>
      </c>
      <c r="L124" t="s">
        <v>195</v>
      </c>
      <c r="M124" t="s">
        <v>70</v>
      </c>
      <c r="N124" t="s">
        <v>3566</v>
      </c>
      <c r="O124">
        <v>5</v>
      </c>
      <c r="P124" t="s">
        <v>3573</v>
      </c>
      <c r="Q124" t="s">
        <v>3573</v>
      </c>
      <c r="R124" t="s">
        <v>196</v>
      </c>
    </row>
    <row r="125" spans="1:18">
      <c r="A125" t="s">
        <v>836</v>
      </c>
      <c r="B125" t="s">
        <v>9</v>
      </c>
      <c r="C125" t="s">
        <v>2376</v>
      </c>
      <c r="D125" t="s">
        <v>3552</v>
      </c>
      <c r="E125">
        <v>60</v>
      </c>
      <c r="F125" t="s">
        <v>3559</v>
      </c>
      <c r="G125">
        <v>1</v>
      </c>
      <c r="H125">
        <v>1</v>
      </c>
      <c r="I125">
        <v>13567</v>
      </c>
      <c r="J125">
        <v>79.2</v>
      </c>
      <c r="K125" t="s">
        <v>3582</v>
      </c>
      <c r="L125" t="s">
        <v>197</v>
      </c>
      <c r="M125" t="s">
        <v>70</v>
      </c>
      <c r="N125" t="s">
        <v>3566</v>
      </c>
      <c r="O125">
        <v>5</v>
      </c>
      <c r="P125" t="s">
        <v>3573</v>
      </c>
      <c r="Q125" t="s">
        <v>3573</v>
      </c>
      <c r="R125" t="s">
        <v>196</v>
      </c>
    </row>
    <row r="126" spans="1:18">
      <c r="A126" t="s">
        <v>836</v>
      </c>
      <c r="B126" t="s">
        <v>9</v>
      </c>
      <c r="C126" t="s">
        <v>2377</v>
      </c>
      <c r="D126" t="s">
        <v>3551</v>
      </c>
      <c r="E126">
        <v>48</v>
      </c>
      <c r="F126" t="s">
        <v>3557</v>
      </c>
      <c r="G126">
        <v>1</v>
      </c>
      <c r="H126">
        <v>1</v>
      </c>
      <c r="I126">
        <v>13567</v>
      </c>
      <c r="J126">
        <v>79.2</v>
      </c>
      <c r="K126" t="s">
        <v>3582</v>
      </c>
      <c r="L126" t="s">
        <v>197</v>
      </c>
      <c r="M126" t="s">
        <v>70</v>
      </c>
      <c r="N126" t="s">
        <v>3566</v>
      </c>
      <c r="O126">
        <v>5</v>
      </c>
      <c r="P126" t="s">
        <v>3573</v>
      </c>
      <c r="Q126" t="s">
        <v>3573</v>
      </c>
      <c r="R126" t="s">
        <v>196</v>
      </c>
    </row>
    <row r="127" spans="1:18">
      <c r="A127" t="s">
        <v>836</v>
      </c>
      <c r="B127" t="s">
        <v>840</v>
      </c>
      <c r="C127" t="s">
        <v>2378</v>
      </c>
      <c r="D127" t="s">
        <v>3552</v>
      </c>
      <c r="E127">
        <v>28</v>
      </c>
      <c r="F127" t="s">
        <v>3555</v>
      </c>
      <c r="G127">
        <v>0</v>
      </c>
      <c r="H127">
        <v>0</v>
      </c>
      <c r="I127">
        <v>112058</v>
      </c>
      <c r="J127">
        <v>0</v>
      </c>
      <c r="K127" t="s">
        <v>3583</v>
      </c>
      <c r="L127" t="s">
        <v>198</v>
      </c>
      <c r="M127" t="s">
        <v>70</v>
      </c>
      <c r="N127" t="s">
        <v>457</v>
      </c>
      <c r="O127" t="s">
        <v>3569</v>
      </c>
      <c r="P127" t="s">
        <v>3573</v>
      </c>
      <c r="Q127" t="s">
        <v>3573</v>
      </c>
    </row>
    <row r="128" spans="1:18">
      <c r="A128" t="s">
        <v>836</v>
      </c>
      <c r="B128" t="s">
        <v>840</v>
      </c>
      <c r="C128" t="s">
        <v>2379</v>
      </c>
      <c r="D128" t="s">
        <v>3552</v>
      </c>
      <c r="E128">
        <v>37</v>
      </c>
      <c r="F128" t="s">
        <v>3557</v>
      </c>
      <c r="G128">
        <v>0</v>
      </c>
      <c r="H128">
        <v>1</v>
      </c>
      <c r="I128">
        <v>113803</v>
      </c>
      <c r="J128">
        <v>53.1</v>
      </c>
      <c r="K128" t="s">
        <v>3582</v>
      </c>
      <c r="L128" t="s">
        <v>199</v>
      </c>
      <c r="M128" t="s">
        <v>62</v>
      </c>
      <c r="N128" t="s">
        <v>457</v>
      </c>
      <c r="O128" t="s">
        <v>3569</v>
      </c>
      <c r="P128" t="s">
        <v>3573</v>
      </c>
      <c r="Q128" t="s">
        <v>3573</v>
      </c>
      <c r="R128" t="s">
        <v>200</v>
      </c>
    </row>
    <row r="129" spans="1:18">
      <c r="A129" t="s">
        <v>836</v>
      </c>
      <c r="B129" t="s">
        <v>9</v>
      </c>
      <c r="C129" t="s">
        <v>2380</v>
      </c>
      <c r="D129" t="s">
        <v>3551</v>
      </c>
      <c r="E129">
        <v>35</v>
      </c>
      <c r="F129" t="s">
        <v>3557</v>
      </c>
      <c r="G129">
        <v>0</v>
      </c>
      <c r="H129">
        <v>1</v>
      </c>
      <c r="I129">
        <v>113803</v>
      </c>
      <c r="J129">
        <v>53.1</v>
      </c>
      <c r="K129" t="s">
        <v>3582</v>
      </c>
      <c r="L129" t="s">
        <v>199</v>
      </c>
      <c r="M129" t="s">
        <v>62</v>
      </c>
      <c r="N129" t="s">
        <v>457</v>
      </c>
      <c r="O129" t="s">
        <v>59</v>
      </c>
      <c r="P129" t="s">
        <v>3573</v>
      </c>
      <c r="Q129" t="s">
        <v>3573</v>
      </c>
      <c r="R129" t="s">
        <v>200</v>
      </c>
    </row>
    <row r="130" spans="1:18">
      <c r="A130" t="s">
        <v>836</v>
      </c>
      <c r="B130" t="s">
        <v>840</v>
      </c>
      <c r="C130" t="s">
        <v>2381</v>
      </c>
      <c r="D130" t="s">
        <v>3552</v>
      </c>
      <c r="E130">
        <v>47</v>
      </c>
      <c r="F130" t="s">
        <v>3557</v>
      </c>
      <c r="G130">
        <v>0</v>
      </c>
      <c r="H130">
        <v>0</v>
      </c>
      <c r="I130">
        <v>111320</v>
      </c>
      <c r="J130">
        <v>38.5</v>
      </c>
      <c r="K130" t="s">
        <v>3584</v>
      </c>
      <c r="L130" t="s">
        <v>201</v>
      </c>
      <c r="M130" t="s">
        <v>3564</v>
      </c>
      <c r="N130" t="s">
        <v>457</v>
      </c>
      <c r="O130" t="s">
        <v>3569</v>
      </c>
      <c r="P130">
        <v>275</v>
      </c>
      <c r="Q130" t="s">
        <v>3574</v>
      </c>
      <c r="R130" t="s">
        <v>202</v>
      </c>
    </row>
    <row r="131" spans="1:18">
      <c r="A131" t="s">
        <v>836</v>
      </c>
      <c r="B131" t="s">
        <v>9</v>
      </c>
      <c r="C131" t="s">
        <v>2382</v>
      </c>
      <c r="D131" t="s">
        <v>3551</v>
      </c>
      <c r="E131">
        <v>35</v>
      </c>
      <c r="F131" t="s">
        <v>3557</v>
      </c>
      <c r="G131">
        <v>0</v>
      </c>
      <c r="H131">
        <v>0</v>
      </c>
      <c r="I131">
        <v>113503</v>
      </c>
      <c r="J131">
        <v>211.5</v>
      </c>
      <c r="K131" t="s">
        <v>3582</v>
      </c>
      <c r="L131" t="s">
        <v>203</v>
      </c>
      <c r="M131" t="s">
        <v>62</v>
      </c>
      <c r="N131" t="s">
        <v>3566</v>
      </c>
      <c r="O131">
        <v>4</v>
      </c>
      <c r="P131" t="s">
        <v>3573</v>
      </c>
      <c r="Q131" t="s">
        <v>3573</v>
      </c>
    </row>
    <row r="132" spans="1:18">
      <c r="A132" t="s">
        <v>836</v>
      </c>
      <c r="B132" t="s">
        <v>9</v>
      </c>
      <c r="C132" t="s">
        <v>2383</v>
      </c>
      <c r="D132" t="s">
        <v>3551</v>
      </c>
      <c r="E132">
        <v>22</v>
      </c>
      <c r="F132" t="s">
        <v>3555</v>
      </c>
      <c r="G132">
        <v>1</v>
      </c>
      <c r="H132">
        <v>0</v>
      </c>
      <c r="I132">
        <v>112378</v>
      </c>
      <c r="J132">
        <v>59.4</v>
      </c>
      <c r="K132" t="s">
        <v>3582</v>
      </c>
      <c r="L132" t="s">
        <v>3561</v>
      </c>
      <c r="M132" t="s">
        <v>3561</v>
      </c>
      <c r="N132" t="s">
        <v>3566</v>
      </c>
      <c r="O132">
        <v>7</v>
      </c>
      <c r="P132" t="s">
        <v>3573</v>
      </c>
      <c r="Q132" t="s">
        <v>3573</v>
      </c>
      <c r="R132" t="s">
        <v>53</v>
      </c>
    </row>
    <row r="133" spans="1:18">
      <c r="A133" t="s">
        <v>836</v>
      </c>
      <c r="B133" t="s">
        <v>9</v>
      </c>
      <c r="C133" t="s">
        <v>2384</v>
      </c>
      <c r="D133" t="s">
        <v>3551</v>
      </c>
      <c r="E133">
        <v>45</v>
      </c>
      <c r="F133" t="s">
        <v>3557</v>
      </c>
      <c r="G133">
        <v>1</v>
      </c>
      <c r="H133">
        <v>0</v>
      </c>
      <c r="I133">
        <v>112378</v>
      </c>
      <c r="J133">
        <v>59.4</v>
      </c>
      <c r="K133" t="s">
        <v>3582</v>
      </c>
      <c r="L133" t="s">
        <v>3561</v>
      </c>
      <c r="M133" t="s">
        <v>3561</v>
      </c>
      <c r="N133" t="s">
        <v>3566</v>
      </c>
      <c r="O133">
        <v>7</v>
      </c>
      <c r="P133" t="s">
        <v>3573</v>
      </c>
      <c r="Q133" t="s">
        <v>3573</v>
      </c>
      <c r="R133" t="s">
        <v>53</v>
      </c>
    </row>
    <row r="134" spans="1:18">
      <c r="A134" t="s">
        <v>836</v>
      </c>
      <c r="B134" t="s">
        <v>840</v>
      </c>
      <c r="C134" t="s">
        <v>2385</v>
      </c>
      <c r="D134" t="s">
        <v>3552</v>
      </c>
      <c r="E134">
        <v>24</v>
      </c>
      <c r="F134" t="s">
        <v>3555</v>
      </c>
      <c r="G134">
        <v>0</v>
      </c>
      <c r="H134">
        <v>0</v>
      </c>
      <c r="I134" t="s">
        <v>204</v>
      </c>
      <c r="J134">
        <v>79.2</v>
      </c>
      <c r="K134" t="s">
        <v>3582</v>
      </c>
      <c r="L134" t="s">
        <v>205</v>
      </c>
      <c r="M134" t="s">
        <v>70</v>
      </c>
      <c r="N134" t="s">
        <v>3566</v>
      </c>
      <c r="O134" t="s">
        <v>3569</v>
      </c>
      <c r="P134" t="s">
        <v>3573</v>
      </c>
      <c r="Q134" t="s">
        <v>3573</v>
      </c>
    </row>
    <row r="135" spans="1:18">
      <c r="A135" t="s">
        <v>836</v>
      </c>
      <c r="B135" t="s">
        <v>9</v>
      </c>
      <c r="C135" t="s">
        <v>2386</v>
      </c>
      <c r="D135" t="s">
        <v>3552</v>
      </c>
      <c r="E135">
        <v>49</v>
      </c>
      <c r="F135" t="s">
        <v>3557</v>
      </c>
      <c r="G135">
        <v>0</v>
      </c>
      <c r="H135">
        <v>1</v>
      </c>
      <c r="I135">
        <v>17453</v>
      </c>
      <c r="J135">
        <v>89.104200000000006</v>
      </c>
      <c r="K135" t="s">
        <v>3582</v>
      </c>
      <c r="L135" t="s">
        <v>206</v>
      </c>
      <c r="M135" t="s">
        <v>62</v>
      </c>
      <c r="N135" t="s">
        <v>3566</v>
      </c>
      <c r="O135">
        <v>5</v>
      </c>
      <c r="P135" t="s">
        <v>3573</v>
      </c>
      <c r="Q135" t="s">
        <v>3573</v>
      </c>
      <c r="R135" t="s">
        <v>207</v>
      </c>
    </row>
    <row r="136" spans="1:18">
      <c r="A136" t="s">
        <v>836</v>
      </c>
      <c r="B136" t="s">
        <v>9</v>
      </c>
      <c r="C136" t="s">
        <v>2387</v>
      </c>
      <c r="D136" t="s">
        <v>3551</v>
      </c>
      <c r="E136">
        <v>28</v>
      </c>
      <c r="F136" t="s">
        <v>3555</v>
      </c>
      <c r="G136">
        <v>0</v>
      </c>
      <c r="H136">
        <v>1</v>
      </c>
      <c r="I136">
        <v>17453</v>
      </c>
      <c r="J136">
        <v>89.104200000000006</v>
      </c>
      <c r="K136" t="s">
        <v>3582</v>
      </c>
      <c r="L136" t="s">
        <v>206</v>
      </c>
      <c r="M136" t="s">
        <v>62</v>
      </c>
      <c r="N136" t="s">
        <v>3566</v>
      </c>
      <c r="O136">
        <v>5</v>
      </c>
      <c r="P136" t="s">
        <v>3573</v>
      </c>
      <c r="Q136" t="s">
        <v>3573</v>
      </c>
      <c r="R136" t="s">
        <v>207</v>
      </c>
    </row>
    <row r="137" spans="1:18">
      <c r="A137" t="s">
        <v>836</v>
      </c>
      <c r="B137" t="s">
        <v>840</v>
      </c>
      <c r="C137" t="s">
        <v>2388</v>
      </c>
      <c r="D137" t="s">
        <v>3552</v>
      </c>
      <c r="E137">
        <v>71</v>
      </c>
      <c r="F137" t="s">
        <v>3559</v>
      </c>
      <c r="G137">
        <v>0</v>
      </c>
      <c r="H137">
        <v>0</v>
      </c>
      <c r="I137" t="s">
        <v>208</v>
      </c>
      <c r="J137">
        <v>34.654200000000003</v>
      </c>
      <c r="K137" t="s">
        <v>3584</v>
      </c>
      <c r="L137" t="s">
        <v>209</v>
      </c>
      <c r="M137" t="s">
        <v>78</v>
      </c>
      <c r="N137" t="s">
        <v>3566</v>
      </c>
      <c r="O137" t="s">
        <v>3569</v>
      </c>
      <c r="P137" t="s">
        <v>3573</v>
      </c>
      <c r="Q137" t="s">
        <v>3573</v>
      </c>
      <c r="R137" t="s">
        <v>53</v>
      </c>
    </row>
    <row r="138" spans="1:18">
      <c r="A138" t="s">
        <v>836</v>
      </c>
      <c r="B138" t="s">
        <v>9</v>
      </c>
      <c r="C138" t="s">
        <v>2389</v>
      </c>
      <c r="D138" t="s">
        <v>3552</v>
      </c>
      <c r="E138">
        <v>53</v>
      </c>
      <c r="F138" t="s">
        <v>3557</v>
      </c>
      <c r="G138">
        <v>0</v>
      </c>
      <c r="H138">
        <v>0</v>
      </c>
      <c r="I138">
        <v>113780</v>
      </c>
      <c r="J138">
        <v>28.5</v>
      </c>
      <c r="K138" t="s">
        <v>3584</v>
      </c>
      <c r="L138" t="s">
        <v>210</v>
      </c>
      <c r="M138" t="s">
        <v>62</v>
      </c>
      <c r="N138" t="s">
        <v>3566</v>
      </c>
      <c r="O138" t="s">
        <v>70</v>
      </c>
      <c r="P138" t="s">
        <v>3573</v>
      </c>
      <c r="Q138" t="s">
        <v>3573</v>
      </c>
      <c r="R138" t="s">
        <v>118</v>
      </c>
    </row>
    <row r="139" spans="1:18">
      <c r="A139" t="s">
        <v>836</v>
      </c>
      <c r="B139" t="s">
        <v>9</v>
      </c>
      <c r="C139" t="s">
        <v>2390</v>
      </c>
      <c r="D139" t="s">
        <v>3551</v>
      </c>
      <c r="E139">
        <v>19</v>
      </c>
      <c r="F139" t="s">
        <v>3555</v>
      </c>
      <c r="G139">
        <v>0</v>
      </c>
      <c r="H139">
        <v>0</v>
      </c>
      <c r="I139">
        <v>112053</v>
      </c>
      <c r="J139">
        <v>30</v>
      </c>
      <c r="K139" t="s">
        <v>3584</v>
      </c>
      <c r="L139" t="s">
        <v>211</v>
      </c>
      <c r="M139" t="s">
        <v>70</v>
      </c>
      <c r="N139" t="s">
        <v>457</v>
      </c>
      <c r="O139">
        <v>3</v>
      </c>
      <c r="P139" t="s">
        <v>3573</v>
      </c>
      <c r="Q139" t="s">
        <v>3573</v>
      </c>
      <c r="R139" t="s">
        <v>212</v>
      </c>
    </row>
    <row r="140" spans="1:18">
      <c r="A140" t="s">
        <v>836</v>
      </c>
      <c r="B140" t="s">
        <v>840</v>
      </c>
      <c r="C140" t="s">
        <v>2391</v>
      </c>
      <c r="D140" t="s">
        <v>3552</v>
      </c>
      <c r="E140">
        <v>38</v>
      </c>
      <c r="F140" t="s">
        <v>3557</v>
      </c>
      <c r="G140">
        <v>1</v>
      </c>
      <c r="H140">
        <v>0</v>
      </c>
      <c r="I140" t="s">
        <v>213</v>
      </c>
      <c r="J140">
        <v>153.46250000000001</v>
      </c>
      <c r="K140" t="s">
        <v>3582</v>
      </c>
      <c r="L140" t="s">
        <v>214</v>
      </c>
      <c r="M140" t="s">
        <v>62</v>
      </c>
      <c r="N140" t="s">
        <v>457</v>
      </c>
      <c r="O140" t="s">
        <v>3569</v>
      </c>
      <c r="P140">
        <v>147</v>
      </c>
      <c r="Q140" t="s">
        <v>3574</v>
      </c>
      <c r="R140" t="s">
        <v>189</v>
      </c>
    </row>
    <row r="141" spans="1:18">
      <c r="A141" t="s">
        <v>836</v>
      </c>
      <c r="B141" t="s">
        <v>9</v>
      </c>
      <c r="C141" t="s">
        <v>2392</v>
      </c>
      <c r="D141" t="s">
        <v>3551</v>
      </c>
      <c r="E141">
        <v>58</v>
      </c>
      <c r="F141" t="s">
        <v>3557</v>
      </c>
      <c r="G141">
        <v>1</v>
      </c>
      <c r="H141">
        <v>0</v>
      </c>
      <c r="I141" t="s">
        <v>213</v>
      </c>
      <c r="J141">
        <v>153.46250000000001</v>
      </c>
      <c r="K141" t="s">
        <v>3582</v>
      </c>
      <c r="L141" t="s">
        <v>215</v>
      </c>
      <c r="M141" t="s">
        <v>62</v>
      </c>
      <c r="N141" t="s">
        <v>457</v>
      </c>
      <c r="O141">
        <v>3</v>
      </c>
      <c r="P141" t="s">
        <v>3573</v>
      </c>
      <c r="Q141" t="s">
        <v>3573</v>
      </c>
      <c r="R141" t="s">
        <v>212</v>
      </c>
    </row>
    <row r="142" spans="1:18">
      <c r="A142" t="s">
        <v>836</v>
      </c>
      <c r="B142" t="s">
        <v>9</v>
      </c>
      <c r="C142" t="s">
        <v>2393</v>
      </c>
      <c r="D142" t="s">
        <v>3552</v>
      </c>
      <c r="E142">
        <v>23</v>
      </c>
      <c r="F142" t="s">
        <v>3555</v>
      </c>
      <c r="G142">
        <v>1</v>
      </c>
      <c r="H142">
        <v>0</v>
      </c>
      <c r="I142" t="s">
        <v>216</v>
      </c>
      <c r="J142">
        <v>63.3583</v>
      </c>
      <c r="K142" t="s">
        <v>3582</v>
      </c>
      <c r="L142" t="s">
        <v>217</v>
      </c>
      <c r="M142" t="s">
        <v>59</v>
      </c>
      <c r="N142" t="s">
        <v>3566</v>
      </c>
      <c r="O142">
        <v>7</v>
      </c>
      <c r="P142" t="s">
        <v>3573</v>
      </c>
      <c r="Q142" t="s">
        <v>3573</v>
      </c>
      <c r="R142" t="s">
        <v>53</v>
      </c>
    </row>
    <row r="143" spans="1:18">
      <c r="A143" t="s">
        <v>836</v>
      </c>
      <c r="B143" t="s">
        <v>9</v>
      </c>
      <c r="C143" t="s">
        <v>2394</v>
      </c>
      <c r="D143" t="s">
        <v>3551</v>
      </c>
      <c r="E143">
        <v>45</v>
      </c>
      <c r="F143" t="s">
        <v>3557</v>
      </c>
      <c r="G143">
        <v>1</v>
      </c>
      <c r="H143">
        <v>0</v>
      </c>
      <c r="I143" t="s">
        <v>216</v>
      </c>
      <c r="J143">
        <v>63.3583</v>
      </c>
      <c r="K143" t="s">
        <v>3582</v>
      </c>
      <c r="L143" t="s">
        <v>217</v>
      </c>
      <c r="M143" t="s">
        <v>59</v>
      </c>
      <c r="N143" t="s">
        <v>3566</v>
      </c>
      <c r="O143">
        <v>7</v>
      </c>
      <c r="P143" t="s">
        <v>3573</v>
      </c>
      <c r="Q143" t="s">
        <v>3573</v>
      </c>
      <c r="R143" t="s">
        <v>53</v>
      </c>
    </row>
    <row r="144" spans="1:18">
      <c r="A144" t="s">
        <v>836</v>
      </c>
      <c r="B144" t="s">
        <v>840</v>
      </c>
      <c r="C144" t="s">
        <v>2395</v>
      </c>
      <c r="D144" t="s">
        <v>3552</v>
      </c>
      <c r="E144">
        <v>46</v>
      </c>
      <c r="F144" t="s">
        <v>3557</v>
      </c>
      <c r="G144">
        <v>0</v>
      </c>
      <c r="H144">
        <v>0</v>
      </c>
      <c r="I144" t="s">
        <v>204</v>
      </c>
      <c r="J144">
        <v>79.2</v>
      </c>
      <c r="K144" t="s">
        <v>3582</v>
      </c>
      <c r="L144" t="s">
        <v>218</v>
      </c>
      <c r="M144" t="s">
        <v>70</v>
      </c>
      <c r="N144" t="s">
        <v>3566</v>
      </c>
      <c r="O144" t="s">
        <v>3569</v>
      </c>
      <c r="P144" t="s">
        <v>3573</v>
      </c>
      <c r="Q144" t="s">
        <v>3573</v>
      </c>
      <c r="R144" t="s">
        <v>53</v>
      </c>
    </row>
    <row r="145" spans="1:18">
      <c r="A145" t="s">
        <v>836</v>
      </c>
      <c r="B145" t="s">
        <v>9</v>
      </c>
      <c r="C145" t="s">
        <v>2396</v>
      </c>
      <c r="D145" t="s">
        <v>3552</v>
      </c>
      <c r="E145">
        <v>25</v>
      </c>
      <c r="F145" t="s">
        <v>3555</v>
      </c>
      <c r="G145">
        <v>0</v>
      </c>
      <c r="H145">
        <v>1</v>
      </c>
      <c r="I145">
        <v>11765</v>
      </c>
      <c r="J145">
        <v>55.441699999999997</v>
      </c>
      <c r="K145" t="s">
        <v>3582</v>
      </c>
      <c r="L145" t="s">
        <v>219</v>
      </c>
      <c r="M145" t="s">
        <v>3564</v>
      </c>
      <c r="N145" t="s">
        <v>3566</v>
      </c>
      <c r="O145">
        <v>5</v>
      </c>
      <c r="P145" t="s">
        <v>3573</v>
      </c>
      <c r="Q145" t="s">
        <v>3573</v>
      </c>
      <c r="R145" t="s">
        <v>186</v>
      </c>
    </row>
    <row r="146" spans="1:18">
      <c r="A146" t="s">
        <v>836</v>
      </c>
      <c r="B146" t="s">
        <v>9</v>
      </c>
      <c r="C146" t="s">
        <v>2397</v>
      </c>
      <c r="D146" t="s">
        <v>3551</v>
      </c>
      <c r="E146">
        <v>25</v>
      </c>
      <c r="F146" t="s">
        <v>3555</v>
      </c>
      <c r="G146">
        <v>0</v>
      </c>
      <c r="H146">
        <v>1</v>
      </c>
      <c r="I146">
        <v>11765</v>
      </c>
      <c r="J146">
        <v>55.441699999999997</v>
      </c>
      <c r="K146" t="s">
        <v>3582</v>
      </c>
      <c r="L146" t="s">
        <v>219</v>
      </c>
      <c r="M146" t="s">
        <v>3564</v>
      </c>
      <c r="N146" t="s">
        <v>3566</v>
      </c>
      <c r="O146">
        <v>5</v>
      </c>
      <c r="P146" t="s">
        <v>3573</v>
      </c>
      <c r="Q146" t="s">
        <v>3573</v>
      </c>
      <c r="R146" t="s">
        <v>186</v>
      </c>
    </row>
    <row r="147" spans="1:18">
      <c r="A147" t="s">
        <v>836</v>
      </c>
      <c r="B147" t="s">
        <v>9</v>
      </c>
      <c r="C147" t="s">
        <v>2398</v>
      </c>
      <c r="D147" t="s">
        <v>3552</v>
      </c>
      <c r="E147">
        <v>48</v>
      </c>
      <c r="F147" t="s">
        <v>3557</v>
      </c>
      <c r="G147">
        <v>0</v>
      </c>
      <c r="H147">
        <v>1</v>
      </c>
      <c r="I147" t="s">
        <v>220</v>
      </c>
      <c r="J147">
        <v>76.729200000000006</v>
      </c>
      <c r="K147" t="s">
        <v>3582</v>
      </c>
      <c r="L147" t="s">
        <v>221</v>
      </c>
      <c r="M147" t="s">
        <v>59</v>
      </c>
      <c r="N147" t="s">
        <v>3566</v>
      </c>
      <c r="O147">
        <v>3</v>
      </c>
      <c r="P147" t="s">
        <v>3573</v>
      </c>
      <c r="Q147" t="s">
        <v>3573</v>
      </c>
      <c r="R147" t="s">
        <v>53</v>
      </c>
    </row>
    <row r="148" spans="1:18">
      <c r="A148" t="s">
        <v>836</v>
      </c>
      <c r="B148" t="s">
        <v>9</v>
      </c>
      <c r="C148" t="s">
        <v>2399</v>
      </c>
      <c r="D148" t="s">
        <v>3551</v>
      </c>
      <c r="E148">
        <v>49</v>
      </c>
      <c r="F148" t="s">
        <v>3557</v>
      </c>
      <c r="G148">
        <v>0</v>
      </c>
      <c r="H148">
        <v>1</v>
      </c>
      <c r="I148" t="s">
        <v>220</v>
      </c>
      <c r="J148">
        <v>76.729200000000006</v>
      </c>
      <c r="K148" t="s">
        <v>3582</v>
      </c>
      <c r="L148" t="s">
        <v>221</v>
      </c>
      <c r="M148" t="s">
        <v>59</v>
      </c>
      <c r="N148" t="s">
        <v>3566</v>
      </c>
      <c r="O148">
        <v>3</v>
      </c>
      <c r="P148" t="s">
        <v>3573</v>
      </c>
      <c r="Q148" t="s">
        <v>3573</v>
      </c>
      <c r="R148" t="s">
        <v>53</v>
      </c>
    </row>
    <row r="149" spans="1:18">
      <c r="A149" t="s">
        <v>836</v>
      </c>
      <c r="B149" t="s">
        <v>840</v>
      </c>
      <c r="C149" t="s">
        <v>2400</v>
      </c>
      <c r="D149" t="s">
        <v>3552</v>
      </c>
      <c r="E149">
        <v>28</v>
      </c>
      <c r="F149" t="s">
        <v>3555</v>
      </c>
      <c r="G149">
        <v>0</v>
      </c>
      <c r="H149">
        <v>0</v>
      </c>
      <c r="I149">
        <v>113796</v>
      </c>
      <c r="J149">
        <v>42.4</v>
      </c>
      <c r="K149" t="s">
        <v>3584</v>
      </c>
      <c r="L149" t="s">
        <v>3561</v>
      </c>
      <c r="M149" t="s">
        <v>3561</v>
      </c>
      <c r="N149" t="s">
        <v>457</v>
      </c>
      <c r="O149" t="s">
        <v>3569</v>
      </c>
      <c r="P149" t="s">
        <v>3573</v>
      </c>
      <c r="Q149" t="s">
        <v>3573</v>
      </c>
    </row>
    <row r="150" spans="1:18">
      <c r="A150" t="s">
        <v>836</v>
      </c>
      <c r="B150" t="s">
        <v>840</v>
      </c>
      <c r="C150" t="s">
        <v>2401</v>
      </c>
      <c r="D150" t="s">
        <v>3552</v>
      </c>
      <c r="E150">
        <v>45</v>
      </c>
      <c r="F150" t="s">
        <v>3557</v>
      </c>
      <c r="G150">
        <v>0</v>
      </c>
      <c r="H150">
        <v>1</v>
      </c>
      <c r="I150">
        <v>36973</v>
      </c>
      <c r="J150">
        <v>83.474999999999994</v>
      </c>
      <c r="K150" t="s">
        <v>3582</v>
      </c>
      <c r="L150" t="s">
        <v>222</v>
      </c>
      <c r="M150" t="s">
        <v>62</v>
      </c>
      <c r="N150" t="s">
        <v>457</v>
      </c>
      <c r="O150" t="s">
        <v>3569</v>
      </c>
      <c r="P150" t="s">
        <v>3573</v>
      </c>
      <c r="Q150" t="s">
        <v>3573</v>
      </c>
      <c r="R150" t="s">
        <v>53</v>
      </c>
    </row>
    <row r="151" spans="1:18">
      <c r="A151" t="s">
        <v>836</v>
      </c>
      <c r="B151" t="s">
        <v>9</v>
      </c>
      <c r="C151" t="s">
        <v>2402</v>
      </c>
      <c r="D151" t="s">
        <v>3551</v>
      </c>
      <c r="E151">
        <v>35</v>
      </c>
      <c r="F151" t="s">
        <v>3557</v>
      </c>
      <c r="G151">
        <v>0</v>
      </c>
      <c r="H151">
        <v>1</v>
      </c>
      <c r="I151">
        <v>36973</v>
      </c>
      <c r="J151">
        <v>83.474999999999994</v>
      </c>
      <c r="K151" t="s">
        <v>3582</v>
      </c>
      <c r="L151" t="s">
        <v>222</v>
      </c>
      <c r="M151" t="s">
        <v>62</v>
      </c>
      <c r="N151" t="s">
        <v>457</v>
      </c>
      <c r="O151" t="s">
        <v>59</v>
      </c>
      <c r="P151" t="s">
        <v>3573</v>
      </c>
      <c r="Q151" t="s">
        <v>3573</v>
      </c>
      <c r="R151" t="s">
        <v>53</v>
      </c>
    </row>
    <row r="152" spans="1:18">
      <c r="A152" t="s">
        <v>836</v>
      </c>
      <c r="B152" t="s">
        <v>840</v>
      </c>
      <c r="C152" t="s">
        <v>2403</v>
      </c>
      <c r="D152" t="s">
        <v>3552</v>
      </c>
      <c r="E152">
        <v>40</v>
      </c>
      <c r="F152" t="s">
        <v>3557</v>
      </c>
      <c r="G152">
        <v>0</v>
      </c>
      <c r="H152">
        <v>0</v>
      </c>
      <c r="I152">
        <v>112059</v>
      </c>
      <c r="J152">
        <v>0</v>
      </c>
      <c r="K152" t="s">
        <v>3583</v>
      </c>
      <c r="L152" t="s">
        <v>223</v>
      </c>
      <c r="M152" t="s">
        <v>70</v>
      </c>
      <c r="N152" t="s">
        <v>457</v>
      </c>
      <c r="O152" t="s">
        <v>3569</v>
      </c>
      <c r="P152">
        <v>110</v>
      </c>
      <c r="Q152" t="s">
        <v>3574</v>
      </c>
    </row>
    <row r="153" spans="1:18">
      <c r="A153" t="s">
        <v>836</v>
      </c>
      <c r="B153" t="s">
        <v>9</v>
      </c>
      <c r="C153" t="s">
        <v>2404</v>
      </c>
      <c r="D153" t="s">
        <v>3552</v>
      </c>
      <c r="E153">
        <v>27</v>
      </c>
      <c r="F153" t="s">
        <v>3555</v>
      </c>
      <c r="G153">
        <v>0</v>
      </c>
      <c r="H153">
        <v>0</v>
      </c>
      <c r="I153" t="s">
        <v>220</v>
      </c>
      <c r="J153">
        <v>76.729200000000006</v>
      </c>
      <c r="K153" t="s">
        <v>3582</v>
      </c>
      <c r="L153" t="s">
        <v>224</v>
      </c>
      <c r="M153" t="s">
        <v>59</v>
      </c>
      <c r="N153" t="s">
        <v>3566</v>
      </c>
      <c r="O153">
        <v>3</v>
      </c>
      <c r="P153" t="s">
        <v>3573</v>
      </c>
      <c r="Q153" t="s">
        <v>3573</v>
      </c>
    </row>
    <row r="154" spans="1:18">
      <c r="A154" t="s">
        <v>836</v>
      </c>
      <c r="B154" t="s">
        <v>9</v>
      </c>
      <c r="C154" t="s">
        <v>2405</v>
      </c>
      <c r="D154" t="s">
        <v>3552</v>
      </c>
      <c r="E154">
        <v>28</v>
      </c>
      <c r="F154" t="s">
        <v>3555</v>
      </c>
      <c r="G154">
        <v>0</v>
      </c>
      <c r="H154">
        <v>0</v>
      </c>
      <c r="I154">
        <v>16988</v>
      </c>
      <c r="J154">
        <v>30</v>
      </c>
      <c r="K154" t="s">
        <v>3584</v>
      </c>
      <c r="L154" t="s">
        <v>225</v>
      </c>
      <c r="M154" t="s">
        <v>59</v>
      </c>
      <c r="N154" t="s">
        <v>457</v>
      </c>
      <c r="O154">
        <v>3</v>
      </c>
      <c r="P154" t="s">
        <v>3573</v>
      </c>
      <c r="Q154" t="s">
        <v>3573</v>
      </c>
      <c r="R154" t="s">
        <v>226</v>
      </c>
    </row>
    <row r="155" spans="1:18">
      <c r="A155" t="s">
        <v>836</v>
      </c>
      <c r="B155" t="s">
        <v>9</v>
      </c>
      <c r="C155" t="s">
        <v>2406</v>
      </c>
      <c r="D155" t="s">
        <v>3551</v>
      </c>
      <c r="E155">
        <v>24</v>
      </c>
      <c r="F155" t="s">
        <v>3555</v>
      </c>
      <c r="G155">
        <v>0</v>
      </c>
      <c r="H155">
        <v>0</v>
      </c>
      <c r="I155">
        <v>11767</v>
      </c>
      <c r="J155">
        <v>83.158299999999997</v>
      </c>
      <c r="K155" t="s">
        <v>3582</v>
      </c>
      <c r="L155" t="s">
        <v>175</v>
      </c>
      <c r="M155" t="s">
        <v>62</v>
      </c>
      <c r="N155" t="s">
        <v>3566</v>
      </c>
      <c r="O155">
        <v>7</v>
      </c>
      <c r="P155" t="s">
        <v>3573</v>
      </c>
      <c r="Q155" t="s">
        <v>3573</v>
      </c>
      <c r="R155" t="s">
        <v>53</v>
      </c>
    </row>
    <row r="156" spans="1:18">
      <c r="A156" t="s">
        <v>836</v>
      </c>
      <c r="B156" t="s">
        <v>840</v>
      </c>
      <c r="C156" t="s">
        <v>2407</v>
      </c>
      <c r="D156" t="s">
        <v>3552</v>
      </c>
      <c r="E156">
        <v>55</v>
      </c>
      <c r="F156" t="s">
        <v>3557</v>
      </c>
      <c r="G156">
        <v>1</v>
      </c>
      <c r="H156">
        <v>1</v>
      </c>
      <c r="I156">
        <v>12749</v>
      </c>
      <c r="J156">
        <v>93.5</v>
      </c>
      <c r="K156" t="s">
        <v>3582</v>
      </c>
      <c r="L156" t="s">
        <v>227</v>
      </c>
      <c r="M156" t="s">
        <v>70</v>
      </c>
      <c r="N156" t="s">
        <v>457</v>
      </c>
      <c r="O156" t="s">
        <v>3569</v>
      </c>
      <c r="P156">
        <v>307</v>
      </c>
      <c r="Q156" t="s">
        <v>3574</v>
      </c>
      <c r="R156" t="s">
        <v>75</v>
      </c>
    </row>
    <row r="157" spans="1:18">
      <c r="A157" t="s">
        <v>836</v>
      </c>
      <c r="B157" t="s">
        <v>9</v>
      </c>
      <c r="C157" t="s">
        <v>2408</v>
      </c>
      <c r="D157" t="s">
        <v>3551</v>
      </c>
      <c r="E157">
        <v>52</v>
      </c>
      <c r="F157" t="s">
        <v>3557</v>
      </c>
      <c r="G157">
        <v>1</v>
      </c>
      <c r="H157">
        <v>1</v>
      </c>
      <c r="I157">
        <v>12749</v>
      </c>
      <c r="J157">
        <v>93.5</v>
      </c>
      <c r="K157" t="s">
        <v>3582</v>
      </c>
      <c r="L157" t="s">
        <v>227</v>
      </c>
      <c r="M157" t="s">
        <v>70</v>
      </c>
      <c r="N157" t="s">
        <v>457</v>
      </c>
      <c r="O157">
        <v>3</v>
      </c>
      <c r="P157" t="s">
        <v>3573</v>
      </c>
      <c r="Q157" t="s">
        <v>3573</v>
      </c>
      <c r="R157" t="s">
        <v>75</v>
      </c>
    </row>
    <row r="158" spans="1:18">
      <c r="A158" t="s">
        <v>836</v>
      </c>
      <c r="B158" t="s">
        <v>840</v>
      </c>
      <c r="C158" t="s">
        <v>2409</v>
      </c>
      <c r="D158" t="s">
        <v>3552</v>
      </c>
      <c r="E158">
        <v>42</v>
      </c>
      <c r="F158" t="s">
        <v>3557</v>
      </c>
      <c r="G158">
        <v>0</v>
      </c>
      <c r="H158">
        <v>0</v>
      </c>
      <c r="I158">
        <v>113038</v>
      </c>
      <c r="J158">
        <v>42.5</v>
      </c>
      <c r="K158" t="s">
        <v>3584</v>
      </c>
      <c r="L158" t="s">
        <v>228</v>
      </c>
      <c r="M158" t="s">
        <v>70</v>
      </c>
      <c r="N158" t="s">
        <v>457</v>
      </c>
      <c r="O158" t="s">
        <v>3569</v>
      </c>
      <c r="P158" t="s">
        <v>3573</v>
      </c>
      <c r="Q158" t="s">
        <v>3573</v>
      </c>
      <c r="R158" t="s">
        <v>229</v>
      </c>
    </row>
    <row r="159" spans="1:18">
      <c r="A159" t="s">
        <v>836</v>
      </c>
      <c r="B159" t="s">
        <v>840</v>
      </c>
      <c r="C159" t="s">
        <v>2410</v>
      </c>
      <c r="D159" t="s">
        <v>3552</v>
      </c>
      <c r="E159">
        <v>28</v>
      </c>
      <c r="F159" t="s">
        <v>3555</v>
      </c>
      <c r="G159">
        <v>0</v>
      </c>
      <c r="H159">
        <v>0</v>
      </c>
      <c r="I159">
        <v>17463</v>
      </c>
      <c r="J159">
        <v>51.862499999999997</v>
      </c>
      <c r="K159" t="s">
        <v>3582</v>
      </c>
      <c r="L159" t="s">
        <v>230</v>
      </c>
      <c r="M159" t="s">
        <v>3564</v>
      </c>
      <c r="N159" t="s">
        <v>457</v>
      </c>
      <c r="O159" t="s">
        <v>3569</v>
      </c>
      <c r="P159" t="s">
        <v>3573</v>
      </c>
      <c r="Q159" t="s">
        <v>3573</v>
      </c>
      <c r="R159" t="s">
        <v>231</v>
      </c>
    </row>
    <row r="160" spans="1:18">
      <c r="A160" t="s">
        <v>836</v>
      </c>
      <c r="B160" t="s">
        <v>840</v>
      </c>
      <c r="C160" t="s">
        <v>2411</v>
      </c>
      <c r="D160" t="s">
        <v>3552</v>
      </c>
      <c r="E160">
        <v>55</v>
      </c>
      <c r="F160" t="s">
        <v>3557</v>
      </c>
      <c r="G160">
        <v>0</v>
      </c>
      <c r="H160">
        <v>0</v>
      </c>
      <c r="I160">
        <v>680</v>
      </c>
      <c r="J160">
        <v>50</v>
      </c>
      <c r="K160" t="s">
        <v>3584</v>
      </c>
      <c r="L160" t="s">
        <v>232</v>
      </c>
      <c r="M160" t="s">
        <v>62</v>
      </c>
      <c r="N160" t="s">
        <v>457</v>
      </c>
      <c r="O160" t="s">
        <v>3569</v>
      </c>
      <c r="P160" t="s">
        <v>3573</v>
      </c>
      <c r="Q160" t="s">
        <v>3573</v>
      </c>
      <c r="R160" t="s">
        <v>233</v>
      </c>
    </row>
    <row r="161" spans="1:18">
      <c r="A161" t="s">
        <v>836</v>
      </c>
      <c r="B161" t="s">
        <v>9</v>
      </c>
      <c r="C161" t="s">
        <v>2412</v>
      </c>
      <c r="D161" t="s">
        <v>3551</v>
      </c>
      <c r="E161">
        <v>16</v>
      </c>
      <c r="F161" t="s">
        <v>3560</v>
      </c>
      <c r="G161">
        <v>1</v>
      </c>
      <c r="H161">
        <v>0</v>
      </c>
      <c r="I161">
        <v>111361</v>
      </c>
      <c r="J161">
        <v>57.979199999999999</v>
      </c>
      <c r="K161" t="s">
        <v>3582</v>
      </c>
      <c r="L161" t="s">
        <v>234</v>
      </c>
      <c r="M161" t="s">
        <v>70</v>
      </c>
      <c r="N161" t="s">
        <v>3566</v>
      </c>
      <c r="O161">
        <v>4</v>
      </c>
      <c r="P161" t="s">
        <v>3573</v>
      </c>
      <c r="Q161" t="s">
        <v>3573</v>
      </c>
      <c r="R161" t="s">
        <v>235</v>
      </c>
    </row>
    <row r="162" spans="1:18">
      <c r="A162" t="s">
        <v>836</v>
      </c>
      <c r="B162" t="s">
        <v>9</v>
      </c>
      <c r="C162" t="s">
        <v>2413</v>
      </c>
      <c r="D162" t="s">
        <v>3551</v>
      </c>
      <c r="E162">
        <v>44</v>
      </c>
      <c r="F162" t="s">
        <v>3557</v>
      </c>
      <c r="G162">
        <v>1</v>
      </c>
      <c r="H162">
        <v>0</v>
      </c>
      <c r="I162">
        <v>111361</v>
      </c>
      <c r="J162">
        <v>57.979199999999999</v>
      </c>
      <c r="K162" t="s">
        <v>3582</v>
      </c>
      <c r="L162" t="s">
        <v>234</v>
      </c>
      <c r="M162" t="s">
        <v>70</v>
      </c>
      <c r="N162" t="s">
        <v>3566</v>
      </c>
      <c r="O162">
        <v>4</v>
      </c>
      <c r="P162" t="s">
        <v>3573</v>
      </c>
      <c r="Q162" t="s">
        <v>3573</v>
      </c>
      <c r="R162" t="s">
        <v>235</v>
      </c>
    </row>
    <row r="163" spans="1:18">
      <c r="A163" t="s">
        <v>836</v>
      </c>
      <c r="B163" t="s">
        <v>9</v>
      </c>
      <c r="C163" t="s">
        <v>2414</v>
      </c>
      <c r="D163" t="s">
        <v>3551</v>
      </c>
      <c r="E163">
        <v>51</v>
      </c>
      <c r="F163" t="s">
        <v>3557</v>
      </c>
      <c r="G163">
        <v>0</v>
      </c>
      <c r="H163">
        <v>1</v>
      </c>
      <c r="I163">
        <v>13502</v>
      </c>
      <c r="J163">
        <v>77.958299999999994</v>
      </c>
      <c r="K163" t="s">
        <v>3582</v>
      </c>
      <c r="L163" t="s">
        <v>236</v>
      </c>
      <c r="M163" t="s">
        <v>59</v>
      </c>
      <c r="N163" t="s">
        <v>457</v>
      </c>
      <c r="O163">
        <v>10</v>
      </c>
      <c r="P163" t="s">
        <v>3573</v>
      </c>
      <c r="Q163" t="s">
        <v>3573</v>
      </c>
      <c r="R163" t="s">
        <v>55</v>
      </c>
    </row>
    <row r="164" spans="1:18">
      <c r="A164" t="s">
        <v>836</v>
      </c>
      <c r="B164" t="s">
        <v>840</v>
      </c>
      <c r="C164" t="s">
        <v>2415</v>
      </c>
      <c r="D164" t="s">
        <v>3552</v>
      </c>
      <c r="E164">
        <v>42</v>
      </c>
      <c r="F164" t="s">
        <v>3557</v>
      </c>
      <c r="G164">
        <v>0</v>
      </c>
      <c r="H164">
        <v>1</v>
      </c>
      <c r="I164">
        <v>113789</v>
      </c>
      <c r="J164">
        <v>52</v>
      </c>
      <c r="K164" t="s">
        <v>3582</v>
      </c>
      <c r="L164" t="s">
        <v>3561</v>
      </c>
      <c r="M164" t="s">
        <v>3561</v>
      </c>
      <c r="N164" t="s">
        <v>457</v>
      </c>
      <c r="O164" t="s">
        <v>3569</v>
      </c>
      <c r="P164">
        <v>38</v>
      </c>
      <c r="Q164" t="s">
        <v>3574</v>
      </c>
      <c r="R164" t="s">
        <v>53</v>
      </c>
    </row>
    <row r="165" spans="1:18">
      <c r="A165" t="s">
        <v>836</v>
      </c>
      <c r="B165" t="s">
        <v>9</v>
      </c>
      <c r="C165" t="s">
        <v>2416</v>
      </c>
      <c r="D165" t="s">
        <v>3551</v>
      </c>
      <c r="E165">
        <v>35</v>
      </c>
      <c r="F165" t="s">
        <v>3557</v>
      </c>
      <c r="G165">
        <v>0</v>
      </c>
      <c r="H165">
        <v>1</v>
      </c>
      <c r="I165">
        <v>113789</v>
      </c>
      <c r="J165">
        <v>52</v>
      </c>
      <c r="K165" t="s">
        <v>3582</v>
      </c>
      <c r="L165" t="s">
        <v>3561</v>
      </c>
      <c r="M165" t="s">
        <v>3561</v>
      </c>
      <c r="N165" t="s">
        <v>457</v>
      </c>
      <c r="O165">
        <v>8</v>
      </c>
      <c r="P165" t="s">
        <v>3573</v>
      </c>
      <c r="Q165" t="s">
        <v>3573</v>
      </c>
      <c r="R165" t="s">
        <v>53</v>
      </c>
    </row>
    <row r="166" spans="1:18">
      <c r="A166" t="s">
        <v>836</v>
      </c>
      <c r="B166" t="s">
        <v>9</v>
      </c>
      <c r="C166" t="s">
        <v>2417</v>
      </c>
      <c r="D166" t="s">
        <v>3552</v>
      </c>
      <c r="E166">
        <v>35</v>
      </c>
      <c r="F166" t="s">
        <v>3557</v>
      </c>
      <c r="G166">
        <v>0</v>
      </c>
      <c r="H166">
        <v>0</v>
      </c>
      <c r="I166">
        <v>111426</v>
      </c>
      <c r="J166">
        <v>26.55</v>
      </c>
      <c r="K166" t="s">
        <v>3584</v>
      </c>
      <c r="L166" t="s">
        <v>3561</v>
      </c>
      <c r="M166" t="s">
        <v>3561</v>
      </c>
      <c r="N166" t="s">
        <v>3566</v>
      </c>
      <c r="O166">
        <v>15</v>
      </c>
      <c r="P166" t="s">
        <v>3573</v>
      </c>
      <c r="Q166" t="s">
        <v>3573</v>
      </c>
      <c r="R166" t="s">
        <v>237</v>
      </c>
    </row>
    <row r="167" spans="1:18">
      <c r="A167" t="s">
        <v>836</v>
      </c>
      <c r="B167" t="s">
        <v>9</v>
      </c>
      <c r="C167" t="s">
        <v>2418</v>
      </c>
      <c r="D167" t="s">
        <v>3552</v>
      </c>
      <c r="E167">
        <v>38</v>
      </c>
      <c r="F167" t="s">
        <v>3557</v>
      </c>
      <c r="G167">
        <v>0</v>
      </c>
      <c r="H167">
        <v>1</v>
      </c>
      <c r="I167">
        <v>19943</v>
      </c>
      <c r="J167">
        <v>90</v>
      </c>
      <c r="K167" t="s">
        <v>3582</v>
      </c>
      <c r="L167" t="s">
        <v>238</v>
      </c>
      <c r="M167" t="s">
        <v>62</v>
      </c>
      <c r="N167" t="s">
        <v>457</v>
      </c>
      <c r="O167" t="s">
        <v>59</v>
      </c>
      <c r="P167" t="s">
        <v>3573</v>
      </c>
      <c r="Q167" t="s">
        <v>3573</v>
      </c>
      <c r="R167" t="s">
        <v>239</v>
      </c>
    </row>
    <row r="168" spans="1:18">
      <c r="A168" t="s">
        <v>836</v>
      </c>
      <c r="B168" t="s">
        <v>840</v>
      </c>
      <c r="C168" t="s">
        <v>2419</v>
      </c>
      <c r="D168" t="s">
        <v>3552</v>
      </c>
      <c r="E168">
        <v>28</v>
      </c>
      <c r="F168" t="s">
        <v>3555</v>
      </c>
      <c r="G168">
        <v>0</v>
      </c>
      <c r="H168">
        <v>0</v>
      </c>
      <c r="I168" t="s">
        <v>240</v>
      </c>
      <c r="J168">
        <v>30.695799999999998</v>
      </c>
      <c r="K168" t="s">
        <v>3584</v>
      </c>
      <c r="L168" t="s">
        <v>3561</v>
      </c>
      <c r="M168" t="s">
        <v>3561</v>
      </c>
      <c r="N168" t="s">
        <v>3566</v>
      </c>
      <c r="O168">
        <v>14</v>
      </c>
      <c r="P168" t="s">
        <v>3573</v>
      </c>
      <c r="Q168" t="s">
        <v>3573</v>
      </c>
      <c r="R168" t="s">
        <v>53</v>
      </c>
    </row>
    <row r="169" spans="1:18">
      <c r="A169" t="s">
        <v>836</v>
      </c>
      <c r="B169" t="s">
        <v>9</v>
      </c>
      <c r="C169" t="s">
        <v>2420</v>
      </c>
      <c r="D169" t="s">
        <v>3551</v>
      </c>
      <c r="E169">
        <v>35</v>
      </c>
      <c r="F169" t="s">
        <v>3557</v>
      </c>
      <c r="G169">
        <v>0</v>
      </c>
      <c r="H169">
        <v>1</v>
      </c>
      <c r="I169">
        <v>19943</v>
      </c>
      <c r="J169">
        <v>90</v>
      </c>
      <c r="K169" t="s">
        <v>3582</v>
      </c>
      <c r="L169" t="s">
        <v>238</v>
      </c>
      <c r="M169" t="s">
        <v>62</v>
      </c>
      <c r="N169" t="s">
        <v>457</v>
      </c>
      <c r="O169" t="s">
        <v>59</v>
      </c>
      <c r="P169" t="s">
        <v>3573</v>
      </c>
      <c r="Q169" t="s">
        <v>3573</v>
      </c>
      <c r="R169" t="s">
        <v>239</v>
      </c>
    </row>
    <row r="170" spans="1:18">
      <c r="A170" t="s">
        <v>836</v>
      </c>
      <c r="B170" t="s">
        <v>9</v>
      </c>
      <c r="C170" t="s">
        <v>2421</v>
      </c>
      <c r="D170" t="s">
        <v>3551</v>
      </c>
      <c r="E170">
        <v>38</v>
      </c>
      <c r="F170" t="s">
        <v>3557</v>
      </c>
      <c r="G170">
        <v>0</v>
      </c>
      <c r="H170">
        <v>0</v>
      </c>
      <c r="I170">
        <v>113572</v>
      </c>
      <c r="J170">
        <v>80</v>
      </c>
      <c r="K170" t="s">
        <v>3582</v>
      </c>
      <c r="L170" t="s">
        <v>241</v>
      </c>
      <c r="M170" t="s">
        <v>70</v>
      </c>
      <c r="N170" t="s">
        <v>3561</v>
      </c>
      <c r="O170">
        <v>6</v>
      </c>
      <c r="P170" t="s">
        <v>3573</v>
      </c>
      <c r="Q170" t="s">
        <v>3573</v>
      </c>
    </row>
    <row r="171" spans="1:18">
      <c r="A171" t="s">
        <v>836</v>
      </c>
      <c r="B171" t="s">
        <v>840</v>
      </c>
      <c r="C171" t="s">
        <v>2422</v>
      </c>
      <c r="D171" t="s">
        <v>3551</v>
      </c>
      <c r="E171">
        <v>50</v>
      </c>
      <c r="F171" t="s">
        <v>3557</v>
      </c>
      <c r="G171">
        <v>0</v>
      </c>
      <c r="H171">
        <v>0</v>
      </c>
      <c r="I171" t="s">
        <v>242</v>
      </c>
      <c r="J171">
        <v>28.712499999999999</v>
      </c>
      <c r="K171" t="s">
        <v>3584</v>
      </c>
      <c r="L171" t="s">
        <v>243</v>
      </c>
      <c r="M171" t="s">
        <v>62</v>
      </c>
      <c r="N171" t="s">
        <v>3566</v>
      </c>
      <c r="O171" t="s">
        <v>3569</v>
      </c>
      <c r="P171" t="s">
        <v>3573</v>
      </c>
      <c r="Q171" t="s">
        <v>3573</v>
      </c>
      <c r="R171" t="s">
        <v>244</v>
      </c>
    </row>
    <row r="172" spans="1:18">
      <c r="A172" t="s">
        <v>836</v>
      </c>
      <c r="B172" t="s">
        <v>9</v>
      </c>
      <c r="C172" t="s">
        <v>2423</v>
      </c>
      <c r="D172" t="s">
        <v>3552</v>
      </c>
      <c r="E172">
        <v>49</v>
      </c>
      <c r="F172" t="s">
        <v>3557</v>
      </c>
      <c r="G172">
        <v>0</v>
      </c>
      <c r="H172">
        <v>0</v>
      </c>
      <c r="I172">
        <v>112058</v>
      </c>
      <c r="J172">
        <v>0</v>
      </c>
      <c r="K172" t="s">
        <v>3583</v>
      </c>
      <c r="L172" t="s">
        <v>245</v>
      </c>
      <c r="M172" t="s">
        <v>70</v>
      </c>
      <c r="N172" t="s">
        <v>457</v>
      </c>
      <c r="O172" t="s">
        <v>62</v>
      </c>
      <c r="P172" t="s">
        <v>3573</v>
      </c>
      <c r="Q172" t="s">
        <v>3573</v>
      </c>
      <c r="R172" t="s">
        <v>246</v>
      </c>
    </row>
    <row r="173" spans="1:18">
      <c r="A173" t="s">
        <v>836</v>
      </c>
      <c r="B173" t="s">
        <v>840</v>
      </c>
      <c r="C173" t="s">
        <v>2424</v>
      </c>
      <c r="D173" t="s">
        <v>3552</v>
      </c>
      <c r="E173">
        <v>46</v>
      </c>
      <c r="F173" t="s">
        <v>3557</v>
      </c>
      <c r="G173">
        <v>0</v>
      </c>
      <c r="H173">
        <v>0</v>
      </c>
      <c r="I173">
        <v>694</v>
      </c>
      <c r="J173">
        <v>26</v>
      </c>
      <c r="K173" t="s">
        <v>3584</v>
      </c>
      <c r="L173" t="s">
        <v>3561</v>
      </c>
      <c r="M173" t="s">
        <v>3561</v>
      </c>
      <c r="N173" t="s">
        <v>457</v>
      </c>
      <c r="O173" t="s">
        <v>3569</v>
      </c>
      <c r="P173">
        <v>80</v>
      </c>
      <c r="Q173" t="s">
        <v>3574</v>
      </c>
      <c r="R173" t="s">
        <v>247</v>
      </c>
    </row>
    <row r="174" spans="1:18">
      <c r="A174" t="s">
        <v>836</v>
      </c>
      <c r="B174" t="s">
        <v>840</v>
      </c>
      <c r="C174" t="s">
        <v>2425</v>
      </c>
      <c r="D174" t="s">
        <v>3552</v>
      </c>
      <c r="E174">
        <v>50</v>
      </c>
      <c r="F174" t="s">
        <v>3557</v>
      </c>
      <c r="G174">
        <v>0</v>
      </c>
      <c r="H174">
        <v>0</v>
      </c>
      <c r="I174">
        <v>113044</v>
      </c>
      <c r="J174">
        <v>26</v>
      </c>
      <c r="K174" t="s">
        <v>3584</v>
      </c>
      <c r="L174" t="s">
        <v>248</v>
      </c>
      <c r="M174" t="s">
        <v>3564</v>
      </c>
      <c r="N174" t="s">
        <v>457</v>
      </c>
      <c r="O174" t="s">
        <v>3569</v>
      </c>
      <c r="P174" t="s">
        <v>3573</v>
      </c>
      <c r="Q174" t="s">
        <v>3573</v>
      </c>
      <c r="R174" t="s">
        <v>249</v>
      </c>
    </row>
    <row r="175" spans="1:18">
      <c r="A175" t="s">
        <v>836</v>
      </c>
      <c r="B175" t="s">
        <v>840</v>
      </c>
      <c r="C175" t="s">
        <v>2426</v>
      </c>
      <c r="D175" t="s">
        <v>3552</v>
      </c>
      <c r="E175">
        <v>33</v>
      </c>
      <c r="F175" t="s">
        <v>3557</v>
      </c>
      <c r="G175">
        <v>0</v>
      </c>
      <c r="H175">
        <v>0</v>
      </c>
      <c r="I175">
        <v>113503</v>
      </c>
      <c r="J175">
        <v>211.5</v>
      </c>
      <c r="K175" t="s">
        <v>3582</v>
      </c>
      <c r="L175" t="s">
        <v>250</v>
      </c>
      <c r="M175" t="s">
        <v>62</v>
      </c>
      <c r="N175" t="s">
        <v>3566</v>
      </c>
      <c r="O175" t="s">
        <v>3569</v>
      </c>
      <c r="P175">
        <v>45</v>
      </c>
      <c r="Q175" t="s">
        <v>3574</v>
      </c>
    </row>
    <row r="176" spans="1:18">
      <c r="A176" t="s">
        <v>836</v>
      </c>
      <c r="B176" t="s">
        <v>840</v>
      </c>
      <c r="C176" t="s">
        <v>2427</v>
      </c>
      <c r="D176" t="s">
        <v>3552</v>
      </c>
      <c r="E176">
        <v>58</v>
      </c>
      <c r="F176" t="s">
        <v>3557</v>
      </c>
      <c r="G176">
        <v>0</v>
      </c>
      <c r="H176">
        <v>0</v>
      </c>
      <c r="I176">
        <v>11771</v>
      </c>
      <c r="J176">
        <v>29.7</v>
      </c>
      <c r="K176" t="s">
        <v>3584</v>
      </c>
      <c r="L176" t="s">
        <v>251</v>
      </c>
      <c r="M176" t="s">
        <v>70</v>
      </c>
      <c r="N176" t="s">
        <v>3566</v>
      </c>
      <c r="O176" t="s">
        <v>3569</v>
      </c>
      <c r="P176">
        <v>258</v>
      </c>
      <c r="Q176" t="s">
        <v>3574</v>
      </c>
      <c r="R176" t="s">
        <v>252</v>
      </c>
    </row>
    <row r="177" spans="1:18">
      <c r="A177" t="s">
        <v>836</v>
      </c>
      <c r="B177" t="s">
        <v>840</v>
      </c>
      <c r="C177" t="s">
        <v>2428</v>
      </c>
      <c r="D177" t="s">
        <v>3552</v>
      </c>
      <c r="E177">
        <v>41</v>
      </c>
      <c r="F177" t="s">
        <v>3557</v>
      </c>
      <c r="G177">
        <v>0</v>
      </c>
      <c r="H177">
        <v>1</v>
      </c>
      <c r="I177">
        <v>17464</v>
      </c>
      <c r="J177">
        <v>51.862499999999997</v>
      </c>
      <c r="K177" t="s">
        <v>3582</v>
      </c>
      <c r="L177" t="s">
        <v>253</v>
      </c>
      <c r="M177" t="s">
        <v>59</v>
      </c>
      <c r="N177" t="s">
        <v>457</v>
      </c>
      <c r="O177" t="s">
        <v>3569</v>
      </c>
      <c r="P177" t="s">
        <v>3573</v>
      </c>
      <c r="Q177" t="s">
        <v>3573</v>
      </c>
      <c r="R177" t="s">
        <v>254</v>
      </c>
    </row>
    <row r="178" spans="1:18">
      <c r="A178" t="s">
        <v>836</v>
      </c>
      <c r="B178" t="s">
        <v>9</v>
      </c>
      <c r="C178" t="s">
        <v>2429</v>
      </c>
      <c r="D178" t="s">
        <v>3551</v>
      </c>
      <c r="E178">
        <v>28</v>
      </c>
      <c r="F178" t="s">
        <v>3555</v>
      </c>
      <c r="G178">
        <v>0</v>
      </c>
      <c r="H178">
        <v>1</v>
      </c>
      <c r="I178">
        <v>17464</v>
      </c>
      <c r="J178">
        <v>51.862499999999997</v>
      </c>
      <c r="K178" t="s">
        <v>3582</v>
      </c>
      <c r="L178" t="s">
        <v>253</v>
      </c>
      <c r="M178" t="s">
        <v>59</v>
      </c>
      <c r="N178" t="s">
        <v>457</v>
      </c>
      <c r="O178">
        <v>8</v>
      </c>
      <c r="P178" t="s">
        <v>3573</v>
      </c>
      <c r="Q178" t="s">
        <v>3573</v>
      </c>
      <c r="R178" t="s">
        <v>254</v>
      </c>
    </row>
    <row r="179" spans="1:18">
      <c r="A179" t="s">
        <v>836</v>
      </c>
      <c r="B179" t="s">
        <v>9</v>
      </c>
      <c r="C179" t="s">
        <v>2430</v>
      </c>
      <c r="D179" t="s">
        <v>3552</v>
      </c>
      <c r="E179">
        <v>42</v>
      </c>
      <c r="F179" t="s">
        <v>3557</v>
      </c>
      <c r="G179">
        <v>0</v>
      </c>
      <c r="H179">
        <v>1</v>
      </c>
      <c r="I179">
        <v>11753</v>
      </c>
      <c r="J179">
        <v>52.554200000000002</v>
      </c>
      <c r="K179" t="s">
        <v>3582</v>
      </c>
      <c r="L179" t="s">
        <v>255</v>
      </c>
      <c r="M179" t="s">
        <v>59</v>
      </c>
      <c r="N179" t="s">
        <v>457</v>
      </c>
      <c r="O179">
        <v>5</v>
      </c>
      <c r="P179" t="s">
        <v>3573</v>
      </c>
      <c r="Q179" t="s">
        <v>3573</v>
      </c>
      <c r="R179" t="s">
        <v>256</v>
      </c>
    </row>
    <row r="180" spans="1:18">
      <c r="A180" t="s">
        <v>836</v>
      </c>
      <c r="B180" t="s">
        <v>9</v>
      </c>
      <c r="C180" t="s">
        <v>2431</v>
      </c>
      <c r="D180" t="s">
        <v>3551</v>
      </c>
      <c r="E180">
        <v>45</v>
      </c>
      <c r="F180" t="s">
        <v>3557</v>
      </c>
      <c r="G180">
        <v>0</v>
      </c>
      <c r="H180">
        <v>1</v>
      </c>
      <c r="I180">
        <v>11753</v>
      </c>
      <c r="J180">
        <v>52.554200000000002</v>
      </c>
      <c r="K180" t="s">
        <v>3582</v>
      </c>
      <c r="L180" t="s">
        <v>255</v>
      </c>
      <c r="M180" t="s">
        <v>59</v>
      </c>
      <c r="N180" t="s">
        <v>457</v>
      </c>
      <c r="O180">
        <v>5</v>
      </c>
      <c r="P180" t="s">
        <v>3573</v>
      </c>
      <c r="Q180" t="s">
        <v>3573</v>
      </c>
      <c r="R180" t="s">
        <v>256</v>
      </c>
    </row>
    <row r="181" spans="1:18">
      <c r="A181" t="s">
        <v>836</v>
      </c>
      <c r="B181" t="s">
        <v>840</v>
      </c>
      <c r="C181" t="s">
        <v>2432</v>
      </c>
      <c r="D181" t="s">
        <v>3552</v>
      </c>
      <c r="E181">
        <v>28</v>
      </c>
      <c r="F181" t="s">
        <v>3555</v>
      </c>
      <c r="G181">
        <v>0</v>
      </c>
      <c r="H181">
        <v>0</v>
      </c>
      <c r="I181">
        <v>113028</v>
      </c>
      <c r="J181">
        <v>26.55</v>
      </c>
      <c r="K181" t="s">
        <v>3584</v>
      </c>
      <c r="L181" t="s">
        <v>257</v>
      </c>
      <c r="M181" t="s">
        <v>62</v>
      </c>
      <c r="N181" t="s">
        <v>457</v>
      </c>
      <c r="O181" t="s">
        <v>3569</v>
      </c>
      <c r="P181" t="s">
        <v>3573</v>
      </c>
      <c r="Q181" t="s">
        <v>3573</v>
      </c>
      <c r="R181" t="s">
        <v>258</v>
      </c>
    </row>
    <row r="182" spans="1:18">
      <c r="A182" t="s">
        <v>836</v>
      </c>
      <c r="B182" t="s">
        <v>9</v>
      </c>
      <c r="C182" t="s">
        <v>2433</v>
      </c>
      <c r="D182" t="s">
        <v>3551</v>
      </c>
      <c r="E182">
        <v>39</v>
      </c>
      <c r="F182" t="s">
        <v>3557</v>
      </c>
      <c r="G182">
        <v>0</v>
      </c>
      <c r="H182">
        <v>0</v>
      </c>
      <c r="I182">
        <v>24160</v>
      </c>
      <c r="J182">
        <v>211.33750000000001</v>
      </c>
      <c r="K182" t="s">
        <v>3582</v>
      </c>
      <c r="L182" t="s">
        <v>3561</v>
      </c>
      <c r="M182" t="s">
        <v>3561</v>
      </c>
      <c r="N182" t="s">
        <v>457</v>
      </c>
      <c r="O182">
        <v>2</v>
      </c>
      <c r="P182" t="s">
        <v>3573</v>
      </c>
      <c r="Q182" t="s">
        <v>3573</v>
      </c>
    </row>
    <row r="183" spans="1:18">
      <c r="A183" t="s">
        <v>836</v>
      </c>
      <c r="B183" t="s">
        <v>9</v>
      </c>
      <c r="C183" t="s">
        <v>2434</v>
      </c>
      <c r="D183" t="s">
        <v>3551</v>
      </c>
      <c r="E183">
        <v>49</v>
      </c>
      <c r="F183" t="s">
        <v>3557</v>
      </c>
      <c r="G183">
        <v>0</v>
      </c>
      <c r="H183">
        <v>0</v>
      </c>
      <c r="I183">
        <v>17465</v>
      </c>
      <c r="J183">
        <v>25.929200000000002</v>
      </c>
      <c r="K183" t="s">
        <v>3584</v>
      </c>
      <c r="L183" t="s">
        <v>259</v>
      </c>
      <c r="M183" t="s">
        <v>59</v>
      </c>
      <c r="N183" t="s">
        <v>457</v>
      </c>
      <c r="O183">
        <v>8</v>
      </c>
      <c r="P183" t="s">
        <v>3573</v>
      </c>
      <c r="Q183" t="s">
        <v>3573</v>
      </c>
      <c r="R183" t="s">
        <v>53</v>
      </c>
    </row>
    <row r="184" spans="1:18">
      <c r="A184" t="s">
        <v>836</v>
      </c>
      <c r="B184" t="s">
        <v>9</v>
      </c>
      <c r="C184" t="s">
        <v>2435</v>
      </c>
      <c r="D184" t="s">
        <v>3551</v>
      </c>
      <c r="E184">
        <v>30</v>
      </c>
      <c r="F184" t="s">
        <v>3557</v>
      </c>
      <c r="G184">
        <v>0</v>
      </c>
      <c r="H184">
        <v>0</v>
      </c>
      <c r="I184" t="s">
        <v>166</v>
      </c>
      <c r="J184">
        <v>106.425</v>
      </c>
      <c r="K184" t="s">
        <v>3582</v>
      </c>
      <c r="L184" t="s">
        <v>3561</v>
      </c>
      <c r="M184" t="s">
        <v>3561</v>
      </c>
      <c r="N184" t="s">
        <v>3566</v>
      </c>
      <c r="O184">
        <v>2</v>
      </c>
      <c r="P184" t="s">
        <v>3573</v>
      </c>
      <c r="Q184" t="s">
        <v>3573</v>
      </c>
    </row>
    <row r="185" spans="1:18">
      <c r="A185" t="s">
        <v>836</v>
      </c>
      <c r="B185" t="s">
        <v>9</v>
      </c>
      <c r="C185" t="s">
        <v>2436</v>
      </c>
      <c r="D185" t="s">
        <v>3552</v>
      </c>
      <c r="E185">
        <v>35</v>
      </c>
      <c r="F185" t="s">
        <v>3557</v>
      </c>
      <c r="G185">
        <v>0</v>
      </c>
      <c r="H185">
        <v>0</v>
      </c>
      <c r="I185" t="s">
        <v>122</v>
      </c>
      <c r="J185">
        <v>512.32920000000001</v>
      </c>
      <c r="K185" t="s">
        <v>3582</v>
      </c>
      <c r="L185" t="s">
        <v>260</v>
      </c>
      <c r="M185" t="s">
        <v>70</v>
      </c>
      <c r="N185" t="s">
        <v>3566</v>
      </c>
      <c r="O185">
        <v>3</v>
      </c>
      <c r="P185" t="s">
        <v>3573</v>
      </c>
      <c r="Q185" t="s">
        <v>3573</v>
      </c>
    </row>
    <row r="186" spans="1:18">
      <c r="A186" t="s">
        <v>836</v>
      </c>
      <c r="B186" t="s">
        <v>840</v>
      </c>
      <c r="C186" t="s">
        <v>2437</v>
      </c>
      <c r="D186" t="s">
        <v>3552</v>
      </c>
      <c r="E186">
        <v>28</v>
      </c>
      <c r="F186" t="s">
        <v>3555</v>
      </c>
      <c r="G186">
        <v>0</v>
      </c>
      <c r="H186">
        <v>0</v>
      </c>
      <c r="I186" t="s">
        <v>261</v>
      </c>
      <c r="J186">
        <v>27.720800000000001</v>
      </c>
      <c r="K186" t="s">
        <v>3584</v>
      </c>
      <c r="L186" t="s">
        <v>3561</v>
      </c>
      <c r="M186" t="s">
        <v>3561</v>
      </c>
      <c r="N186" t="s">
        <v>3566</v>
      </c>
      <c r="O186" t="s">
        <v>3569</v>
      </c>
      <c r="P186" t="s">
        <v>3573</v>
      </c>
      <c r="Q186" t="s">
        <v>3573</v>
      </c>
      <c r="R186" t="s">
        <v>235</v>
      </c>
    </row>
    <row r="187" spans="1:18">
      <c r="A187" t="s">
        <v>836</v>
      </c>
      <c r="B187" t="s">
        <v>840</v>
      </c>
      <c r="C187" t="s">
        <v>2438</v>
      </c>
      <c r="D187" t="s">
        <v>3552</v>
      </c>
      <c r="E187">
        <v>42</v>
      </c>
      <c r="F187" t="s">
        <v>3557</v>
      </c>
      <c r="G187">
        <v>0</v>
      </c>
      <c r="H187">
        <v>0</v>
      </c>
      <c r="I187">
        <v>17475</v>
      </c>
      <c r="J187">
        <v>26.55</v>
      </c>
      <c r="K187" t="s">
        <v>3584</v>
      </c>
      <c r="L187" t="s">
        <v>3561</v>
      </c>
      <c r="M187" t="s">
        <v>3561</v>
      </c>
      <c r="N187" t="s">
        <v>457</v>
      </c>
      <c r="O187" t="s">
        <v>3569</v>
      </c>
      <c r="P187" t="s">
        <v>3573</v>
      </c>
      <c r="Q187" t="s">
        <v>3573</v>
      </c>
      <c r="R187" t="s">
        <v>262</v>
      </c>
    </row>
    <row r="188" spans="1:18">
      <c r="A188" t="s">
        <v>836</v>
      </c>
      <c r="B188" t="s">
        <v>9</v>
      </c>
      <c r="C188" t="s">
        <v>2439</v>
      </c>
      <c r="D188" t="s">
        <v>3551</v>
      </c>
      <c r="E188">
        <v>55</v>
      </c>
      <c r="F188" t="s">
        <v>3557</v>
      </c>
      <c r="G188">
        <v>0</v>
      </c>
      <c r="H188">
        <v>0</v>
      </c>
      <c r="I188">
        <v>112377</v>
      </c>
      <c r="J188">
        <v>27.720800000000001</v>
      </c>
      <c r="K188" t="s">
        <v>3584</v>
      </c>
      <c r="L188" t="s">
        <v>3561</v>
      </c>
      <c r="M188" t="s">
        <v>3561</v>
      </c>
      <c r="N188" t="s">
        <v>3566</v>
      </c>
      <c r="O188">
        <v>6</v>
      </c>
      <c r="P188" t="s">
        <v>3573</v>
      </c>
      <c r="Q188" t="s">
        <v>3573</v>
      </c>
      <c r="R188" t="s">
        <v>262</v>
      </c>
    </row>
    <row r="189" spans="1:18">
      <c r="A189" t="s">
        <v>836</v>
      </c>
      <c r="B189" t="s">
        <v>9</v>
      </c>
      <c r="C189" t="s">
        <v>2440</v>
      </c>
      <c r="D189" t="s">
        <v>3551</v>
      </c>
      <c r="E189">
        <v>16</v>
      </c>
      <c r="F189" t="s">
        <v>3560</v>
      </c>
      <c r="G189">
        <v>1</v>
      </c>
      <c r="H189">
        <v>0</v>
      </c>
      <c r="I189" t="s">
        <v>263</v>
      </c>
      <c r="J189">
        <v>39.4</v>
      </c>
      <c r="K189" t="s">
        <v>3584</v>
      </c>
      <c r="L189" t="s">
        <v>264</v>
      </c>
      <c r="M189" t="s">
        <v>59</v>
      </c>
      <c r="N189" t="s">
        <v>457</v>
      </c>
      <c r="O189">
        <v>9</v>
      </c>
      <c r="P189" t="s">
        <v>3573</v>
      </c>
      <c r="Q189" t="s">
        <v>3573</v>
      </c>
      <c r="R189" t="s">
        <v>68</v>
      </c>
    </row>
    <row r="190" spans="1:18">
      <c r="A190" t="s">
        <v>836</v>
      </c>
      <c r="B190" t="s">
        <v>9</v>
      </c>
      <c r="C190" t="s">
        <v>2441</v>
      </c>
      <c r="D190" t="s">
        <v>3551</v>
      </c>
      <c r="E190">
        <v>51</v>
      </c>
      <c r="F190" t="s">
        <v>3557</v>
      </c>
      <c r="G190">
        <v>1</v>
      </c>
      <c r="H190">
        <v>0</v>
      </c>
      <c r="I190" t="s">
        <v>263</v>
      </c>
      <c r="J190">
        <v>39.4</v>
      </c>
      <c r="K190" t="s">
        <v>3584</v>
      </c>
      <c r="L190" t="s">
        <v>264</v>
      </c>
      <c r="M190" t="s">
        <v>59</v>
      </c>
      <c r="N190" t="s">
        <v>457</v>
      </c>
      <c r="O190">
        <v>9</v>
      </c>
      <c r="P190" t="s">
        <v>3573</v>
      </c>
      <c r="Q190" t="s">
        <v>3573</v>
      </c>
      <c r="R190" t="s">
        <v>68</v>
      </c>
    </row>
    <row r="191" spans="1:18">
      <c r="A191" t="s">
        <v>836</v>
      </c>
      <c r="B191" t="s">
        <v>840</v>
      </c>
      <c r="C191" t="s">
        <v>2442</v>
      </c>
      <c r="D191" t="s">
        <v>3552</v>
      </c>
      <c r="E191">
        <v>29</v>
      </c>
      <c r="F191" t="s">
        <v>3555</v>
      </c>
      <c r="G191">
        <v>0</v>
      </c>
      <c r="H191">
        <v>0</v>
      </c>
      <c r="I191">
        <v>113501</v>
      </c>
      <c r="J191">
        <v>30</v>
      </c>
      <c r="K191" t="s">
        <v>3584</v>
      </c>
      <c r="L191" t="s">
        <v>265</v>
      </c>
      <c r="M191" t="s">
        <v>59</v>
      </c>
      <c r="N191" t="s">
        <v>457</v>
      </c>
      <c r="O191" t="s">
        <v>3569</v>
      </c>
      <c r="P191">
        <v>126</v>
      </c>
      <c r="Q191" t="s">
        <v>3574</v>
      </c>
      <c r="R191" t="s">
        <v>266</v>
      </c>
    </row>
    <row r="192" spans="1:18">
      <c r="A192" t="s">
        <v>836</v>
      </c>
      <c r="B192" t="s">
        <v>9</v>
      </c>
      <c r="C192" t="s">
        <v>2443</v>
      </c>
      <c r="D192" t="s">
        <v>3551</v>
      </c>
      <c r="E192">
        <v>21</v>
      </c>
      <c r="F192" t="s">
        <v>3555</v>
      </c>
      <c r="G192">
        <v>0</v>
      </c>
      <c r="H192">
        <v>0</v>
      </c>
      <c r="I192">
        <v>13502</v>
      </c>
      <c r="J192">
        <v>77.958299999999994</v>
      </c>
      <c r="K192" t="s">
        <v>3582</v>
      </c>
      <c r="L192" t="s">
        <v>267</v>
      </c>
      <c r="M192" t="s">
        <v>59</v>
      </c>
      <c r="N192" t="s">
        <v>457</v>
      </c>
      <c r="O192">
        <v>10</v>
      </c>
      <c r="P192" t="s">
        <v>3573</v>
      </c>
      <c r="Q192" t="s">
        <v>3573</v>
      </c>
      <c r="R192" t="s">
        <v>55</v>
      </c>
    </row>
    <row r="193" spans="1:18">
      <c r="A193" t="s">
        <v>836</v>
      </c>
      <c r="B193" t="s">
        <v>840</v>
      </c>
      <c r="C193" t="s">
        <v>2444</v>
      </c>
      <c r="D193" t="s">
        <v>3552</v>
      </c>
      <c r="E193">
        <v>30</v>
      </c>
      <c r="F193" t="s">
        <v>3557</v>
      </c>
      <c r="G193">
        <v>0</v>
      </c>
      <c r="H193">
        <v>0</v>
      </c>
      <c r="I193">
        <v>113801</v>
      </c>
      <c r="J193">
        <v>45.5</v>
      </c>
      <c r="K193" t="s">
        <v>3584</v>
      </c>
      <c r="L193" t="s">
        <v>3561</v>
      </c>
      <c r="M193" t="s">
        <v>3561</v>
      </c>
      <c r="N193" t="s">
        <v>457</v>
      </c>
      <c r="O193" t="s">
        <v>3569</v>
      </c>
      <c r="P193" t="s">
        <v>3573</v>
      </c>
      <c r="Q193" t="s">
        <v>3573</v>
      </c>
      <c r="R193" t="s">
        <v>268</v>
      </c>
    </row>
    <row r="194" spans="1:18">
      <c r="A194" t="s">
        <v>836</v>
      </c>
      <c r="B194" t="s">
        <v>9</v>
      </c>
      <c r="C194" t="s">
        <v>2445</v>
      </c>
      <c r="D194" t="s">
        <v>3551</v>
      </c>
      <c r="E194">
        <v>58</v>
      </c>
      <c r="F194" t="s">
        <v>3557</v>
      </c>
      <c r="G194">
        <v>0</v>
      </c>
      <c r="H194">
        <v>0</v>
      </c>
      <c r="I194" t="s">
        <v>269</v>
      </c>
      <c r="J194">
        <v>146.52080000000001</v>
      </c>
      <c r="K194" t="s">
        <v>3582</v>
      </c>
      <c r="L194" t="s">
        <v>270</v>
      </c>
      <c r="M194" t="s">
        <v>70</v>
      </c>
      <c r="N194" t="s">
        <v>3566</v>
      </c>
      <c r="O194" t="s">
        <v>3569</v>
      </c>
      <c r="P194" t="s">
        <v>3573</v>
      </c>
      <c r="Q194" t="s">
        <v>3573</v>
      </c>
    </row>
    <row r="195" spans="1:18">
      <c r="A195" t="s">
        <v>836</v>
      </c>
      <c r="B195" t="s">
        <v>9</v>
      </c>
      <c r="C195" t="s">
        <v>2446</v>
      </c>
      <c r="D195" t="s">
        <v>3551</v>
      </c>
      <c r="E195">
        <v>15</v>
      </c>
      <c r="F195" t="s">
        <v>3560</v>
      </c>
      <c r="G195">
        <v>1</v>
      </c>
      <c r="H195">
        <v>0</v>
      </c>
      <c r="I195">
        <v>24160</v>
      </c>
      <c r="J195">
        <v>211.33750000000001</v>
      </c>
      <c r="K195" t="s">
        <v>3582</v>
      </c>
      <c r="L195" t="s">
        <v>48</v>
      </c>
      <c r="M195" t="s">
        <v>70</v>
      </c>
      <c r="N195" t="s">
        <v>457</v>
      </c>
      <c r="O195">
        <v>2</v>
      </c>
      <c r="P195" t="s">
        <v>3573</v>
      </c>
      <c r="Q195" t="s">
        <v>3573</v>
      </c>
      <c r="R195" t="s">
        <v>49</v>
      </c>
    </row>
    <row r="196" spans="1:18">
      <c r="A196" t="s">
        <v>836</v>
      </c>
      <c r="B196" t="s">
        <v>840</v>
      </c>
      <c r="C196" t="s">
        <v>2447</v>
      </c>
      <c r="D196" t="s">
        <v>3552</v>
      </c>
      <c r="E196">
        <v>30</v>
      </c>
      <c r="F196" t="s">
        <v>3557</v>
      </c>
      <c r="G196">
        <v>0</v>
      </c>
      <c r="H196">
        <v>0</v>
      </c>
      <c r="I196">
        <v>110469</v>
      </c>
      <c r="J196">
        <v>26</v>
      </c>
      <c r="K196" t="s">
        <v>3584</v>
      </c>
      <c r="L196" t="s">
        <v>271</v>
      </c>
      <c r="M196" t="s">
        <v>62</v>
      </c>
      <c r="N196" t="s">
        <v>457</v>
      </c>
      <c r="O196" t="s">
        <v>3569</v>
      </c>
      <c r="P196" t="s">
        <v>3573</v>
      </c>
      <c r="Q196" t="s">
        <v>3573</v>
      </c>
      <c r="R196" t="s">
        <v>272</v>
      </c>
    </row>
    <row r="197" spans="1:18">
      <c r="A197" t="s">
        <v>836</v>
      </c>
      <c r="B197" t="s">
        <v>9</v>
      </c>
      <c r="C197" t="s">
        <v>2448</v>
      </c>
      <c r="D197" t="s">
        <v>3551</v>
      </c>
      <c r="E197">
        <v>16</v>
      </c>
      <c r="F197" t="s">
        <v>3560</v>
      </c>
      <c r="G197">
        <v>0</v>
      </c>
      <c r="H197">
        <v>0</v>
      </c>
      <c r="I197">
        <v>110152</v>
      </c>
      <c r="J197">
        <v>86.5</v>
      </c>
      <c r="K197" t="s">
        <v>3582</v>
      </c>
      <c r="L197" t="s">
        <v>273</v>
      </c>
      <c r="M197" t="s">
        <v>70</v>
      </c>
      <c r="N197" t="s">
        <v>457</v>
      </c>
      <c r="O197">
        <v>8</v>
      </c>
      <c r="P197" t="s">
        <v>3573</v>
      </c>
      <c r="Q197" t="s">
        <v>3573</v>
      </c>
    </row>
    <row r="198" spans="1:18">
      <c r="A198" t="s">
        <v>836</v>
      </c>
      <c r="B198" t="s">
        <v>9</v>
      </c>
      <c r="C198" t="s">
        <v>2449</v>
      </c>
      <c r="D198" t="s">
        <v>3552</v>
      </c>
      <c r="E198">
        <v>28</v>
      </c>
      <c r="F198" t="s">
        <v>3555</v>
      </c>
      <c r="G198">
        <v>0</v>
      </c>
      <c r="H198">
        <v>0</v>
      </c>
      <c r="I198">
        <v>11774</v>
      </c>
      <c r="J198">
        <v>29.7</v>
      </c>
      <c r="K198" t="s">
        <v>3584</v>
      </c>
      <c r="L198" t="s">
        <v>274</v>
      </c>
      <c r="M198" t="s">
        <v>62</v>
      </c>
      <c r="N198" t="s">
        <v>3566</v>
      </c>
      <c r="O198">
        <v>7</v>
      </c>
      <c r="P198" t="s">
        <v>3573</v>
      </c>
      <c r="Q198" t="s">
        <v>3573</v>
      </c>
      <c r="R198" t="s">
        <v>68</v>
      </c>
    </row>
    <row r="199" spans="1:18">
      <c r="A199" t="s">
        <v>836</v>
      </c>
      <c r="B199" t="s">
        <v>840</v>
      </c>
      <c r="C199" t="s">
        <v>2450</v>
      </c>
      <c r="D199" t="s">
        <v>3552</v>
      </c>
      <c r="E199">
        <v>19</v>
      </c>
      <c r="F199" t="s">
        <v>3555</v>
      </c>
      <c r="G199">
        <v>0</v>
      </c>
      <c r="H199">
        <v>1</v>
      </c>
      <c r="I199">
        <v>113773</v>
      </c>
      <c r="J199">
        <v>53.1</v>
      </c>
      <c r="K199" t="s">
        <v>3582</v>
      </c>
      <c r="L199" t="s">
        <v>275</v>
      </c>
      <c r="M199" t="s">
        <v>59</v>
      </c>
      <c r="N199" t="s">
        <v>457</v>
      </c>
      <c r="O199" t="s">
        <v>3569</v>
      </c>
      <c r="P199" t="s">
        <v>3573</v>
      </c>
      <c r="Q199" t="s">
        <v>3573</v>
      </c>
      <c r="R199" t="s">
        <v>53</v>
      </c>
    </row>
    <row r="200" spans="1:18">
      <c r="A200" t="s">
        <v>836</v>
      </c>
      <c r="B200" t="s">
        <v>9</v>
      </c>
      <c r="C200" t="s">
        <v>2451</v>
      </c>
      <c r="D200" t="s">
        <v>3551</v>
      </c>
      <c r="E200">
        <v>18</v>
      </c>
      <c r="F200" t="s">
        <v>3555</v>
      </c>
      <c r="G200">
        <v>0</v>
      </c>
      <c r="H200">
        <v>1</v>
      </c>
      <c r="I200">
        <v>113773</v>
      </c>
      <c r="J200">
        <v>53.1</v>
      </c>
      <c r="K200" t="s">
        <v>3582</v>
      </c>
      <c r="L200" t="s">
        <v>275</v>
      </c>
      <c r="M200" t="s">
        <v>59</v>
      </c>
      <c r="N200" t="s">
        <v>457</v>
      </c>
      <c r="O200">
        <v>10</v>
      </c>
      <c r="P200" t="s">
        <v>3573</v>
      </c>
      <c r="Q200" t="s">
        <v>3573</v>
      </c>
      <c r="R200" t="s">
        <v>53</v>
      </c>
    </row>
    <row r="201" spans="1:18">
      <c r="A201" t="s">
        <v>836</v>
      </c>
      <c r="B201" t="s">
        <v>9</v>
      </c>
      <c r="C201" t="s">
        <v>2452</v>
      </c>
      <c r="D201" t="s">
        <v>3551</v>
      </c>
      <c r="E201">
        <v>24</v>
      </c>
      <c r="F201" t="s">
        <v>3555</v>
      </c>
      <c r="G201">
        <v>0</v>
      </c>
      <c r="H201">
        <v>0</v>
      </c>
      <c r="I201" t="s">
        <v>276</v>
      </c>
      <c r="J201">
        <v>49.504199999999997</v>
      </c>
      <c r="K201" t="s">
        <v>3584</v>
      </c>
      <c r="L201" t="s">
        <v>277</v>
      </c>
      <c r="M201" t="s">
        <v>62</v>
      </c>
      <c r="N201" t="s">
        <v>3566</v>
      </c>
      <c r="O201">
        <v>6</v>
      </c>
      <c r="P201" t="s">
        <v>3573</v>
      </c>
      <c r="Q201" t="s">
        <v>3573</v>
      </c>
      <c r="R201" t="s">
        <v>278</v>
      </c>
    </row>
    <row r="202" spans="1:18">
      <c r="A202" t="s">
        <v>836</v>
      </c>
      <c r="B202" t="s">
        <v>840</v>
      </c>
      <c r="C202" t="s">
        <v>2453</v>
      </c>
      <c r="D202" t="s">
        <v>3552</v>
      </c>
      <c r="E202">
        <v>46</v>
      </c>
      <c r="F202" t="s">
        <v>3557</v>
      </c>
      <c r="G202">
        <v>0</v>
      </c>
      <c r="H202">
        <v>0</v>
      </c>
      <c r="I202">
        <v>13050</v>
      </c>
      <c r="J202">
        <v>75.241699999999994</v>
      </c>
      <c r="K202" t="s">
        <v>3582</v>
      </c>
      <c r="L202" t="s">
        <v>77</v>
      </c>
      <c r="M202" t="s">
        <v>62</v>
      </c>
      <c r="N202" t="s">
        <v>3566</v>
      </c>
      <c r="O202" t="s">
        <v>3569</v>
      </c>
      <c r="P202">
        <v>292</v>
      </c>
      <c r="Q202" t="s">
        <v>3574</v>
      </c>
      <c r="R202" t="s">
        <v>279</v>
      </c>
    </row>
    <row r="203" spans="1:18">
      <c r="A203" t="s">
        <v>836</v>
      </c>
      <c r="B203" t="s">
        <v>840</v>
      </c>
      <c r="C203" t="s">
        <v>2454</v>
      </c>
      <c r="D203" t="s">
        <v>3552</v>
      </c>
      <c r="E203">
        <v>54</v>
      </c>
      <c r="F203" t="s">
        <v>3557</v>
      </c>
      <c r="G203">
        <v>0</v>
      </c>
      <c r="H203">
        <v>0</v>
      </c>
      <c r="I203">
        <v>17463</v>
      </c>
      <c r="J203">
        <v>51.862499999999997</v>
      </c>
      <c r="K203" t="s">
        <v>3582</v>
      </c>
      <c r="L203" t="s">
        <v>230</v>
      </c>
      <c r="M203" t="s">
        <v>3564</v>
      </c>
      <c r="N203" t="s">
        <v>457</v>
      </c>
      <c r="O203" t="s">
        <v>3569</v>
      </c>
      <c r="P203">
        <v>175</v>
      </c>
      <c r="Q203" t="s">
        <v>3574</v>
      </c>
      <c r="R203" t="s">
        <v>280</v>
      </c>
    </row>
    <row r="204" spans="1:18">
      <c r="A204" t="s">
        <v>836</v>
      </c>
      <c r="B204" t="s">
        <v>9</v>
      </c>
      <c r="C204" t="s">
        <v>2455</v>
      </c>
      <c r="D204" t="s">
        <v>3552</v>
      </c>
      <c r="E204">
        <v>36</v>
      </c>
      <c r="F204" t="s">
        <v>3557</v>
      </c>
      <c r="G204">
        <v>0</v>
      </c>
      <c r="H204">
        <v>0</v>
      </c>
      <c r="I204" t="s">
        <v>281</v>
      </c>
      <c r="J204">
        <v>26.287500000000001</v>
      </c>
      <c r="K204" t="s">
        <v>3584</v>
      </c>
      <c r="L204" t="s">
        <v>185</v>
      </c>
      <c r="M204" t="s">
        <v>3564</v>
      </c>
      <c r="N204" t="s">
        <v>457</v>
      </c>
      <c r="O204">
        <v>7</v>
      </c>
      <c r="P204" t="s">
        <v>3573</v>
      </c>
      <c r="Q204" t="s">
        <v>3573</v>
      </c>
      <c r="R204" t="s">
        <v>111</v>
      </c>
    </row>
    <row r="205" spans="1:18">
      <c r="A205" t="s">
        <v>836</v>
      </c>
      <c r="B205" t="s">
        <v>840</v>
      </c>
      <c r="C205" t="s">
        <v>2456</v>
      </c>
      <c r="D205" t="s">
        <v>3552</v>
      </c>
      <c r="E205">
        <v>28</v>
      </c>
      <c r="F205" t="s">
        <v>3555</v>
      </c>
      <c r="G205">
        <v>0</v>
      </c>
      <c r="H205">
        <v>1</v>
      </c>
      <c r="I205" t="s">
        <v>282</v>
      </c>
      <c r="J205">
        <v>82.1708</v>
      </c>
      <c r="K205" t="s">
        <v>3582</v>
      </c>
      <c r="L205" t="s">
        <v>3561</v>
      </c>
      <c r="M205" t="s">
        <v>3561</v>
      </c>
      <c r="N205" t="s">
        <v>3566</v>
      </c>
      <c r="O205" t="s">
        <v>3569</v>
      </c>
      <c r="P205" t="s">
        <v>3573</v>
      </c>
      <c r="Q205" t="s">
        <v>3573</v>
      </c>
      <c r="R205" t="s">
        <v>53</v>
      </c>
    </row>
    <row r="206" spans="1:18">
      <c r="A206" t="s">
        <v>836</v>
      </c>
      <c r="B206" t="s">
        <v>9</v>
      </c>
      <c r="C206" t="s">
        <v>2457</v>
      </c>
      <c r="D206" t="s">
        <v>3551</v>
      </c>
      <c r="E206">
        <v>28</v>
      </c>
      <c r="F206" t="s">
        <v>3555</v>
      </c>
      <c r="G206">
        <v>0</v>
      </c>
      <c r="H206">
        <v>1</v>
      </c>
      <c r="I206" t="s">
        <v>282</v>
      </c>
      <c r="J206">
        <v>82.1708</v>
      </c>
      <c r="K206" t="s">
        <v>3582</v>
      </c>
      <c r="L206" t="s">
        <v>3561</v>
      </c>
      <c r="M206" t="s">
        <v>3561</v>
      </c>
      <c r="N206" t="s">
        <v>3566</v>
      </c>
      <c r="O206">
        <v>6</v>
      </c>
      <c r="P206" t="s">
        <v>3573</v>
      </c>
      <c r="Q206" t="s">
        <v>3573</v>
      </c>
      <c r="R206" t="s">
        <v>53</v>
      </c>
    </row>
    <row r="207" spans="1:18">
      <c r="A207" t="s">
        <v>836</v>
      </c>
      <c r="B207" t="s">
        <v>840</v>
      </c>
      <c r="C207" t="s">
        <v>2458</v>
      </c>
      <c r="D207" t="s">
        <v>3552</v>
      </c>
      <c r="E207">
        <v>65</v>
      </c>
      <c r="F207" t="s">
        <v>3559</v>
      </c>
      <c r="G207">
        <v>0</v>
      </c>
      <c r="H207">
        <v>0</v>
      </c>
      <c r="I207">
        <v>13509</v>
      </c>
      <c r="J207">
        <v>26.55</v>
      </c>
      <c r="K207" t="s">
        <v>3584</v>
      </c>
      <c r="L207" t="s">
        <v>283</v>
      </c>
      <c r="M207" t="s">
        <v>3564</v>
      </c>
      <c r="N207" t="s">
        <v>457</v>
      </c>
      <c r="O207" t="s">
        <v>3569</v>
      </c>
      <c r="P207">
        <v>249</v>
      </c>
      <c r="Q207" t="s">
        <v>3574</v>
      </c>
      <c r="R207" t="s">
        <v>284</v>
      </c>
    </row>
    <row r="208" spans="1:18">
      <c r="A208" t="s">
        <v>836</v>
      </c>
      <c r="B208" t="s">
        <v>840</v>
      </c>
      <c r="C208" t="s">
        <v>2459</v>
      </c>
      <c r="D208" t="s">
        <v>3552</v>
      </c>
      <c r="E208">
        <v>44</v>
      </c>
      <c r="F208" t="s">
        <v>3557</v>
      </c>
      <c r="G208">
        <v>0</v>
      </c>
      <c r="H208">
        <v>2</v>
      </c>
      <c r="I208">
        <v>19928</v>
      </c>
      <c r="J208">
        <v>90</v>
      </c>
      <c r="K208" t="s">
        <v>3582</v>
      </c>
      <c r="L208" t="s">
        <v>285</v>
      </c>
      <c r="M208" t="s">
        <v>62</v>
      </c>
      <c r="N208" t="s">
        <v>3567</v>
      </c>
      <c r="O208" t="s">
        <v>3569</v>
      </c>
      <c r="P208">
        <v>230</v>
      </c>
      <c r="Q208" t="s">
        <v>3574</v>
      </c>
      <c r="R208" t="s">
        <v>286</v>
      </c>
    </row>
    <row r="209" spans="1:18">
      <c r="A209" t="s">
        <v>836</v>
      </c>
      <c r="B209" t="s">
        <v>9</v>
      </c>
      <c r="C209" t="s">
        <v>2460</v>
      </c>
      <c r="D209" t="s">
        <v>3551</v>
      </c>
      <c r="E209">
        <v>33</v>
      </c>
      <c r="F209" t="s">
        <v>3557</v>
      </c>
      <c r="G209">
        <v>0</v>
      </c>
      <c r="H209">
        <v>1</v>
      </c>
      <c r="I209">
        <v>19928</v>
      </c>
      <c r="J209">
        <v>90</v>
      </c>
      <c r="K209" t="s">
        <v>3582</v>
      </c>
      <c r="L209" t="s">
        <v>285</v>
      </c>
      <c r="M209" t="s">
        <v>62</v>
      </c>
      <c r="N209" t="s">
        <v>3567</v>
      </c>
      <c r="O209">
        <v>14</v>
      </c>
      <c r="P209" t="s">
        <v>3573</v>
      </c>
      <c r="Q209" t="s">
        <v>3573</v>
      </c>
      <c r="R209" t="s">
        <v>287</v>
      </c>
    </row>
    <row r="210" spans="1:18">
      <c r="A210" t="s">
        <v>836</v>
      </c>
      <c r="B210" t="s">
        <v>9</v>
      </c>
      <c r="C210" t="s">
        <v>2461</v>
      </c>
      <c r="D210" t="s">
        <v>3551</v>
      </c>
      <c r="E210">
        <v>37</v>
      </c>
      <c r="F210" t="s">
        <v>3557</v>
      </c>
      <c r="G210">
        <v>0</v>
      </c>
      <c r="H210">
        <v>1</v>
      </c>
      <c r="I210">
        <v>19928</v>
      </c>
      <c r="J210">
        <v>90</v>
      </c>
      <c r="K210" t="s">
        <v>3582</v>
      </c>
      <c r="L210" t="s">
        <v>285</v>
      </c>
      <c r="M210" t="s">
        <v>62</v>
      </c>
      <c r="N210" t="s">
        <v>3567</v>
      </c>
      <c r="O210">
        <v>14</v>
      </c>
      <c r="P210" t="s">
        <v>3573</v>
      </c>
      <c r="Q210" t="s">
        <v>3573</v>
      </c>
      <c r="R210" t="s">
        <v>286</v>
      </c>
    </row>
    <row r="211" spans="1:18">
      <c r="A211" t="s">
        <v>836</v>
      </c>
      <c r="B211" t="s">
        <v>9</v>
      </c>
      <c r="C211" t="s">
        <v>2462</v>
      </c>
      <c r="D211" t="s">
        <v>3552</v>
      </c>
      <c r="E211">
        <v>30</v>
      </c>
      <c r="F211" t="s">
        <v>3557</v>
      </c>
      <c r="G211">
        <v>0</v>
      </c>
      <c r="H211">
        <v>1</v>
      </c>
      <c r="I211">
        <v>13236</v>
      </c>
      <c r="J211">
        <v>57.75</v>
      </c>
      <c r="K211" t="s">
        <v>3582</v>
      </c>
      <c r="L211" t="s">
        <v>285</v>
      </c>
      <c r="M211" t="s">
        <v>62</v>
      </c>
      <c r="N211" t="s">
        <v>3566</v>
      </c>
      <c r="O211">
        <v>11</v>
      </c>
      <c r="P211" t="s">
        <v>3573</v>
      </c>
      <c r="Q211" t="s">
        <v>3573</v>
      </c>
      <c r="R211" t="s">
        <v>53</v>
      </c>
    </row>
    <row r="212" spans="1:18">
      <c r="A212" t="s">
        <v>836</v>
      </c>
      <c r="B212" t="s">
        <v>840</v>
      </c>
      <c r="C212" t="s">
        <v>2463</v>
      </c>
      <c r="D212" t="s">
        <v>3552</v>
      </c>
      <c r="E212">
        <v>55</v>
      </c>
      <c r="F212" t="s">
        <v>3557</v>
      </c>
      <c r="G212">
        <v>0</v>
      </c>
      <c r="H212">
        <v>0</v>
      </c>
      <c r="I212">
        <v>113787</v>
      </c>
      <c r="J212">
        <v>30.5</v>
      </c>
      <c r="K212" t="s">
        <v>3584</v>
      </c>
      <c r="L212" t="s">
        <v>288</v>
      </c>
      <c r="M212" t="s">
        <v>62</v>
      </c>
      <c r="N212" t="s">
        <v>457</v>
      </c>
      <c r="O212" t="s">
        <v>3569</v>
      </c>
      <c r="P212" t="s">
        <v>3573</v>
      </c>
      <c r="Q212" t="s">
        <v>3573</v>
      </c>
      <c r="R212" t="s">
        <v>75</v>
      </c>
    </row>
    <row r="213" spans="1:18">
      <c r="A213" t="s">
        <v>836</v>
      </c>
      <c r="B213" t="s">
        <v>840</v>
      </c>
      <c r="C213" t="s">
        <v>2464</v>
      </c>
      <c r="D213" t="s">
        <v>3552</v>
      </c>
      <c r="E213">
        <v>47</v>
      </c>
      <c r="F213" t="s">
        <v>3557</v>
      </c>
      <c r="G213">
        <v>0</v>
      </c>
      <c r="H213">
        <v>0</v>
      </c>
      <c r="I213">
        <v>113796</v>
      </c>
      <c r="J213">
        <v>42.4</v>
      </c>
      <c r="K213" t="s">
        <v>3584</v>
      </c>
      <c r="L213" t="s">
        <v>3561</v>
      </c>
      <c r="M213" t="s">
        <v>3561</v>
      </c>
      <c r="N213" t="s">
        <v>457</v>
      </c>
      <c r="O213" t="s">
        <v>3569</v>
      </c>
      <c r="P213" t="s">
        <v>3573</v>
      </c>
      <c r="Q213" t="s">
        <v>3573</v>
      </c>
      <c r="R213" t="s">
        <v>118</v>
      </c>
    </row>
    <row r="214" spans="1:18">
      <c r="A214" t="s">
        <v>836</v>
      </c>
      <c r="B214" t="s">
        <v>840</v>
      </c>
      <c r="C214" t="s">
        <v>2465</v>
      </c>
      <c r="D214" t="s">
        <v>3552</v>
      </c>
      <c r="E214">
        <v>37</v>
      </c>
      <c r="F214" t="s">
        <v>3557</v>
      </c>
      <c r="G214">
        <v>1</v>
      </c>
      <c r="H214">
        <v>0</v>
      </c>
      <c r="I214" t="s">
        <v>289</v>
      </c>
      <c r="J214">
        <v>29.7</v>
      </c>
      <c r="K214" t="s">
        <v>3584</v>
      </c>
      <c r="L214" t="s">
        <v>290</v>
      </c>
      <c r="M214" t="s">
        <v>62</v>
      </c>
      <c r="N214" t="s">
        <v>3566</v>
      </c>
      <c r="O214" t="s">
        <v>3569</v>
      </c>
      <c r="P214" t="s">
        <v>3573</v>
      </c>
      <c r="Q214" t="s">
        <v>3573</v>
      </c>
      <c r="R214" t="s">
        <v>186</v>
      </c>
    </row>
    <row r="215" spans="1:18">
      <c r="A215" t="s">
        <v>836</v>
      </c>
      <c r="B215" t="s">
        <v>9</v>
      </c>
      <c r="C215" t="s">
        <v>2466</v>
      </c>
      <c r="D215" t="s">
        <v>3551</v>
      </c>
      <c r="E215">
        <v>31</v>
      </c>
      <c r="F215" t="s">
        <v>3557</v>
      </c>
      <c r="G215">
        <v>0</v>
      </c>
      <c r="H215">
        <v>1</v>
      </c>
      <c r="I215">
        <v>35273</v>
      </c>
      <c r="J215">
        <v>113.27500000000001</v>
      </c>
      <c r="K215" t="s">
        <v>3582</v>
      </c>
      <c r="L215" t="s">
        <v>291</v>
      </c>
      <c r="M215" t="s">
        <v>59</v>
      </c>
      <c r="N215" t="s">
        <v>3566</v>
      </c>
      <c r="O215">
        <v>6</v>
      </c>
      <c r="P215" t="s">
        <v>3573</v>
      </c>
      <c r="Q215" t="s">
        <v>3573</v>
      </c>
      <c r="R215" t="s">
        <v>292</v>
      </c>
    </row>
    <row r="216" spans="1:18">
      <c r="A216" t="s">
        <v>836</v>
      </c>
      <c r="B216" t="s">
        <v>9</v>
      </c>
      <c r="C216" t="s">
        <v>2467</v>
      </c>
      <c r="D216" t="s">
        <v>3551</v>
      </c>
      <c r="E216">
        <v>23</v>
      </c>
      <c r="F216" t="s">
        <v>3555</v>
      </c>
      <c r="G216">
        <v>0</v>
      </c>
      <c r="H216">
        <v>1</v>
      </c>
      <c r="I216">
        <v>35273</v>
      </c>
      <c r="J216">
        <v>113.27500000000001</v>
      </c>
      <c r="K216" t="s">
        <v>3582</v>
      </c>
      <c r="L216" t="s">
        <v>291</v>
      </c>
      <c r="M216" t="s">
        <v>59</v>
      </c>
      <c r="N216" t="s">
        <v>3566</v>
      </c>
      <c r="O216">
        <v>6</v>
      </c>
      <c r="P216" t="s">
        <v>3573</v>
      </c>
      <c r="Q216" t="s">
        <v>3573</v>
      </c>
      <c r="R216" t="s">
        <v>292</v>
      </c>
    </row>
    <row r="217" spans="1:18">
      <c r="A217" t="s">
        <v>836</v>
      </c>
      <c r="B217" t="s">
        <v>840</v>
      </c>
      <c r="C217" t="s">
        <v>2468</v>
      </c>
      <c r="D217" t="s">
        <v>3552</v>
      </c>
      <c r="E217">
        <v>58</v>
      </c>
      <c r="F217" t="s">
        <v>3557</v>
      </c>
      <c r="G217">
        <v>2</v>
      </c>
      <c r="H217">
        <v>0</v>
      </c>
      <c r="I217">
        <v>35273</v>
      </c>
      <c r="J217">
        <v>113.27500000000001</v>
      </c>
      <c r="K217" t="s">
        <v>3582</v>
      </c>
      <c r="L217" t="s">
        <v>293</v>
      </c>
      <c r="M217" t="s">
        <v>59</v>
      </c>
      <c r="N217" t="s">
        <v>3566</v>
      </c>
      <c r="O217" t="s">
        <v>3569</v>
      </c>
      <c r="P217">
        <v>122</v>
      </c>
      <c r="Q217" t="s">
        <v>3574</v>
      </c>
      <c r="R217" t="s">
        <v>292</v>
      </c>
    </row>
    <row r="218" spans="1:18">
      <c r="A218" t="s">
        <v>836</v>
      </c>
      <c r="B218" t="s">
        <v>9</v>
      </c>
      <c r="C218" t="s">
        <v>2469</v>
      </c>
      <c r="D218" t="s">
        <v>3551</v>
      </c>
      <c r="E218">
        <v>19</v>
      </c>
      <c r="F218" t="s">
        <v>3555</v>
      </c>
      <c r="G218">
        <v>2</v>
      </c>
      <c r="H218">
        <v>0</v>
      </c>
      <c r="I218">
        <v>11752</v>
      </c>
      <c r="J218">
        <v>26.283300000000001</v>
      </c>
      <c r="K218" t="s">
        <v>3584</v>
      </c>
      <c r="L218" t="s">
        <v>294</v>
      </c>
      <c r="M218" t="s">
        <v>59</v>
      </c>
      <c r="N218" t="s">
        <v>457</v>
      </c>
      <c r="O218">
        <v>5</v>
      </c>
      <c r="P218" t="s">
        <v>3573</v>
      </c>
      <c r="Q218" t="s">
        <v>3573</v>
      </c>
      <c r="R218" t="s">
        <v>53</v>
      </c>
    </row>
    <row r="219" spans="1:18">
      <c r="A219" t="s">
        <v>836</v>
      </c>
      <c r="B219" t="s">
        <v>840</v>
      </c>
      <c r="C219" t="s">
        <v>2470</v>
      </c>
      <c r="D219" t="s">
        <v>3552</v>
      </c>
      <c r="E219">
        <v>64</v>
      </c>
      <c r="F219" t="s">
        <v>3559</v>
      </c>
      <c r="G219">
        <v>0</v>
      </c>
      <c r="H219">
        <v>0</v>
      </c>
      <c r="I219">
        <v>693</v>
      </c>
      <c r="J219">
        <v>26</v>
      </c>
      <c r="K219" t="s">
        <v>3584</v>
      </c>
      <c r="L219" t="s">
        <v>3561</v>
      </c>
      <c r="M219" t="s">
        <v>3561</v>
      </c>
      <c r="N219" t="s">
        <v>457</v>
      </c>
      <c r="O219" t="s">
        <v>3569</v>
      </c>
      <c r="P219">
        <v>263</v>
      </c>
      <c r="Q219" t="s">
        <v>3574</v>
      </c>
      <c r="R219" t="s">
        <v>295</v>
      </c>
    </row>
    <row r="220" spans="1:18">
      <c r="A220" t="s">
        <v>836</v>
      </c>
      <c r="B220" t="s">
        <v>9</v>
      </c>
      <c r="C220" t="s">
        <v>2471</v>
      </c>
      <c r="D220" t="s">
        <v>3551</v>
      </c>
      <c r="E220">
        <v>39</v>
      </c>
      <c r="F220" t="s">
        <v>3557</v>
      </c>
      <c r="G220">
        <v>0</v>
      </c>
      <c r="H220">
        <v>0</v>
      </c>
      <c r="I220" t="s">
        <v>296</v>
      </c>
      <c r="J220">
        <v>108.9</v>
      </c>
      <c r="K220" t="s">
        <v>3582</v>
      </c>
      <c r="L220" t="s">
        <v>297</v>
      </c>
      <c r="M220" t="s">
        <v>62</v>
      </c>
      <c r="N220" t="s">
        <v>3566</v>
      </c>
      <c r="O220">
        <v>8</v>
      </c>
      <c r="P220" t="s">
        <v>3573</v>
      </c>
      <c r="Q220" t="s">
        <v>3573</v>
      </c>
    </row>
    <row r="221" spans="1:18">
      <c r="A221" t="s">
        <v>836</v>
      </c>
      <c r="B221" t="s">
        <v>9</v>
      </c>
      <c r="C221" t="s">
        <v>2472</v>
      </c>
      <c r="D221" t="s">
        <v>3552</v>
      </c>
      <c r="E221">
        <v>28</v>
      </c>
      <c r="F221" t="s">
        <v>3555</v>
      </c>
      <c r="G221">
        <v>0</v>
      </c>
      <c r="H221">
        <v>0</v>
      </c>
      <c r="I221" t="s">
        <v>298</v>
      </c>
      <c r="J221">
        <v>25.741700000000002</v>
      </c>
      <c r="K221" t="s">
        <v>3584</v>
      </c>
      <c r="L221" t="s">
        <v>3561</v>
      </c>
      <c r="M221" t="s">
        <v>3561</v>
      </c>
      <c r="N221" t="s">
        <v>3566</v>
      </c>
      <c r="O221">
        <v>7</v>
      </c>
      <c r="P221" t="s">
        <v>3573</v>
      </c>
      <c r="Q221" t="s">
        <v>3573</v>
      </c>
      <c r="R221" t="s">
        <v>68</v>
      </c>
    </row>
    <row r="222" spans="1:18">
      <c r="A222" t="s">
        <v>836</v>
      </c>
      <c r="B222" t="s">
        <v>9</v>
      </c>
      <c r="C222" t="s">
        <v>2473</v>
      </c>
      <c r="D222" t="s">
        <v>3551</v>
      </c>
      <c r="E222">
        <v>22</v>
      </c>
      <c r="F222" t="s">
        <v>3555</v>
      </c>
      <c r="G222">
        <v>1</v>
      </c>
      <c r="H222">
        <v>0</v>
      </c>
      <c r="I222">
        <v>113509</v>
      </c>
      <c r="J222">
        <v>61.979199999999999</v>
      </c>
      <c r="K222" t="s">
        <v>3582</v>
      </c>
      <c r="L222" t="s">
        <v>299</v>
      </c>
      <c r="M222" t="s">
        <v>70</v>
      </c>
      <c r="N222" t="s">
        <v>3566</v>
      </c>
      <c r="O222">
        <v>5</v>
      </c>
      <c r="P222" t="s">
        <v>3573</v>
      </c>
      <c r="Q222" t="s">
        <v>3573</v>
      </c>
      <c r="R222" t="s">
        <v>300</v>
      </c>
    </row>
    <row r="223" spans="1:18">
      <c r="A223" t="s">
        <v>836</v>
      </c>
      <c r="B223" t="s">
        <v>840</v>
      </c>
      <c r="C223" t="s">
        <v>2474</v>
      </c>
      <c r="D223" t="s">
        <v>3552</v>
      </c>
      <c r="E223">
        <v>65</v>
      </c>
      <c r="F223" t="s">
        <v>3559</v>
      </c>
      <c r="G223">
        <v>1</v>
      </c>
      <c r="H223">
        <v>0</v>
      </c>
      <c r="I223">
        <v>113509</v>
      </c>
      <c r="J223">
        <v>61.979199999999999</v>
      </c>
      <c r="K223" t="s">
        <v>3582</v>
      </c>
      <c r="L223" t="s">
        <v>301</v>
      </c>
      <c r="M223" t="s">
        <v>70</v>
      </c>
      <c r="N223" t="s">
        <v>3566</v>
      </c>
      <c r="O223" t="s">
        <v>3569</v>
      </c>
      <c r="P223">
        <v>234</v>
      </c>
      <c r="Q223" t="s">
        <v>3574</v>
      </c>
      <c r="R223" t="s">
        <v>300</v>
      </c>
    </row>
    <row r="224" spans="1:18">
      <c r="A224" t="s">
        <v>836</v>
      </c>
      <c r="B224" t="s">
        <v>840</v>
      </c>
      <c r="C224" t="s">
        <v>2475</v>
      </c>
      <c r="D224" t="s">
        <v>3552</v>
      </c>
      <c r="E224">
        <v>29</v>
      </c>
      <c r="F224" t="s">
        <v>3555</v>
      </c>
      <c r="G224">
        <v>0</v>
      </c>
      <c r="H224">
        <v>0</v>
      </c>
      <c r="I224" t="s">
        <v>302</v>
      </c>
      <c r="J224">
        <v>27.720800000000001</v>
      </c>
      <c r="K224" t="s">
        <v>3584</v>
      </c>
      <c r="L224" t="s">
        <v>303</v>
      </c>
      <c r="M224" t="s">
        <v>59</v>
      </c>
      <c r="N224" t="s">
        <v>3566</v>
      </c>
      <c r="O224" t="s">
        <v>3569</v>
      </c>
      <c r="P224">
        <v>189</v>
      </c>
      <c r="Q224" t="s">
        <v>3574</v>
      </c>
      <c r="R224" t="s">
        <v>304</v>
      </c>
    </row>
    <row r="225" spans="1:18">
      <c r="A225" t="s">
        <v>836</v>
      </c>
      <c r="B225" t="s">
        <v>840</v>
      </c>
      <c r="C225" t="s">
        <v>2476</v>
      </c>
      <c r="D225" t="s">
        <v>3552</v>
      </c>
      <c r="E225">
        <v>28</v>
      </c>
      <c r="F225" t="s">
        <v>3555</v>
      </c>
      <c r="G225">
        <v>0</v>
      </c>
      <c r="H225">
        <v>0</v>
      </c>
      <c r="I225">
        <v>112052</v>
      </c>
      <c r="J225">
        <v>0</v>
      </c>
      <c r="K225" t="s">
        <v>3583</v>
      </c>
      <c r="L225" t="s">
        <v>3561</v>
      </c>
      <c r="M225" t="s">
        <v>3561</v>
      </c>
      <c r="N225" t="s">
        <v>457</v>
      </c>
      <c r="O225" t="s">
        <v>3569</v>
      </c>
      <c r="P225" t="s">
        <v>3573</v>
      </c>
      <c r="Q225" t="s">
        <v>3573</v>
      </c>
      <c r="R225" t="s">
        <v>305</v>
      </c>
    </row>
    <row r="226" spans="1:18">
      <c r="A226" t="s">
        <v>836</v>
      </c>
      <c r="B226" t="s">
        <v>840</v>
      </c>
      <c r="C226" t="s">
        <v>2477</v>
      </c>
      <c r="D226" t="s">
        <v>3552</v>
      </c>
      <c r="E226">
        <v>46</v>
      </c>
      <c r="F226" t="s">
        <v>3557</v>
      </c>
      <c r="G226">
        <v>0</v>
      </c>
      <c r="H226">
        <v>0</v>
      </c>
      <c r="I226">
        <v>113043</v>
      </c>
      <c r="J226">
        <v>28.5</v>
      </c>
      <c r="K226" t="s">
        <v>3584</v>
      </c>
      <c r="L226" t="s">
        <v>257</v>
      </c>
      <c r="M226" t="s">
        <v>62</v>
      </c>
      <c r="N226" t="s">
        <v>457</v>
      </c>
      <c r="O226" t="s">
        <v>3569</v>
      </c>
      <c r="P226">
        <v>166</v>
      </c>
      <c r="Q226" t="s">
        <v>3574</v>
      </c>
      <c r="R226" t="s">
        <v>306</v>
      </c>
    </row>
    <row r="227" spans="1:18">
      <c r="A227" t="s">
        <v>836</v>
      </c>
      <c r="B227" t="s">
        <v>840</v>
      </c>
      <c r="C227" t="s">
        <v>2478</v>
      </c>
      <c r="D227" t="s">
        <v>3552</v>
      </c>
      <c r="E227">
        <v>23</v>
      </c>
      <c r="F227" t="s">
        <v>3555</v>
      </c>
      <c r="G227">
        <v>0</v>
      </c>
      <c r="H227">
        <v>0</v>
      </c>
      <c r="I227">
        <v>12749</v>
      </c>
      <c r="J227">
        <v>93.5</v>
      </c>
      <c r="K227" t="s">
        <v>3582</v>
      </c>
      <c r="L227" t="s">
        <v>307</v>
      </c>
      <c r="M227" t="s">
        <v>70</v>
      </c>
      <c r="N227" t="s">
        <v>457</v>
      </c>
      <c r="O227" t="s">
        <v>3569</v>
      </c>
      <c r="P227" t="s">
        <v>3573</v>
      </c>
      <c r="Q227" t="s">
        <v>3573</v>
      </c>
      <c r="R227" t="s">
        <v>75</v>
      </c>
    </row>
    <row r="228" spans="1:18">
      <c r="A228" t="s">
        <v>836</v>
      </c>
      <c r="B228" t="s">
        <v>840</v>
      </c>
      <c r="C228" t="s">
        <v>2479</v>
      </c>
      <c r="D228" t="s">
        <v>3552</v>
      </c>
      <c r="E228">
        <v>29</v>
      </c>
      <c r="F228" t="s">
        <v>3555</v>
      </c>
      <c r="G228">
        <v>0</v>
      </c>
      <c r="H228">
        <v>1</v>
      </c>
      <c r="I228">
        <v>113776</v>
      </c>
      <c r="J228">
        <v>66.599999999999994</v>
      </c>
      <c r="K228" t="s">
        <v>3582</v>
      </c>
      <c r="L228" t="s">
        <v>308</v>
      </c>
      <c r="M228" t="s">
        <v>62</v>
      </c>
      <c r="N228" t="s">
        <v>457</v>
      </c>
      <c r="O228" t="s">
        <v>3569</v>
      </c>
      <c r="P228" t="s">
        <v>3573</v>
      </c>
      <c r="Q228" t="s">
        <v>3573</v>
      </c>
      <c r="R228" t="s">
        <v>309</v>
      </c>
    </row>
    <row r="229" spans="1:18">
      <c r="A229" t="s">
        <v>836</v>
      </c>
      <c r="B229" t="s">
        <v>9</v>
      </c>
      <c r="C229" t="s">
        <v>2480</v>
      </c>
      <c r="D229" t="s">
        <v>3551</v>
      </c>
      <c r="E229">
        <v>22</v>
      </c>
      <c r="F229" t="s">
        <v>3555</v>
      </c>
      <c r="G229">
        <v>0</v>
      </c>
      <c r="H229">
        <v>1</v>
      </c>
      <c r="I229">
        <v>113776</v>
      </c>
      <c r="J229">
        <v>66.599999999999994</v>
      </c>
      <c r="K229" t="s">
        <v>3582</v>
      </c>
      <c r="L229" t="s">
        <v>308</v>
      </c>
      <c r="M229" t="s">
        <v>62</v>
      </c>
      <c r="N229" t="s">
        <v>457</v>
      </c>
      <c r="O229">
        <v>8</v>
      </c>
      <c r="P229" t="s">
        <v>3573</v>
      </c>
      <c r="Q229" t="s">
        <v>3573</v>
      </c>
      <c r="R229" t="s">
        <v>309</v>
      </c>
    </row>
    <row r="230" spans="1:18">
      <c r="A230" t="s">
        <v>836</v>
      </c>
      <c r="B230" t="s">
        <v>840</v>
      </c>
      <c r="C230" t="s">
        <v>2481</v>
      </c>
      <c r="D230" t="s">
        <v>3552</v>
      </c>
      <c r="E230">
        <v>18</v>
      </c>
      <c r="F230" t="s">
        <v>3555</v>
      </c>
      <c r="G230">
        <v>0</v>
      </c>
      <c r="H230">
        <v>1</v>
      </c>
      <c r="I230" t="s">
        <v>296</v>
      </c>
      <c r="J230">
        <v>108.9</v>
      </c>
      <c r="K230" t="s">
        <v>3582</v>
      </c>
      <c r="L230" t="s">
        <v>310</v>
      </c>
      <c r="M230" t="s">
        <v>62</v>
      </c>
      <c r="N230" t="s">
        <v>3566</v>
      </c>
      <c r="O230" t="s">
        <v>3569</v>
      </c>
      <c r="P230" t="s">
        <v>3573</v>
      </c>
      <c r="Q230" t="s">
        <v>3573</v>
      </c>
      <c r="R230" t="s">
        <v>311</v>
      </c>
    </row>
    <row r="231" spans="1:18">
      <c r="A231" t="s">
        <v>836</v>
      </c>
      <c r="B231" t="s">
        <v>9</v>
      </c>
      <c r="C231" t="s">
        <v>2481</v>
      </c>
      <c r="D231" t="s">
        <v>3551</v>
      </c>
      <c r="E231">
        <v>17</v>
      </c>
      <c r="F231" t="s">
        <v>3560</v>
      </c>
      <c r="G231">
        <v>0</v>
      </c>
      <c r="H231">
        <v>1</v>
      </c>
      <c r="I231" t="s">
        <v>296</v>
      </c>
      <c r="J231">
        <v>108.9</v>
      </c>
      <c r="K231" t="s">
        <v>3582</v>
      </c>
      <c r="L231" t="s">
        <v>310</v>
      </c>
      <c r="M231" t="s">
        <v>62</v>
      </c>
      <c r="N231" t="s">
        <v>3566</v>
      </c>
      <c r="O231">
        <v>8</v>
      </c>
      <c r="P231" t="s">
        <v>3573</v>
      </c>
      <c r="Q231" t="s">
        <v>3573</v>
      </c>
      <c r="R231" t="s">
        <v>311</v>
      </c>
    </row>
    <row r="232" spans="1:18">
      <c r="A232" t="s">
        <v>836</v>
      </c>
      <c r="B232" t="s">
        <v>9</v>
      </c>
      <c r="C232" t="s">
        <v>2482</v>
      </c>
      <c r="D232" t="s">
        <v>3551</v>
      </c>
      <c r="E232">
        <v>30</v>
      </c>
      <c r="F232" t="s">
        <v>3557</v>
      </c>
      <c r="G232">
        <v>0</v>
      </c>
      <c r="H232">
        <v>0</v>
      </c>
      <c r="I232">
        <v>12749</v>
      </c>
      <c r="J232">
        <v>93.5</v>
      </c>
      <c r="K232" t="s">
        <v>3582</v>
      </c>
      <c r="L232" t="s">
        <v>312</v>
      </c>
      <c r="M232" t="s">
        <v>70</v>
      </c>
      <c r="N232" t="s">
        <v>457</v>
      </c>
      <c r="O232">
        <v>3</v>
      </c>
      <c r="P232" t="s">
        <v>3573</v>
      </c>
      <c r="Q232" t="s">
        <v>3573</v>
      </c>
    </row>
    <row r="233" spans="1:18">
      <c r="A233" t="s">
        <v>836</v>
      </c>
      <c r="B233" t="s">
        <v>9</v>
      </c>
      <c r="C233" t="s">
        <v>2483</v>
      </c>
      <c r="D233" t="s">
        <v>3552</v>
      </c>
      <c r="E233">
        <v>52</v>
      </c>
      <c r="F233" t="s">
        <v>3557</v>
      </c>
      <c r="G233">
        <v>0</v>
      </c>
      <c r="H233">
        <v>0</v>
      </c>
      <c r="I233">
        <v>113786</v>
      </c>
      <c r="J233">
        <v>30.5</v>
      </c>
      <c r="K233" t="s">
        <v>3584</v>
      </c>
      <c r="L233" t="s">
        <v>313</v>
      </c>
      <c r="M233" t="s">
        <v>62</v>
      </c>
      <c r="N233" t="s">
        <v>457</v>
      </c>
      <c r="O233">
        <v>6</v>
      </c>
      <c r="P233" t="s">
        <v>3573</v>
      </c>
      <c r="Q233" t="s">
        <v>3573</v>
      </c>
      <c r="R233" t="s">
        <v>314</v>
      </c>
    </row>
    <row r="234" spans="1:18">
      <c r="A234" t="s">
        <v>836</v>
      </c>
      <c r="B234" t="s">
        <v>840</v>
      </c>
      <c r="C234" t="s">
        <v>2484</v>
      </c>
      <c r="D234" t="s">
        <v>3552</v>
      </c>
      <c r="E234">
        <v>47</v>
      </c>
      <c r="F234" t="s">
        <v>3557</v>
      </c>
      <c r="G234">
        <v>0</v>
      </c>
      <c r="H234">
        <v>0</v>
      </c>
      <c r="I234">
        <v>110465</v>
      </c>
      <c r="J234">
        <v>52</v>
      </c>
      <c r="K234" t="s">
        <v>3582</v>
      </c>
      <c r="L234" t="s">
        <v>315</v>
      </c>
      <c r="M234" t="s">
        <v>62</v>
      </c>
      <c r="N234" t="s">
        <v>457</v>
      </c>
      <c r="O234" t="s">
        <v>3569</v>
      </c>
      <c r="P234">
        <v>207</v>
      </c>
      <c r="Q234" t="s">
        <v>3574</v>
      </c>
      <c r="R234" t="s">
        <v>316</v>
      </c>
    </row>
    <row r="235" spans="1:18">
      <c r="A235" t="s">
        <v>836</v>
      </c>
      <c r="B235" t="s">
        <v>9</v>
      </c>
      <c r="C235" t="s">
        <v>2485</v>
      </c>
      <c r="D235" t="s">
        <v>3551</v>
      </c>
      <c r="E235">
        <v>56</v>
      </c>
      <c r="F235" t="s">
        <v>3557</v>
      </c>
      <c r="G235">
        <v>1</v>
      </c>
      <c r="H235">
        <v>0</v>
      </c>
      <c r="I235">
        <v>11767</v>
      </c>
      <c r="J235">
        <v>83.158299999999997</v>
      </c>
      <c r="K235" t="s">
        <v>3582</v>
      </c>
      <c r="L235" t="s">
        <v>317</v>
      </c>
      <c r="M235" t="s">
        <v>62</v>
      </c>
      <c r="N235" t="s">
        <v>3566</v>
      </c>
      <c r="O235">
        <v>7</v>
      </c>
      <c r="P235" t="s">
        <v>3573</v>
      </c>
      <c r="Q235" t="s">
        <v>3573</v>
      </c>
      <c r="R235" t="s">
        <v>176</v>
      </c>
    </row>
    <row r="236" spans="1:18">
      <c r="A236" t="s">
        <v>836</v>
      </c>
      <c r="B236" t="s">
        <v>840</v>
      </c>
      <c r="C236" t="s">
        <v>2486</v>
      </c>
      <c r="D236" t="s">
        <v>3552</v>
      </c>
      <c r="E236">
        <v>38</v>
      </c>
      <c r="F236" t="s">
        <v>3557</v>
      </c>
      <c r="G236">
        <v>0</v>
      </c>
      <c r="H236">
        <v>0</v>
      </c>
      <c r="I236">
        <v>19972</v>
      </c>
      <c r="J236">
        <v>0</v>
      </c>
      <c r="K236" t="s">
        <v>3583</v>
      </c>
      <c r="L236" t="s">
        <v>3561</v>
      </c>
      <c r="M236" t="s">
        <v>3561</v>
      </c>
      <c r="N236" t="s">
        <v>457</v>
      </c>
      <c r="O236" t="s">
        <v>3569</v>
      </c>
      <c r="P236" t="s">
        <v>3573</v>
      </c>
      <c r="Q236" t="s">
        <v>3573</v>
      </c>
      <c r="R236" t="s">
        <v>318</v>
      </c>
    </row>
    <row r="237" spans="1:18">
      <c r="A237" t="s">
        <v>836</v>
      </c>
      <c r="B237" t="s">
        <v>9</v>
      </c>
      <c r="C237" t="s">
        <v>2487</v>
      </c>
      <c r="D237" t="s">
        <v>3552</v>
      </c>
      <c r="E237">
        <v>28</v>
      </c>
      <c r="F237" t="s">
        <v>3555</v>
      </c>
      <c r="G237">
        <v>0</v>
      </c>
      <c r="H237">
        <v>0</v>
      </c>
      <c r="I237" t="s">
        <v>319</v>
      </c>
      <c r="J237">
        <v>39.6</v>
      </c>
      <c r="K237" t="s">
        <v>3584</v>
      </c>
      <c r="L237" t="s">
        <v>3561</v>
      </c>
      <c r="M237" t="s">
        <v>3561</v>
      </c>
      <c r="N237" t="s">
        <v>457</v>
      </c>
      <c r="O237" t="s">
        <v>78</v>
      </c>
      <c r="P237" t="s">
        <v>3573</v>
      </c>
      <c r="Q237" t="s">
        <v>3573</v>
      </c>
      <c r="R237" t="s">
        <v>320</v>
      </c>
    </row>
    <row r="238" spans="1:18">
      <c r="A238" t="s">
        <v>836</v>
      </c>
      <c r="B238" t="s">
        <v>840</v>
      </c>
      <c r="C238" t="s">
        <v>2488</v>
      </c>
      <c r="D238" t="s">
        <v>3552</v>
      </c>
      <c r="E238">
        <v>22</v>
      </c>
      <c r="F238" t="s">
        <v>3555</v>
      </c>
      <c r="G238">
        <v>0</v>
      </c>
      <c r="H238">
        <v>0</v>
      </c>
      <c r="I238" t="s">
        <v>87</v>
      </c>
      <c r="J238">
        <v>135.63329999999999</v>
      </c>
      <c r="K238" t="s">
        <v>3582</v>
      </c>
      <c r="L238" t="s">
        <v>3561</v>
      </c>
      <c r="M238" t="s">
        <v>3561</v>
      </c>
      <c r="N238" t="s">
        <v>3566</v>
      </c>
      <c r="O238" t="s">
        <v>3569</v>
      </c>
      <c r="P238">
        <v>232</v>
      </c>
      <c r="Q238" t="s">
        <v>3574</v>
      </c>
    </row>
    <row r="239" spans="1:18">
      <c r="A239" t="s">
        <v>836</v>
      </c>
      <c r="B239" t="s">
        <v>840</v>
      </c>
      <c r="C239" t="s">
        <v>2489</v>
      </c>
      <c r="D239" t="s">
        <v>3552</v>
      </c>
      <c r="E239">
        <v>28</v>
      </c>
      <c r="F239" t="s">
        <v>3555</v>
      </c>
      <c r="G239">
        <v>0</v>
      </c>
      <c r="H239">
        <v>0</v>
      </c>
      <c r="I239" t="s">
        <v>64</v>
      </c>
      <c r="J239">
        <v>227.52500000000001</v>
      </c>
      <c r="K239" t="s">
        <v>3582</v>
      </c>
      <c r="L239" t="s">
        <v>3561</v>
      </c>
      <c r="M239" t="s">
        <v>3561</v>
      </c>
      <c r="N239" t="s">
        <v>3566</v>
      </c>
      <c r="O239" t="s">
        <v>3569</v>
      </c>
      <c r="P239" t="s">
        <v>3573</v>
      </c>
      <c r="Q239" t="s">
        <v>3573</v>
      </c>
    </row>
    <row r="240" spans="1:18">
      <c r="A240" t="s">
        <v>836</v>
      </c>
      <c r="B240" t="s">
        <v>9</v>
      </c>
      <c r="C240" t="s">
        <v>2490</v>
      </c>
      <c r="D240" t="s">
        <v>3551</v>
      </c>
      <c r="E240">
        <v>43</v>
      </c>
      <c r="F240" t="s">
        <v>3557</v>
      </c>
      <c r="G240">
        <v>1</v>
      </c>
      <c r="H240">
        <v>0</v>
      </c>
      <c r="I240">
        <v>24160</v>
      </c>
      <c r="J240">
        <v>211.33750000000001</v>
      </c>
      <c r="K240" t="s">
        <v>3582</v>
      </c>
      <c r="L240" t="s">
        <v>321</v>
      </c>
      <c r="M240" t="s">
        <v>70</v>
      </c>
      <c r="N240" t="s">
        <v>457</v>
      </c>
      <c r="O240">
        <v>2</v>
      </c>
      <c r="P240" t="s">
        <v>3573</v>
      </c>
      <c r="Q240" t="s">
        <v>3573</v>
      </c>
      <c r="R240" t="s">
        <v>49</v>
      </c>
    </row>
    <row r="241" spans="1:18">
      <c r="A241" t="s">
        <v>836</v>
      </c>
      <c r="B241" t="s">
        <v>840</v>
      </c>
      <c r="C241" t="s">
        <v>2491</v>
      </c>
      <c r="D241" t="s">
        <v>3552</v>
      </c>
      <c r="E241">
        <v>31</v>
      </c>
      <c r="F241" t="s">
        <v>3557</v>
      </c>
      <c r="G241">
        <v>0</v>
      </c>
      <c r="H241">
        <v>0</v>
      </c>
      <c r="I241" t="s">
        <v>322</v>
      </c>
      <c r="J241">
        <v>50.495800000000003</v>
      </c>
      <c r="K241" t="s">
        <v>3582</v>
      </c>
      <c r="L241" t="s">
        <v>323</v>
      </c>
      <c r="M241" t="s">
        <v>78</v>
      </c>
      <c r="N241" t="s">
        <v>457</v>
      </c>
      <c r="O241" t="s">
        <v>3569</v>
      </c>
      <c r="P241" t="s">
        <v>3573</v>
      </c>
      <c r="Q241" t="s">
        <v>3573</v>
      </c>
      <c r="R241" t="s">
        <v>92</v>
      </c>
    </row>
    <row r="242" spans="1:18">
      <c r="A242" t="s">
        <v>836</v>
      </c>
      <c r="B242" t="s">
        <v>9</v>
      </c>
      <c r="C242" t="s">
        <v>2492</v>
      </c>
      <c r="D242" t="s">
        <v>3552</v>
      </c>
      <c r="E242">
        <v>45</v>
      </c>
      <c r="F242" t="s">
        <v>3557</v>
      </c>
      <c r="G242">
        <v>0</v>
      </c>
      <c r="H242">
        <v>0</v>
      </c>
      <c r="I242">
        <v>111428</v>
      </c>
      <c r="J242">
        <v>26.55</v>
      </c>
      <c r="K242" t="s">
        <v>3584</v>
      </c>
      <c r="L242" t="s">
        <v>3561</v>
      </c>
      <c r="M242" t="s">
        <v>3561</v>
      </c>
      <c r="N242" t="s">
        <v>457</v>
      </c>
      <c r="O242">
        <v>9</v>
      </c>
      <c r="P242" t="s">
        <v>3573</v>
      </c>
      <c r="Q242" t="s">
        <v>3573</v>
      </c>
      <c r="R242" t="s">
        <v>53</v>
      </c>
    </row>
    <row r="243" spans="1:18">
      <c r="A243" t="s">
        <v>836</v>
      </c>
      <c r="B243" t="s">
        <v>840</v>
      </c>
      <c r="C243" t="s">
        <v>2493</v>
      </c>
      <c r="D243" t="s">
        <v>3552</v>
      </c>
      <c r="E243">
        <v>28</v>
      </c>
      <c r="F243" t="s">
        <v>3555</v>
      </c>
      <c r="G243">
        <v>0</v>
      </c>
      <c r="H243">
        <v>0</v>
      </c>
      <c r="I243">
        <v>113767</v>
      </c>
      <c r="J243">
        <v>50</v>
      </c>
      <c r="K243" t="s">
        <v>3584</v>
      </c>
      <c r="L243" t="s">
        <v>324</v>
      </c>
      <c r="M243" t="s">
        <v>78</v>
      </c>
      <c r="N243" t="s">
        <v>457</v>
      </c>
      <c r="O243" t="s">
        <v>3569</v>
      </c>
      <c r="P243" t="s">
        <v>3573</v>
      </c>
      <c r="Q243" t="s">
        <v>3573</v>
      </c>
      <c r="R243" t="s">
        <v>325</v>
      </c>
    </row>
    <row r="244" spans="1:18">
      <c r="A244" t="s">
        <v>836</v>
      </c>
      <c r="B244" t="s">
        <v>9</v>
      </c>
      <c r="C244" t="s">
        <v>2494</v>
      </c>
      <c r="D244" t="s">
        <v>3551</v>
      </c>
      <c r="E244">
        <v>33</v>
      </c>
      <c r="F244" t="s">
        <v>3557</v>
      </c>
      <c r="G244">
        <v>0</v>
      </c>
      <c r="H244">
        <v>0</v>
      </c>
      <c r="I244" t="s">
        <v>326</v>
      </c>
      <c r="J244">
        <v>27.720800000000001</v>
      </c>
      <c r="K244" t="s">
        <v>3584</v>
      </c>
      <c r="L244" t="s">
        <v>327</v>
      </c>
      <c r="M244" t="s">
        <v>78</v>
      </c>
      <c r="N244" t="s">
        <v>3566</v>
      </c>
      <c r="O244">
        <v>11</v>
      </c>
      <c r="P244" t="s">
        <v>3573</v>
      </c>
      <c r="Q244" t="s">
        <v>3573</v>
      </c>
      <c r="R244" t="s">
        <v>68</v>
      </c>
    </row>
    <row r="245" spans="1:18">
      <c r="A245" t="s">
        <v>836</v>
      </c>
      <c r="B245" t="s">
        <v>840</v>
      </c>
      <c r="C245" t="s">
        <v>2495</v>
      </c>
      <c r="D245" t="s">
        <v>3552</v>
      </c>
      <c r="E245">
        <v>46</v>
      </c>
      <c r="F245" t="s">
        <v>3557</v>
      </c>
      <c r="G245">
        <v>0</v>
      </c>
      <c r="H245">
        <v>0</v>
      </c>
      <c r="I245" t="s">
        <v>328</v>
      </c>
      <c r="J245">
        <v>79.2</v>
      </c>
      <c r="K245" t="s">
        <v>3582</v>
      </c>
      <c r="L245" t="s">
        <v>3561</v>
      </c>
      <c r="M245" t="s">
        <v>3561</v>
      </c>
      <c r="N245" t="s">
        <v>3566</v>
      </c>
      <c r="O245" t="s">
        <v>3569</v>
      </c>
      <c r="P245">
        <v>16</v>
      </c>
      <c r="Q245" t="s">
        <v>3574</v>
      </c>
      <c r="R245" t="s">
        <v>53</v>
      </c>
    </row>
    <row r="246" spans="1:18">
      <c r="A246" t="s">
        <v>836</v>
      </c>
      <c r="B246" t="s">
        <v>840</v>
      </c>
      <c r="C246" t="s">
        <v>2496</v>
      </c>
      <c r="D246" t="s">
        <v>3552</v>
      </c>
      <c r="E246">
        <v>36</v>
      </c>
      <c r="F246" t="s">
        <v>3557</v>
      </c>
      <c r="G246">
        <v>0</v>
      </c>
      <c r="H246">
        <v>0</v>
      </c>
      <c r="I246">
        <v>13049</v>
      </c>
      <c r="J246">
        <v>40.125</v>
      </c>
      <c r="K246" t="s">
        <v>3584</v>
      </c>
      <c r="L246" t="s">
        <v>329</v>
      </c>
      <c r="M246" t="s">
        <v>78</v>
      </c>
      <c r="N246" t="s">
        <v>3566</v>
      </c>
      <c r="O246" t="s">
        <v>3569</v>
      </c>
      <c r="P246" t="s">
        <v>3573</v>
      </c>
      <c r="Q246" t="s">
        <v>3573</v>
      </c>
      <c r="R246" t="s">
        <v>189</v>
      </c>
    </row>
    <row r="247" spans="1:18">
      <c r="A247" t="s">
        <v>836</v>
      </c>
      <c r="B247" t="s">
        <v>9</v>
      </c>
      <c r="C247" t="s">
        <v>2497</v>
      </c>
      <c r="D247" t="s">
        <v>3551</v>
      </c>
      <c r="E247">
        <v>33</v>
      </c>
      <c r="F247" t="s">
        <v>3557</v>
      </c>
      <c r="G247">
        <v>0</v>
      </c>
      <c r="H247">
        <v>0</v>
      </c>
      <c r="I247">
        <v>110152</v>
      </c>
      <c r="J247">
        <v>86.5</v>
      </c>
      <c r="K247" t="s">
        <v>3582</v>
      </c>
      <c r="L247" t="s">
        <v>137</v>
      </c>
      <c r="M247" t="s">
        <v>70</v>
      </c>
      <c r="N247" t="s">
        <v>457</v>
      </c>
      <c r="O247">
        <v>8</v>
      </c>
      <c r="P247" t="s">
        <v>3573</v>
      </c>
      <c r="Q247" t="s">
        <v>3573</v>
      </c>
      <c r="R247" t="s">
        <v>330</v>
      </c>
    </row>
    <row r="248" spans="1:18">
      <c r="A248" t="s">
        <v>836</v>
      </c>
      <c r="B248" t="s">
        <v>840</v>
      </c>
      <c r="C248" t="s">
        <v>2498</v>
      </c>
      <c r="D248" t="s">
        <v>3552</v>
      </c>
      <c r="E248">
        <v>55</v>
      </c>
      <c r="F248" t="s">
        <v>3557</v>
      </c>
      <c r="G248">
        <v>0</v>
      </c>
      <c r="H248">
        <v>1</v>
      </c>
      <c r="I248" t="s">
        <v>331</v>
      </c>
      <c r="J248">
        <v>59.4</v>
      </c>
      <c r="K248" t="s">
        <v>3582</v>
      </c>
      <c r="L248" t="s">
        <v>3561</v>
      </c>
      <c r="M248" t="s">
        <v>3561</v>
      </c>
      <c r="N248" t="s">
        <v>3566</v>
      </c>
      <c r="O248" t="s">
        <v>3569</v>
      </c>
      <c r="P248" t="s">
        <v>3573</v>
      </c>
      <c r="Q248" t="s">
        <v>3573</v>
      </c>
      <c r="R248" t="s">
        <v>53</v>
      </c>
    </row>
    <row r="249" spans="1:18">
      <c r="A249" t="s">
        <v>836</v>
      </c>
      <c r="B249" t="s">
        <v>9</v>
      </c>
      <c r="C249" t="s">
        <v>2499</v>
      </c>
      <c r="D249" t="s">
        <v>3551</v>
      </c>
      <c r="E249">
        <v>54</v>
      </c>
      <c r="F249" t="s">
        <v>3557</v>
      </c>
      <c r="G249">
        <v>0</v>
      </c>
      <c r="H249">
        <v>1</v>
      </c>
      <c r="I249" t="s">
        <v>331</v>
      </c>
      <c r="J249">
        <v>59.4</v>
      </c>
      <c r="K249" t="s">
        <v>3582</v>
      </c>
      <c r="L249" t="s">
        <v>3561</v>
      </c>
      <c r="M249" t="s">
        <v>3561</v>
      </c>
      <c r="N249" t="s">
        <v>3566</v>
      </c>
      <c r="O249">
        <v>6</v>
      </c>
      <c r="P249" t="s">
        <v>3573</v>
      </c>
      <c r="Q249" t="s">
        <v>3573</v>
      </c>
      <c r="R249" t="s">
        <v>53</v>
      </c>
    </row>
    <row r="250" spans="1:18">
      <c r="A250" t="s">
        <v>836</v>
      </c>
      <c r="B250" t="s">
        <v>840</v>
      </c>
      <c r="C250" t="s">
        <v>2500</v>
      </c>
      <c r="D250" t="s">
        <v>3552</v>
      </c>
      <c r="E250">
        <v>33</v>
      </c>
      <c r="F250" t="s">
        <v>3557</v>
      </c>
      <c r="G250">
        <v>0</v>
      </c>
      <c r="H250">
        <v>0</v>
      </c>
      <c r="I250">
        <v>113790</v>
      </c>
      <c r="J250">
        <v>26.55</v>
      </c>
      <c r="K250" t="s">
        <v>3584</v>
      </c>
      <c r="L250" t="s">
        <v>3561</v>
      </c>
      <c r="M250" t="s">
        <v>3561</v>
      </c>
      <c r="N250" t="s">
        <v>457</v>
      </c>
      <c r="O250" t="s">
        <v>3569</v>
      </c>
      <c r="P250">
        <v>109</v>
      </c>
      <c r="Q250" t="s">
        <v>3574</v>
      </c>
      <c r="R250" t="s">
        <v>249</v>
      </c>
    </row>
    <row r="251" spans="1:18">
      <c r="A251" t="s">
        <v>836</v>
      </c>
      <c r="B251" t="s">
        <v>9</v>
      </c>
      <c r="C251" t="s">
        <v>2501</v>
      </c>
      <c r="D251" t="s">
        <v>3552</v>
      </c>
      <c r="E251">
        <v>13</v>
      </c>
      <c r="F251" t="s">
        <v>3560</v>
      </c>
      <c r="G251">
        <v>2</v>
      </c>
      <c r="H251">
        <v>2</v>
      </c>
      <c r="I251" t="s">
        <v>101</v>
      </c>
      <c r="J251">
        <v>262.375</v>
      </c>
      <c r="K251" t="s">
        <v>3582</v>
      </c>
      <c r="L251" t="s">
        <v>332</v>
      </c>
      <c r="M251" t="s">
        <v>70</v>
      </c>
      <c r="N251" t="s">
        <v>3566</v>
      </c>
      <c r="O251">
        <v>4</v>
      </c>
      <c r="P251" t="s">
        <v>3573</v>
      </c>
      <c r="Q251" t="s">
        <v>3573</v>
      </c>
      <c r="R251" t="s">
        <v>333</v>
      </c>
    </row>
    <row r="252" spans="1:18">
      <c r="A252" t="s">
        <v>836</v>
      </c>
      <c r="B252" t="s">
        <v>9</v>
      </c>
      <c r="C252" t="s">
        <v>2502</v>
      </c>
      <c r="D252" t="s">
        <v>3551</v>
      </c>
      <c r="E252">
        <v>18</v>
      </c>
      <c r="F252" t="s">
        <v>3555</v>
      </c>
      <c r="G252">
        <v>2</v>
      </c>
      <c r="H252">
        <v>2</v>
      </c>
      <c r="I252" t="s">
        <v>101</v>
      </c>
      <c r="J252">
        <v>262.375</v>
      </c>
      <c r="K252" t="s">
        <v>3582</v>
      </c>
      <c r="L252" t="s">
        <v>332</v>
      </c>
      <c r="M252" t="s">
        <v>70</v>
      </c>
      <c r="N252" t="s">
        <v>3566</v>
      </c>
      <c r="O252">
        <v>4</v>
      </c>
      <c r="P252" t="s">
        <v>3573</v>
      </c>
      <c r="Q252" t="s">
        <v>3573</v>
      </c>
      <c r="R252" t="s">
        <v>333</v>
      </c>
    </row>
    <row r="253" spans="1:18">
      <c r="A253" t="s">
        <v>836</v>
      </c>
      <c r="B253" t="s">
        <v>9</v>
      </c>
      <c r="C253" t="s">
        <v>2503</v>
      </c>
      <c r="D253" t="s">
        <v>3551</v>
      </c>
      <c r="E253">
        <v>21</v>
      </c>
      <c r="F253" t="s">
        <v>3555</v>
      </c>
      <c r="G253">
        <v>2</v>
      </c>
      <c r="H253">
        <v>2</v>
      </c>
      <c r="I253" t="s">
        <v>101</v>
      </c>
      <c r="J253">
        <v>262.375</v>
      </c>
      <c r="K253" t="s">
        <v>3582</v>
      </c>
      <c r="L253" t="s">
        <v>332</v>
      </c>
      <c r="M253" t="s">
        <v>70</v>
      </c>
      <c r="N253" t="s">
        <v>3566</v>
      </c>
      <c r="O253">
        <v>4</v>
      </c>
      <c r="P253" t="s">
        <v>3573</v>
      </c>
      <c r="Q253" t="s">
        <v>3573</v>
      </c>
      <c r="R253" t="s">
        <v>333</v>
      </c>
    </row>
    <row r="254" spans="1:18">
      <c r="A254" t="s">
        <v>836</v>
      </c>
      <c r="B254" t="s">
        <v>840</v>
      </c>
      <c r="C254" t="s">
        <v>2504</v>
      </c>
      <c r="D254" t="s">
        <v>3552</v>
      </c>
      <c r="E254">
        <v>61</v>
      </c>
      <c r="F254" t="s">
        <v>3559</v>
      </c>
      <c r="G254">
        <v>3</v>
      </c>
      <c r="H254">
        <v>1</v>
      </c>
      <c r="I254" t="s">
        <v>101</v>
      </c>
      <c r="J254">
        <v>262.375</v>
      </c>
      <c r="K254" t="s">
        <v>3582</v>
      </c>
      <c r="L254" t="s">
        <v>332</v>
      </c>
      <c r="M254" t="s">
        <v>70</v>
      </c>
      <c r="N254" t="s">
        <v>3566</v>
      </c>
      <c r="O254" t="s">
        <v>3569</v>
      </c>
      <c r="P254" t="s">
        <v>3573</v>
      </c>
      <c r="Q254" t="s">
        <v>3573</v>
      </c>
      <c r="R254" t="s">
        <v>333</v>
      </c>
    </row>
    <row r="255" spans="1:18">
      <c r="A255" t="s">
        <v>836</v>
      </c>
      <c r="B255" t="s">
        <v>9</v>
      </c>
      <c r="C255" t="s">
        <v>2505</v>
      </c>
      <c r="D255" t="s">
        <v>3551</v>
      </c>
      <c r="E255">
        <v>48</v>
      </c>
      <c r="F255" t="s">
        <v>3557</v>
      </c>
      <c r="G255">
        <v>3</v>
      </c>
      <c r="H255">
        <v>1</v>
      </c>
      <c r="I255" t="s">
        <v>101</v>
      </c>
      <c r="J255">
        <v>262.375</v>
      </c>
      <c r="K255" t="s">
        <v>3582</v>
      </c>
      <c r="L255" t="s">
        <v>332</v>
      </c>
      <c r="M255" t="s">
        <v>70</v>
      </c>
      <c r="N255" t="s">
        <v>3566</v>
      </c>
      <c r="O255">
        <v>4</v>
      </c>
      <c r="P255" t="s">
        <v>3573</v>
      </c>
      <c r="Q255" t="s">
        <v>3573</v>
      </c>
      <c r="R255" t="s">
        <v>333</v>
      </c>
    </row>
    <row r="256" spans="1:18">
      <c r="A256" t="s">
        <v>836</v>
      </c>
      <c r="B256" t="s">
        <v>9</v>
      </c>
      <c r="C256" t="s">
        <v>2506</v>
      </c>
      <c r="D256" t="s">
        <v>3552</v>
      </c>
      <c r="E256">
        <v>28</v>
      </c>
      <c r="F256" t="s">
        <v>3555</v>
      </c>
      <c r="G256">
        <v>0</v>
      </c>
      <c r="H256">
        <v>0</v>
      </c>
      <c r="I256">
        <v>19988</v>
      </c>
      <c r="J256">
        <v>30.5</v>
      </c>
      <c r="K256" t="s">
        <v>3584</v>
      </c>
      <c r="L256" t="s">
        <v>271</v>
      </c>
      <c r="M256" t="s">
        <v>62</v>
      </c>
      <c r="N256" t="s">
        <v>457</v>
      </c>
      <c r="O256">
        <v>3</v>
      </c>
      <c r="P256" t="s">
        <v>3573</v>
      </c>
      <c r="Q256" t="s">
        <v>3573</v>
      </c>
      <c r="R256" t="s">
        <v>334</v>
      </c>
    </row>
    <row r="257" spans="1:18">
      <c r="A257" t="s">
        <v>836</v>
      </c>
      <c r="B257" t="s">
        <v>9</v>
      </c>
      <c r="C257" t="s">
        <v>2507</v>
      </c>
      <c r="D257" t="s">
        <v>3551</v>
      </c>
      <c r="E257">
        <v>24</v>
      </c>
      <c r="F257" t="s">
        <v>3555</v>
      </c>
      <c r="G257">
        <v>0</v>
      </c>
      <c r="H257">
        <v>0</v>
      </c>
      <c r="I257" t="s">
        <v>66</v>
      </c>
      <c r="J257">
        <v>69.3</v>
      </c>
      <c r="K257" t="s">
        <v>3582</v>
      </c>
      <c r="L257" t="s">
        <v>67</v>
      </c>
      <c r="M257" t="s">
        <v>70</v>
      </c>
      <c r="N257" t="s">
        <v>3566</v>
      </c>
      <c r="O257">
        <v>9</v>
      </c>
      <c r="P257" t="s">
        <v>3573</v>
      </c>
      <c r="Q257" t="s">
        <v>3573</v>
      </c>
    </row>
    <row r="258" spans="1:18">
      <c r="A258" t="s">
        <v>836</v>
      </c>
      <c r="B258" t="s">
        <v>9</v>
      </c>
      <c r="C258" t="s">
        <v>2508</v>
      </c>
      <c r="D258" t="s">
        <v>3552</v>
      </c>
      <c r="E258">
        <v>28</v>
      </c>
      <c r="F258" t="s">
        <v>3555</v>
      </c>
      <c r="G258">
        <v>0</v>
      </c>
      <c r="H258">
        <v>0</v>
      </c>
      <c r="I258">
        <v>111163</v>
      </c>
      <c r="J258">
        <v>26</v>
      </c>
      <c r="K258" t="s">
        <v>3584</v>
      </c>
      <c r="L258" t="s">
        <v>3561</v>
      </c>
      <c r="M258" t="s">
        <v>3561</v>
      </c>
      <c r="N258" t="s">
        <v>457</v>
      </c>
      <c r="O258">
        <v>1</v>
      </c>
      <c r="P258" t="s">
        <v>3573</v>
      </c>
      <c r="Q258" t="s">
        <v>3573</v>
      </c>
      <c r="R258" t="s">
        <v>53</v>
      </c>
    </row>
    <row r="259" spans="1:18">
      <c r="A259" t="s">
        <v>836</v>
      </c>
      <c r="B259" t="s">
        <v>9</v>
      </c>
      <c r="C259" t="s">
        <v>2509</v>
      </c>
      <c r="D259" t="s">
        <v>3551</v>
      </c>
      <c r="E259">
        <v>35</v>
      </c>
      <c r="F259" t="s">
        <v>3557</v>
      </c>
      <c r="G259">
        <v>0</v>
      </c>
      <c r="H259">
        <v>1</v>
      </c>
      <c r="I259">
        <v>13236</v>
      </c>
      <c r="J259">
        <v>57.75</v>
      </c>
      <c r="K259" t="s">
        <v>3582</v>
      </c>
      <c r="L259" t="s">
        <v>335</v>
      </c>
      <c r="M259" t="s">
        <v>62</v>
      </c>
      <c r="N259" t="s">
        <v>3566</v>
      </c>
      <c r="O259">
        <v>11</v>
      </c>
      <c r="P259" t="s">
        <v>3573</v>
      </c>
      <c r="Q259" t="s">
        <v>3573</v>
      </c>
      <c r="R259" t="s">
        <v>53</v>
      </c>
    </row>
    <row r="260" spans="1:18">
      <c r="A260" t="s">
        <v>836</v>
      </c>
      <c r="B260" t="s">
        <v>9</v>
      </c>
      <c r="C260" t="s">
        <v>2510</v>
      </c>
      <c r="D260" t="s">
        <v>3551</v>
      </c>
      <c r="E260">
        <v>30</v>
      </c>
      <c r="F260" t="s">
        <v>3557</v>
      </c>
      <c r="G260">
        <v>0</v>
      </c>
      <c r="H260">
        <v>0</v>
      </c>
      <c r="I260">
        <v>113798</v>
      </c>
      <c r="J260">
        <v>31</v>
      </c>
      <c r="K260" t="s">
        <v>3584</v>
      </c>
      <c r="L260" t="s">
        <v>3561</v>
      </c>
      <c r="M260" t="s">
        <v>3561</v>
      </c>
      <c r="N260" t="s">
        <v>3566</v>
      </c>
      <c r="O260">
        <v>4</v>
      </c>
      <c r="P260" t="s">
        <v>3573</v>
      </c>
      <c r="Q260" t="s">
        <v>3573</v>
      </c>
    </row>
    <row r="261" spans="1:18">
      <c r="A261" t="s">
        <v>836</v>
      </c>
      <c r="B261" t="s">
        <v>9</v>
      </c>
      <c r="C261" t="s">
        <v>2511</v>
      </c>
      <c r="D261" t="s">
        <v>3552</v>
      </c>
      <c r="E261">
        <v>34</v>
      </c>
      <c r="F261" t="s">
        <v>3557</v>
      </c>
      <c r="G261">
        <v>0</v>
      </c>
      <c r="H261">
        <v>0</v>
      </c>
      <c r="I261">
        <v>113794</v>
      </c>
      <c r="J261">
        <v>26.55</v>
      </c>
      <c r="K261" t="s">
        <v>3584</v>
      </c>
      <c r="L261" t="s">
        <v>3561</v>
      </c>
      <c r="M261" t="s">
        <v>3561</v>
      </c>
      <c r="N261" t="s">
        <v>457</v>
      </c>
      <c r="O261">
        <v>7</v>
      </c>
      <c r="P261" t="s">
        <v>3573</v>
      </c>
      <c r="Q261" t="s">
        <v>3573</v>
      </c>
      <c r="R261" t="s">
        <v>53</v>
      </c>
    </row>
    <row r="262" spans="1:18">
      <c r="A262" t="s">
        <v>836</v>
      </c>
      <c r="B262" t="s">
        <v>9</v>
      </c>
      <c r="C262" t="s">
        <v>2512</v>
      </c>
      <c r="D262" t="s">
        <v>3551</v>
      </c>
      <c r="E262">
        <v>40</v>
      </c>
      <c r="F262" t="s">
        <v>3557</v>
      </c>
      <c r="G262">
        <v>0</v>
      </c>
      <c r="H262">
        <v>0</v>
      </c>
      <c r="I262" t="s">
        <v>213</v>
      </c>
      <c r="J262">
        <v>153.46250000000001</v>
      </c>
      <c r="K262" t="s">
        <v>3582</v>
      </c>
      <c r="L262" t="s">
        <v>215</v>
      </c>
      <c r="M262" t="s">
        <v>62</v>
      </c>
      <c r="N262" t="s">
        <v>457</v>
      </c>
      <c r="O262">
        <v>3</v>
      </c>
      <c r="P262" t="s">
        <v>3573</v>
      </c>
      <c r="Q262" t="s">
        <v>3573</v>
      </c>
      <c r="R262" t="s">
        <v>336</v>
      </c>
    </row>
    <row r="263" spans="1:18">
      <c r="A263" t="s">
        <v>836</v>
      </c>
      <c r="B263" t="s">
        <v>9</v>
      </c>
      <c r="C263" t="s">
        <v>2513</v>
      </c>
      <c r="D263" t="s">
        <v>3552</v>
      </c>
      <c r="E263">
        <v>35</v>
      </c>
      <c r="F263" t="s">
        <v>3557</v>
      </c>
      <c r="G263">
        <v>0</v>
      </c>
      <c r="H263">
        <v>0</v>
      </c>
      <c r="I263" t="s">
        <v>337</v>
      </c>
      <c r="J263">
        <v>26.287500000000001</v>
      </c>
      <c r="K263" t="s">
        <v>3584</v>
      </c>
      <c r="L263" t="s">
        <v>120</v>
      </c>
      <c r="M263" t="s">
        <v>3564</v>
      </c>
      <c r="N263" t="s">
        <v>457</v>
      </c>
      <c r="O263">
        <v>5</v>
      </c>
      <c r="P263" t="s">
        <v>3573</v>
      </c>
      <c r="Q263" t="s">
        <v>3573</v>
      </c>
      <c r="R263" t="s">
        <v>49</v>
      </c>
    </row>
    <row r="264" spans="1:18">
      <c r="A264" t="s">
        <v>836</v>
      </c>
      <c r="B264" t="s">
        <v>840</v>
      </c>
      <c r="C264" t="s">
        <v>2514</v>
      </c>
      <c r="D264" t="s">
        <v>3552</v>
      </c>
      <c r="E264">
        <v>50</v>
      </c>
      <c r="F264" t="s">
        <v>3557</v>
      </c>
      <c r="G264">
        <v>0</v>
      </c>
      <c r="H264">
        <v>1</v>
      </c>
      <c r="I264">
        <v>13507</v>
      </c>
      <c r="J264">
        <v>55.9</v>
      </c>
      <c r="K264" t="s">
        <v>3582</v>
      </c>
      <c r="L264" t="s">
        <v>338</v>
      </c>
      <c r="M264" t="s">
        <v>3564</v>
      </c>
      <c r="N264" t="s">
        <v>457</v>
      </c>
      <c r="O264" t="s">
        <v>3569</v>
      </c>
      <c r="P264" t="s">
        <v>3573</v>
      </c>
      <c r="Q264" t="s">
        <v>3573</v>
      </c>
      <c r="R264" t="s">
        <v>339</v>
      </c>
    </row>
    <row r="265" spans="1:18">
      <c r="A265" t="s">
        <v>836</v>
      </c>
      <c r="B265" t="s">
        <v>9</v>
      </c>
      <c r="C265" t="s">
        <v>2515</v>
      </c>
      <c r="D265" t="s">
        <v>3551</v>
      </c>
      <c r="E265">
        <v>39</v>
      </c>
      <c r="F265" t="s">
        <v>3557</v>
      </c>
      <c r="G265">
        <v>0</v>
      </c>
      <c r="H265">
        <v>1</v>
      </c>
      <c r="I265">
        <v>13507</v>
      </c>
      <c r="J265">
        <v>55.9</v>
      </c>
      <c r="K265" t="s">
        <v>3582</v>
      </c>
      <c r="L265" t="s">
        <v>338</v>
      </c>
      <c r="M265" t="s">
        <v>3564</v>
      </c>
      <c r="N265" t="s">
        <v>457</v>
      </c>
      <c r="O265">
        <v>11</v>
      </c>
      <c r="P265" t="s">
        <v>3573</v>
      </c>
      <c r="Q265" t="s">
        <v>3573</v>
      </c>
      <c r="R265" t="s">
        <v>339</v>
      </c>
    </row>
    <row r="266" spans="1:18">
      <c r="A266" t="s">
        <v>836</v>
      </c>
      <c r="B266" t="s">
        <v>9</v>
      </c>
      <c r="C266" t="s">
        <v>2516</v>
      </c>
      <c r="D266" t="s">
        <v>3552</v>
      </c>
      <c r="E266">
        <v>56</v>
      </c>
      <c r="F266" t="s">
        <v>3557</v>
      </c>
      <c r="G266">
        <v>0</v>
      </c>
      <c r="H266">
        <v>0</v>
      </c>
      <c r="I266">
        <v>13213</v>
      </c>
      <c r="J266">
        <v>35.5</v>
      </c>
      <c r="K266" t="s">
        <v>3584</v>
      </c>
      <c r="L266" t="s">
        <v>340</v>
      </c>
      <c r="M266" t="s">
        <v>78</v>
      </c>
      <c r="N266" t="s">
        <v>3566</v>
      </c>
      <c r="O266">
        <v>3</v>
      </c>
      <c r="P266" t="s">
        <v>3573</v>
      </c>
      <c r="Q266" t="s">
        <v>3573</v>
      </c>
      <c r="R266" t="s">
        <v>341</v>
      </c>
    </row>
    <row r="267" spans="1:18">
      <c r="A267" t="s">
        <v>836</v>
      </c>
      <c r="B267" t="s">
        <v>9</v>
      </c>
      <c r="C267" t="s">
        <v>2517</v>
      </c>
      <c r="D267" t="s">
        <v>3552</v>
      </c>
      <c r="E267">
        <v>28</v>
      </c>
      <c r="F267" t="s">
        <v>3555</v>
      </c>
      <c r="G267">
        <v>0</v>
      </c>
      <c r="H267">
        <v>0</v>
      </c>
      <c r="I267">
        <v>113788</v>
      </c>
      <c r="J267">
        <v>35.5</v>
      </c>
      <c r="K267" t="s">
        <v>3584</v>
      </c>
      <c r="L267" t="s">
        <v>342</v>
      </c>
      <c r="M267" t="s">
        <v>78</v>
      </c>
      <c r="N267" t="s">
        <v>457</v>
      </c>
      <c r="O267">
        <v>7</v>
      </c>
      <c r="P267" t="s">
        <v>3573</v>
      </c>
      <c r="Q267" t="s">
        <v>3573</v>
      </c>
      <c r="R267" t="s">
        <v>343</v>
      </c>
    </row>
    <row r="268" spans="1:18">
      <c r="A268" t="s">
        <v>836</v>
      </c>
      <c r="B268" t="s">
        <v>840</v>
      </c>
      <c r="C268" t="s">
        <v>2518</v>
      </c>
      <c r="D268" t="s">
        <v>3552</v>
      </c>
      <c r="E268">
        <v>56</v>
      </c>
      <c r="F268" t="s">
        <v>3557</v>
      </c>
      <c r="G268">
        <v>0</v>
      </c>
      <c r="H268">
        <v>0</v>
      </c>
      <c r="I268">
        <v>113792</v>
      </c>
      <c r="J268">
        <v>26.55</v>
      </c>
      <c r="K268" t="s">
        <v>3584</v>
      </c>
      <c r="L268" t="s">
        <v>3561</v>
      </c>
      <c r="M268" t="s">
        <v>3561</v>
      </c>
      <c r="N268" t="s">
        <v>457</v>
      </c>
      <c r="O268" t="s">
        <v>3569</v>
      </c>
      <c r="P268" t="s">
        <v>3573</v>
      </c>
      <c r="Q268" t="s">
        <v>3573</v>
      </c>
      <c r="R268" t="s">
        <v>53</v>
      </c>
    </row>
    <row r="269" spans="1:18">
      <c r="A269" t="s">
        <v>836</v>
      </c>
      <c r="B269" t="s">
        <v>840</v>
      </c>
      <c r="C269" t="s">
        <v>2519</v>
      </c>
      <c r="D269" t="s">
        <v>3552</v>
      </c>
      <c r="E269">
        <v>56</v>
      </c>
      <c r="F269" t="s">
        <v>3557</v>
      </c>
      <c r="G269">
        <v>0</v>
      </c>
      <c r="H269">
        <v>0</v>
      </c>
      <c r="I269">
        <v>17764</v>
      </c>
      <c r="J269">
        <v>30.695799999999998</v>
      </c>
      <c r="K269" t="s">
        <v>3584</v>
      </c>
      <c r="L269" t="s">
        <v>344</v>
      </c>
      <c r="M269" t="s">
        <v>78</v>
      </c>
      <c r="N269" t="s">
        <v>3566</v>
      </c>
      <c r="O269" t="s">
        <v>3569</v>
      </c>
      <c r="P269" t="s">
        <v>3573</v>
      </c>
      <c r="Q269" t="s">
        <v>3573</v>
      </c>
      <c r="R269" t="s">
        <v>345</v>
      </c>
    </row>
    <row r="270" spans="1:18">
      <c r="A270" t="s">
        <v>836</v>
      </c>
      <c r="B270" t="s">
        <v>840</v>
      </c>
      <c r="C270" t="s">
        <v>2520</v>
      </c>
      <c r="D270" t="s">
        <v>3552</v>
      </c>
      <c r="E270">
        <v>24</v>
      </c>
      <c r="F270" t="s">
        <v>3555</v>
      </c>
      <c r="G270">
        <v>0</v>
      </c>
      <c r="H270">
        <v>1</v>
      </c>
      <c r="I270">
        <v>13695</v>
      </c>
      <c r="J270">
        <v>60</v>
      </c>
      <c r="K270" t="s">
        <v>3582</v>
      </c>
      <c r="L270" t="s">
        <v>346</v>
      </c>
      <c r="M270" t="s">
        <v>62</v>
      </c>
      <c r="N270" t="s">
        <v>457</v>
      </c>
      <c r="O270" t="s">
        <v>3569</v>
      </c>
      <c r="P270" t="s">
        <v>3573</v>
      </c>
      <c r="Q270" t="s">
        <v>3573</v>
      </c>
      <c r="R270" t="s">
        <v>347</v>
      </c>
    </row>
    <row r="271" spans="1:18">
      <c r="A271" t="s">
        <v>836</v>
      </c>
      <c r="B271" t="s">
        <v>840</v>
      </c>
      <c r="C271" t="s">
        <v>2521</v>
      </c>
      <c r="D271" t="s">
        <v>3552</v>
      </c>
      <c r="E271">
        <v>28</v>
      </c>
      <c r="F271" t="s">
        <v>3555</v>
      </c>
      <c r="G271">
        <v>0</v>
      </c>
      <c r="H271">
        <v>0</v>
      </c>
      <c r="I271">
        <v>113056</v>
      </c>
      <c r="J271">
        <v>26</v>
      </c>
      <c r="K271" t="s">
        <v>3584</v>
      </c>
      <c r="L271" t="s">
        <v>348</v>
      </c>
      <c r="M271" t="s">
        <v>78</v>
      </c>
      <c r="N271" t="s">
        <v>457</v>
      </c>
      <c r="O271" t="s">
        <v>3569</v>
      </c>
      <c r="P271" t="s">
        <v>3573</v>
      </c>
      <c r="Q271" t="s">
        <v>3573</v>
      </c>
      <c r="R271" t="s">
        <v>349</v>
      </c>
    </row>
    <row r="272" spans="1:18">
      <c r="A272" t="s">
        <v>836</v>
      </c>
      <c r="B272" t="s">
        <v>9</v>
      </c>
      <c r="C272" t="s">
        <v>2522</v>
      </c>
      <c r="D272" t="s">
        <v>3551</v>
      </c>
      <c r="E272">
        <v>18</v>
      </c>
      <c r="F272" t="s">
        <v>3555</v>
      </c>
      <c r="G272">
        <v>0</v>
      </c>
      <c r="H272">
        <v>1</v>
      </c>
      <c r="I272">
        <v>13695</v>
      </c>
      <c r="J272">
        <v>60</v>
      </c>
      <c r="K272" t="s">
        <v>3582</v>
      </c>
      <c r="L272" t="s">
        <v>346</v>
      </c>
      <c r="M272" t="s">
        <v>62</v>
      </c>
      <c r="N272" t="s">
        <v>457</v>
      </c>
      <c r="O272">
        <v>6</v>
      </c>
      <c r="P272" t="s">
        <v>3573</v>
      </c>
      <c r="Q272" t="s">
        <v>3573</v>
      </c>
      <c r="R272" t="s">
        <v>347</v>
      </c>
    </row>
    <row r="273" spans="1:18">
      <c r="A273" t="s">
        <v>836</v>
      </c>
      <c r="B273" t="s">
        <v>9</v>
      </c>
      <c r="C273" t="s">
        <v>2523</v>
      </c>
      <c r="D273" t="s">
        <v>3552</v>
      </c>
      <c r="E273">
        <v>24</v>
      </c>
      <c r="F273" t="s">
        <v>3555</v>
      </c>
      <c r="G273">
        <v>0</v>
      </c>
      <c r="H273">
        <v>1</v>
      </c>
      <c r="I273">
        <v>21228</v>
      </c>
      <c r="J273">
        <v>82.2667</v>
      </c>
      <c r="K273" t="s">
        <v>3582</v>
      </c>
      <c r="L273" t="s">
        <v>350</v>
      </c>
      <c r="M273" t="s">
        <v>70</v>
      </c>
      <c r="N273" t="s">
        <v>457</v>
      </c>
      <c r="O273">
        <v>7</v>
      </c>
      <c r="P273" t="s">
        <v>3573</v>
      </c>
      <c r="Q273" t="s">
        <v>3573</v>
      </c>
      <c r="R273" t="s">
        <v>351</v>
      </c>
    </row>
    <row r="274" spans="1:18">
      <c r="A274" t="s">
        <v>836</v>
      </c>
      <c r="B274" t="s">
        <v>9</v>
      </c>
      <c r="C274" t="s">
        <v>2524</v>
      </c>
      <c r="D274" t="s">
        <v>3551</v>
      </c>
      <c r="E274">
        <v>23</v>
      </c>
      <c r="F274" t="s">
        <v>3555</v>
      </c>
      <c r="G274">
        <v>0</v>
      </c>
      <c r="H274">
        <v>1</v>
      </c>
      <c r="I274">
        <v>21228</v>
      </c>
      <c r="J274">
        <v>82.2667</v>
      </c>
      <c r="K274" t="s">
        <v>3582</v>
      </c>
      <c r="L274" t="s">
        <v>350</v>
      </c>
      <c r="M274" t="s">
        <v>70</v>
      </c>
      <c r="N274" t="s">
        <v>457</v>
      </c>
      <c r="O274">
        <v>7</v>
      </c>
      <c r="P274" t="s">
        <v>3573</v>
      </c>
      <c r="Q274" t="s">
        <v>3573</v>
      </c>
      <c r="R274" t="s">
        <v>351</v>
      </c>
    </row>
    <row r="275" spans="1:18">
      <c r="A275" t="s">
        <v>836</v>
      </c>
      <c r="B275" t="s">
        <v>9</v>
      </c>
      <c r="C275" t="s">
        <v>2525</v>
      </c>
      <c r="D275" t="s">
        <v>3552</v>
      </c>
      <c r="E275">
        <v>6</v>
      </c>
      <c r="F275" t="s">
        <v>3556</v>
      </c>
      <c r="G275">
        <v>2</v>
      </c>
      <c r="H275">
        <v>0</v>
      </c>
      <c r="I275">
        <v>16966</v>
      </c>
      <c r="J275">
        <v>134.5</v>
      </c>
      <c r="K275" t="s">
        <v>3582</v>
      </c>
      <c r="L275" t="s">
        <v>352</v>
      </c>
      <c r="M275" t="s">
        <v>3564</v>
      </c>
      <c r="N275" t="s">
        <v>3566</v>
      </c>
      <c r="O275">
        <v>3</v>
      </c>
      <c r="P275" t="s">
        <v>3573</v>
      </c>
      <c r="Q275" t="s">
        <v>3573</v>
      </c>
      <c r="R275" t="s">
        <v>353</v>
      </c>
    </row>
    <row r="276" spans="1:18">
      <c r="A276" t="s">
        <v>836</v>
      </c>
      <c r="B276" t="s">
        <v>9</v>
      </c>
      <c r="C276" t="s">
        <v>2526</v>
      </c>
      <c r="D276" t="s">
        <v>3552</v>
      </c>
      <c r="E276">
        <v>45</v>
      </c>
      <c r="F276" t="s">
        <v>3557</v>
      </c>
      <c r="G276">
        <v>1</v>
      </c>
      <c r="H276">
        <v>1</v>
      </c>
      <c r="I276">
        <v>16966</v>
      </c>
      <c r="J276">
        <v>134.5</v>
      </c>
      <c r="K276" t="s">
        <v>3582</v>
      </c>
      <c r="L276" t="s">
        <v>352</v>
      </c>
      <c r="M276" t="s">
        <v>3564</v>
      </c>
      <c r="N276" t="s">
        <v>3566</v>
      </c>
      <c r="O276">
        <v>3</v>
      </c>
      <c r="P276" t="s">
        <v>3573</v>
      </c>
      <c r="Q276" t="s">
        <v>3573</v>
      </c>
      <c r="R276" t="s">
        <v>353</v>
      </c>
    </row>
    <row r="277" spans="1:18">
      <c r="A277" t="s">
        <v>836</v>
      </c>
      <c r="B277" t="s">
        <v>9</v>
      </c>
      <c r="C277" t="s">
        <v>2527</v>
      </c>
      <c r="D277" t="s">
        <v>3551</v>
      </c>
      <c r="E277">
        <v>40</v>
      </c>
      <c r="F277" t="s">
        <v>3557</v>
      </c>
      <c r="G277">
        <v>1</v>
      </c>
      <c r="H277">
        <v>1</v>
      </c>
      <c r="I277">
        <v>16966</v>
      </c>
      <c r="J277">
        <v>134.5</v>
      </c>
      <c r="K277" t="s">
        <v>3582</v>
      </c>
      <c r="L277" t="s">
        <v>352</v>
      </c>
      <c r="M277" t="s">
        <v>3564</v>
      </c>
      <c r="N277" t="s">
        <v>3566</v>
      </c>
      <c r="O277">
        <v>3</v>
      </c>
      <c r="P277" t="s">
        <v>3573</v>
      </c>
      <c r="Q277" t="s">
        <v>3573</v>
      </c>
      <c r="R277" t="s">
        <v>353</v>
      </c>
    </row>
    <row r="278" spans="1:18">
      <c r="A278" t="s">
        <v>836</v>
      </c>
      <c r="B278" t="s">
        <v>840</v>
      </c>
      <c r="C278" t="s">
        <v>2528</v>
      </c>
      <c r="D278" t="s">
        <v>3552</v>
      </c>
      <c r="E278">
        <v>57</v>
      </c>
      <c r="F278" t="s">
        <v>3557</v>
      </c>
      <c r="G278">
        <v>0</v>
      </c>
      <c r="H278">
        <v>1</v>
      </c>
      <c r="I278" t="s">
        <v>269</v>
      </c>
      <c r="J278">
        <v>146.52080000000001</v>
      </c>
      <c r="K278" t="s">
        <v>3582</v>
      </c>
      <c r="L278" t="s">
        <v>354</v>
      </c>
      <c r="M278" t="s">
        <v>70</v>
      </c>
      <c r="N278" t="s">
        <v>3566</v>
      </c>
      <c r="O278" t="s">
        <v>3569</v>
      </c>
      <c r="P278" t="s">
        <v>3573</v>
      </c>
      <c r="Q278" t="s">
        <v>3573</v>
      </c>
      <c r="R278" t="s">
        <v>68</v>
      </c>
    </row>
    <row r="279" spans="1:18">
      <c r="A279" t="s">
        <v>836</v>
      </c>
      <c r="B279" t="s">
        <v>9</v>
      </c>
      <c r="C279" t="s">
        <v>2529</v>
      </c>
      <c r="D279" t="s">
        <v>3551</v>
      </c>
      <c r="E279">
        <v>28</v>
      </c>
      <c r="F279" t="s">
        <v>3555</v>
      </c>
      <c r="G279">
        <v>0</v>
      </c>
      <c r="H279">
        <v>1</v>
      </c>
      <c r="I279" t="s">
        <v>269</v>
      </c>
      <c r="J279">
        <v>146.52080000000001</v>
      </c>
      <c r="K279" t="s">
        <v>3582</v>
      </c>
      <c r="L279" t="s">
        <v>354</v>
      </c>
      <c r="M279" t="s">
        <v>70</v>
      </c>
      <c r="N279" t="s">
        <v>3566</v>
      </c>
      <c r="O279">
        <v>6</v>
      </c>
      <c r="P279" t="s">
        <v>3573</v>
      </c>
      <c r="Q279" t="s">
        <v>3573</v>
      </c>
      <c r="R279" t="s">
        <v>68</v>
      </c>
    </row>
    <row r="280" spans="1:18">
      <c r="A280" t="s">
        <v>836</v>
      </c>
      <c r="B280" t="s">
        <v>9</v>
      </c>
      <c r="C280" t="s">
        <v>2530</v>
      </c>
      <c r="D280" t="s">
        <v>3552</v>
      </c>
      <c r="E280">
        <v>32</v>
      </c>
      <c r="F280" t="s">
        <v>3557</v>
      </c>
      <c r="G280">
        <v>0</v>
      </c>
      <c r="H280">
        <v>0</v>
      </c>
      <c r="I280">
        <v>13214</v>
      </c>
      <c r="J280">
        <v>30.5</v>
      </c>
      <c r="K280" t="s">
        <v>3584</v>
      </c>
      <c r="L280" t="s">
        <v>355</v>
      </c>
      <c r="M280" t="s">
        <v>70</v>
      </c>
      <c r="N280" t="s">
        <v>3566</v>
      </c>
      <c r="O280">
        <v>3</v>
      </c>
      <c r="P280" t="s">
        <v>3573</v>
      </c>
      <c r="Q280" t="s">
        <v>3573</v>
      </c>
      <c r="R280" t="s">
        <v>341</v>
      </c>
    </row>
    <row r="281" spans="1:18">
      <c r="A281" t="s">
        <v>836</v>
      </c>
      <c r="B281" t="s">
        <v>840</v>
      </c>
      <c r="C281" t="s">
        <v>2531</v>
      </c>
      <c r="D281" t="s">
        <v>3552</v>
      </c>
      <c r="E281">
        <v>62</v>
      </c>
      <c r="F281" t="s">
        <v>3559</v>
      </c>
      <c r="G281">
        <v>0</v>
      </c>
      <c r="H281">
        <v>0</v>
      </c>
      <c r="I281">
        <v>113514</v>
      </c>
      <c r="J281">
        <v>26.55</v>
      </c>
      <c r="K281" t="s">
        <v>3584</v>
      </c>
      <c r="L281" t="s">
        <v>356</v>
      </c>
      <c r="M281" t="s">
        <v>62</v>
      </c>
      <c r="N281" t="s">
        <v>457</v>
      </c>
      <c r="O281" t="s">
        <v>3569</v>
      </c>
      <c r="P281" t="s">
        <v>3573</v>
      </c>
      <c r="Q281" t="s">
        <v>3573</v>
      </c>
      <c r="R281" t="s">
        <v>357</v>
      </c>
    </row>
    <row r="282" spans="1:18">
      <c r="A282" t="s">
        <v>836</v>
      </c>
      <c r="B282" t="s">
        <v>9</v>
      </c>
      <c r="C282" t="s">
        <v>2532</v>
      </c>
      <c r="D282" t="s">
        <v>3552</v>
      </c>
      <c r="E282">
        <v>54</v>
      </c>
      <c r="F282" t="s">
        <v>3557</v>
      </c>
      <c r="G282">
        <v>0</v>
      </c>
      <c r="H282">
        <v>1</v>
      </c>
      <c r="I282">
        <v>11778</v>
      </c>
      <c r="J282">
        <v>55.441699999999997</v>
      </c>
      <c r="K282" t="s">
        <v>3582</v>
      </c>
      <c r="L282" t="s">
        <v>358</v>
      </c>
      <c r="M282" t="s">
        <v>62</v>
      </c>
      <c r="N282" t="s">
        <v>3566</v>
      </c>
      <c r="O282">
        <v>1</v>
      </c>
      <c r="P282" t="s">
        <v>3573</v>
      </c>
      <c r="Q282" t="s">
        <v>3573</v>
      </c>
      <c r="R282" t="s">
        <v>359</v>
      </c>
    </row>
    <row r="283" spans="1:18">
      <c r="A283" t="s">
        <v>836</v>
      </c>
      <c r="B283" t="s">
        <v>9</v>
      </c>
      <c r="C283" t="s">
        <v>2533</v>
      </c>
      <c r="D283" t="s">
        <v>3551</v>
      </c>
      <c r="E283">
        <v>43</v>
      </c>
      <c r="F283" t="s">
        <v>3557</v>
      </c>
      <c r="G283">
        <v>0</v>
      </c>
      <c r="H283">
        <v>1</v>
      </c>
      <c r="I283">
        <v>11778</v>
      </c>
      <c r="J283">
        <v>55.441699999999997</v>
      </c>
      <c r="K283" t="s">
        <v>3582</v>
      </c>
      <c r="L283" t="s">
        <v>358</v>
      </c>
      <c r="M283" t="s">
        <v>62</v>
      </c>
      <c r="N283" t="s">
        <v>3566</v>
      </c>
      <c r="O283">
        <v>5</v>
      </c>
      <c r="P283" t="s">
        <v>3573</v>
      </c>
      <c r="Q283" t="s">
        <v>3573</v>
      </c>
      <c r="R283" t="s">
        <v>359</v>
      </c>
    </row>
    <row r="284" spans="1:18">
      <c r="A284" t="s">
        <v>836</v>
      </c>
      <c r="B284" t="s">
        <v>9</v>
      </c>
      <c r="C284" t="s">
        <v>2534</v>
      </c>
      <c r="D284" t="s">
        <v>3551</v>
      </c>
      <c r="E284">
        <v>52</v>
      </c>
      <c r="F284" t="s">
        <v>3557</v>
      </c>
      <c r="G284">
        <v>0</v>
      </c>
      <c r="H284">
        <v>1</v>
      </c>
      <c r="I284">
        <v>36947</v>
      </c>
      <c r="J284">
        <v>78.2667</v>
      </c>
      <c r="K284" t="s">
        <v>3582</v>
      </c>
      <c r="L284" t="s">
        <v>178</v>
      </c>
      <c r="M284" t="s">
        <v>59</v>
      </c>
      <c r="N284" t="s">
        <v>3566</v>
      </c>
      <c r="O284">
        <v>4</v>
      </c>
      <c r="P284" t="s">
        <v>3573</v>
      </c>
      <c r="Q284" t="s">
        <v>3573</v>
      </c>
      <c r="R284" t="s">
        <v>360</v>
      </c>
    </row>
    <row r="285" spans="1:18">
      <c r="A285" t="s">
        <v>836</v>
      </c>
      <c r="B285" t="s">
        <v>840</v>
      </c>
      <c r="C285" t="s">
        <v>2535</v>
      </c>
      <c r="D285" t="s">
        <v>3552</v>
      </c>
      <c r="E285">
        <v>28</v>
      </c>
      <c r="F285" t="s">
        <v>3555</v>
      </c>
      <c r="G285">
        <v>0</v>
      </c>
      <c r="H285">
        <v>0</v>
      </c>
      <c r="I285" t="s">
        <v>361</v>
      </c>
      <c r="J285">
        <v>27.720800000000001</v>
      </c>
      <c r="K285" t="s">
        <v>3584</v>
      </c>
      <c r="L285" t="s">
        <v>3561</v>
      </c>
      <c r="M285" t="s">
        <v>3561</v>
      </c>
      <c r="N285" t="s">
        <v>3566</v>
      </c>
      <c r="O285" t="s">
        <v>3569</v>
      </c>
      <c r="P285" t="s">
        <v>3573</v>
      </c>
      <c r="Q285" t="s">
        <v>3573</v>
      </c>
      <c r="R285" t="s">
        <v>362</v>
      </c>
    </row>
    <row r="286" spans="1:18">
      <c r="A286" t="s">
        <v>836</v>
      </c>
      <c r="B286" t="s">
        <v>9</v>
      </c>
      <c r="C286" t="s">
        <v>2536</v>
      </c>
      <c r="D286" t="s">
        <v>3551</v>
      </c>
      <c r="E286">
        <v>62</v>
      </c>
      <c r="F286" t="s">
        <v>3559</v>
      </c>
      <c r="G286">
        <v>0</v>
      </c>
      <c r="H286">
        <v>0</v>
      </c>
      <c r="I286">
        <v>113572</v>
      </c>
      <c r="J286">
        <v>80</v>
      </c>
      <c r="K286" t="s">
        <v>3582</v>
      </c>
      <c r="L286" t="s">
        <v>241</v>
      </c>
      <c r="M286" t="s">
        <v>70</v>
      </c>
      <c r="N286" t="s">
        <v>3561</v>
      </c>
      <c r="O286">
        <v>6</v>
      </c>
      <c r="P286" t="s">
        <v>3573</v>
      </c>
      <c r="Q286" t="s">
        <v>3573</v>
      </c>
      <c r="R286" t="s">
        <v>363</v>
      </c>
    </row>
    <row r="287" spans="1:18">
      <c r="A287" t="s">
        <v>836</v>
      </c>
      <c r="B287" t="s">
        <v>840</v>
      </c>
      <c r="C287" t="s">
        <v>2537</v>
      </c>
      <c r="D287" t="s">
        <v>3552</v>
      </c>
      <c r="E287">
        <v>67</v>
      </c>
      <c r="F287" t="s">
        <v>3559</v>
      </c>
      <c r="G287">
        <v>0</v>
      </c>
      <c r="H287">
        <v>1</v>
      </c>
      <c r="I287" t="s">
        <v>82</v>
      </c>
      <c r="J287">
        <v>221.7792</v>
      </c>
      <c r="K287" t="s">
        <v>3582</v>
      </c>
      <c r="L287" t="s">
        <v>364</v>
      </c>
      <c r="M287" t="s">
        <v>62</v>
      </c>
      <c r="N287" t="s">
        <v>457</v>
      </c>
      <c r="O287" t="s">
        <v>3569</v>
      </c>
      <c r="P287">
        <v>96</v>
      </c>
      <c r="Q287" t="s">
        <v>3574</v>
      </c>
      <c r="R287" t="s">
        <v>53</v>
      </c>
    </row>
    <row r="288" spans="1:18">
      <c r="A288" t="s">
        <v>836</v>
      </c>
      <c r="B288" t="s">
        <v>840</v>
      </c>
      <c r="C288" t="s">
        <v>2538</v>
      </c>
      <c r="D288" t="s">
        <v>3551</v>
      </c>
      <c r="E288">
        <v>63</v>
      </c>
      <c r="F288" t="s">
        <v>3559</v>
      </c>
      <c r="G288">
        <v>0</v>
      </c>
      <c r="H288">
        <v>1</v>
      </c>
      <c r="I288" t="s">
        <v>82</v>
      </c>
      <c r="J288">
        <v>221.7792</v>
      </c>
      <c r="K288" t="s">
        <v>3582</v>
      </c>
      <c r="L288" t="s">
        <v>364</v>
      </c>
      <c r="M288" t="s">
        <v>62</v>
      </c>
      <c r="N288" t="s">
        <v>457</v>
      </c>
      <c r="O288" t="s">
        <v>3569</v>
      </c>
      <c r="P288" t="s">
        <v>3573</v>
      </c>
      <c r="Q288" t="s">
        <v>3573</v>
      </c>
      <c r="R288" t="s">
        <v>53</v>
      </c>
    </row>
    <row r="289" spans="1:18">
      <c r="A289" t="s">
        <v>836</v>
      </c>
      <c r="B289" t="s">
        <v>840</v>
      </c>
      <c r="C289" t="s">
        <v>2539</v>
      </c>
      <c r="D289" t="s">
        <v>3552</v>
      </c>
      <c r="E289">
        <v>61</v>
      </c>
      <c r="F289" t="s">
        <v>3559</v>
      </c>
      <c r="G289">
        <v>0</v>
      </c>
      <c r="H289">
        <v>0</v>
      </c>
      <c r="I289">
        <v>36963</v>
      </c>
      <c r="J289">
        <v>32.320799999999998</v>
      </c>
      <c r="K289" t="s">
        <v>3584</v>
      </c>
      <c r="L289" t="s">
        <v>365</v>
      </c>
      <c r="M289" t="s">
        <v>59</v>
      </c>
      <c r="N289" t="s">
        <v>457</v>
      </c>
      <c r="O289" t="s">
        <v>3569</v>
      </c>
      <c r="P289">
        <v>46</v>
      </c>
      <c r="Q289" t="s">
        <v>3574</v>
      </c>
      <c r="R289" t="s">
        <v>366</v>
      </c>
    </row>
    <row r="290" spans="1:18">
      <c r="A290" t="s">
        <v>836</v>
      </c>
      <c r="B290" t="s">
        <v>9</v>
      </c>
      <c r="C290" t="s">
        <v>2540</v>
      </c>
      <c r="D290" t="s">
        <v>3551</v>
      </c>
      <c r="E290">
        <v>48</v>
      </c>
      <c r="F290" t="s">
        <v>3557</v>
      </c>
      <c r="G290">
        <v>0</v>
      </c>
      <c r="H290">
        <v>0</v>
      </c>
      <c r="I290">
        <v>17466</v>
      </c>
      <c r="J290">
        <v>25.929200000000002</v>
      </c>
      <c r="K290" t="s">
        <v>3584</v>
      </c>
      <c r="L290" t="s">
        <v>259</v>
      </c>
      <c r="M290" t="s">
        <v>59</v>
      </c>
      <c r="N290" t="s">
        <v>457</v>
      </c>
      <c r="O290">
        <v>8</v>
      </c>
      <c r="P290" t="s">
        <v>3573</v>
      </c>
      <c r="Q290" t="s">
        <v>3573</v>
      </c>
      <c r="R290" t="s">
        <v>186</v>
      </c>
    </row>
    <row r="291" spans="1:18">
      <c r="A291" t="s">
        <v>836</v>
      </c>
      <c r="B291" t="s">
        <v>9</v>
      </c>
      <c r="C291" t="s">
        <v>2541</v>
      </c>
      <c r="D291" t="s">
        <v>3551</v>
      </c>
      <c r="E291">
        <v>18</v>
      </c>
      <c r="F291" t="s">
        <v>3555</v>
      </c>
      <c r="G291">
        <v>2</v>
      </c>
      <c r="H291">
        <v>0</v>
      </c>
      <c r="I291">
        <v>110413</v>
      </c>
      <c r="J291">
        <v>79.650000000000006</v>
      </c>
      <c r="K291" t="s">
        <v>3582</v>
      </c>
      <c r="L291" t="s">
        <v>367</v>
      </c>
      <c r="M291" t="s">
        <v>3564</v>
      </c>
      <c r="N291" t="s">
        <v>457</v>
      </c>
      <c r="O291">
        <v>8</v>
      </c>
      <c r="P291" t="s">
        <v>3573</v>
      </c>
      <c r="Q291" t="s">
        <v>3573</v>
      </c>
      <c r="R291" t="s">
        <v>53</v>
      </c>
    </row>
    <row r="292" spans="1:18">
      <c r="A292" t="s">
        <v>836</v>
      </c>
      <c r="B292" t="s">
        <v>840</v>
      </c>
      <c r="C292" t="s">
        <v>2542</v>
      </c>
      <c r="D292" t="s">
        <v>3552</v>
      </c>
      <c r="E292">
        <v>52</v>
      </c>
      <c r="F292" t="s">
        <v>3557</v>
      </c>
      <c r="G292">
        <v>1</v>
      </c>
      <c r="H292">
        <v>1</v>
      </c>
      <c r="I292">
        <v>110413</v>
      </c>
      <c r="J292">
        <v>79.650000000000006</v>
      </c>
      <c r="K292" t="s">
        <v>3582</v>
      </c>
      <c r="L292" t="s">
        <v>368</v>
      </c>
      <c r="M292" t="s">
        <v>3564</v>
      </c>
      <c r="N292" t="s">
        <v>457</v>
      </c>
      <c r="O292" t="s">
        <v>3569</v>
      </c>
      <c r="P292" t="s">
        <v>3573</v>
      </c>
      <c r="Q292" t="s">
        <v>3573</v>
      </c>
      <c r="R292" t="s">
        <v>53</v>
      </c>
    </row>
    <row r="293" spans="1:18">
      <c r="A293" t="s">
        <v>836</v>
      </c>
      <c r="B293" t="s">
        <v>9</v>
      </c>
      <c r="C293" t="s">
        <v>2543</v>
      </c>
      <c r="D293" t="s">
        <v>3551</v>
      </c>
      <c r="E293">
        <v>39</v>
      </c>
      <c r="F293" t="s">
        <v>3557</v>
      </c>
      <c r="G293">
        <v>1</v>
      </c>
      <c r="H293">
        <v>1</v>
      </c>
      <c r="I293">
        <v>110413</v>
      </c>
      <c r="J293">
        <v>79.650000000000006</v>
      </c>
      <c r="K293" t="s">
        <v>3582</v>
      </c>
      <c r="L293" t="s">
        <v>368</v>
      </c>
      <c r="M293" t="s">
        <v>3564</v>
      </c>
      <c r="N293" t="s">
        <v>457</v>
      </c>
      <c r="O293">
        <v>8</v>
      </c>
      <c r="P293" t="s">
        <v>3573</v>
      </c>
      <c r="Q293" t="s">
        <v>3573</v>
      </c>
      <c r="R293" t="s">
        <v>53</v>
      </c>
    </row>
    <row r="294" spans="1:18">
      <c r="A294" t="s">
        <v>836</v>
      </c>
      <c r="B294" t="s">
        <v>9</v>
      </c>
      <c r="C294" t="s">
        <v>2544</v>
      </c>
      <c r="D294" t="s">
        <v>3552</v>
      </c>
      <c r="E294">
        <v>48</v>
      </c>
      <c r="F294" t="s">
        <v>3557</v>
      </c>
      <c r="G294">
        <v>0</v>
      </c>
      <c r="H294">
        <v>1</v>
      </c>
      <c r="I294">
        <v>19996</v>
      </c>
      <c r="J294">
        <v>52</v>
      </c>
      <c r="K294" t="s">
        <v>3582</v>
      </c>
      <c r="L294" t="s">
        <v>369</v>
      </c>
      <c r="M294" t="s">
        <v>62</v>
      </c>
      <c r="N294" t="s">
        <v>457</v>
      </c>
      <c r="O294" t="s">
        <v>370</v>
      </c>
      <c r="P294" t="s">
        <v>3573</v>
      </c>
      <c r="Q294" t="s">
        <v>3573</v>
      </c>
      <c r="R294" t="s">
        <v>371</v>
      </c>
    </row>
    <row r="295" spans="1:18">
      <c r="A295" t="s">
        <v>836</v>
      </c>
      <c r="B295" t="s">
        <v>9</v>
      </c>
      <c r="C295" t="s">
        <v>2545</v>
      </c>
      <c r="D295" t="s">
        <v>3551</v>
      </c>
      <c r="E295">
        <v>28</v>
      </c>
      <c r="F295" t="s">
        <v>3555</v>
      </c>
      <c r="G295">
        <v>0</v>
      </c>
      <c r="H295">
        <v>1</v>
      </c>
      <c r="I295">
        <v>19996</v>
      </c>
      <c r="J295">
        <v>52</v>
      </c>
      <c r="K295" t="s">
        <v>3582</v>
      </c>
      <c r="L295" t="s">
        <v>369</v>
      </c>
      <c r="M295" t="s">
        <v>62</v>
      </c>
      <c r="N295" t="s">
        <v>457</v>
      </c>
      <c r="O295" t="s">
        <v>370</v>
      </c>
      <c r="P295" t="s">
        <v>3573</v>
      </c>
      <c r="Q295" t="s">
        <v>3573</v>
      </c>
      <c r="R295" t="s">
        <v>371</v>
      </c>
    </row>
    <row r="296" spans="1:18">
      <c r="A296" t="s">
        <v>836</v>
      </c>
      <c r="B296" t="s">
        <v>840</v>
      </c>
      <c r="C296" t="s">
        <v>2546</v>
      </c>
      <c r="D296" t="s">
        <v>3552</v>
      </c>
      <c r="E296">
        <v>49</v>
      </c>
      <c r="F296" t="s">
        <v>3557</v>
      </c>
      <c r="G296">
        <v>1</v>
      </c>
      <c r="H296">
        <v>1</v>
      </c>
      <c r="I296">
        <v>17421</v>
      </c>
      <c r="J296">
        <v>110.88330000000001</v>
      </c>
      <c r="K296" t="s">
        <v>3582</v>
      </c>
      <c r="L296" t="s">
        <v>372</v>
      </c>
      <c r="M296" t="s">
        <v>62</v>
      </c>
      <c r="N296" t="s">
        <v>3566</v>
      </c>
      <c r="O296" t="s">
        <v>3569</v>
      </c>
      <c r="P296" t="s">
        <v>3573</v>
      </c>
      <c r="Q296" t="s">
        <v>3573</v>
      </c>
      <c r="R296" t="s">
        <v>360</v>
      </c>
    </row>
    <row r="297" spans="1:18">
      <c r="A297" t="s">
        <v>836</v>
      </c>
      <c r="B297" t="s">
        <v>9</v>
      </c>
      <c r="C297" t="s">
        <v>2546</v>
      </c>
      <c r="D297" t="s">
        <v>3552</v>
      </c>
      <c r="E297">
        <v>17</v>
      </c>
      <c r="F297" t="s">
        <v>3560</v>
      </c>
      <c r="G297">
        <v>2</v>
      </c>
      <c r="H297">
        <v>0</v>
      </c>
      <c r="I297">
        <v>17421</v>
      </c>
      <c r="J297">
        <v>110.88330000000001</v>
      </c>
      <c r="K297" t="s">
        <v>3582</v>
      </c>
      <c r="L297" t="s">
        <v>373</v>
      </c>
      <c r="M297" t="s">
        <v>62</v>
      </c>
      <c r="N297" t="s">
        <v>3566</v>
      </c>
      <c r="O297" t="s">
        <v>70</v>
      </c>
      <c r="P297" t="s">
        <v>3573</v>
      </c>
      <c r="Q297" t="s">
        <v>3573</v>
      </c>
      <c r="R297" t="s">
        <v>360</v>
      </c>
    </row>
    <row r="298" spans="1:18">
      <c r="A298" t="s">
        <v>836</v>
      </c>
      <c r="B298" t="s">
        <v>9</v>
      </c>
      <c r="C298" t="s">
        <v>2547</v>
      </c>
      <c r="D298" t="s">
        <v>3551</v>
      </c>
      <c r="E298">
        <v>39</v>
      </c>
      <c r="F298" t="s">
        <v>3557</v>
      </c>
      <c r="G298">
        <v>1</v>
      </c>
      <c r="H298">
        <v>1</v>
      </c>
      <c r="I298">
        <v>17421</v>
      </c>
      <c r="J298">
        <v>110.88330000000001</v>
      </c>
      <c r="K298" t="s">
        <v>3582</v>
      </c>
      <c r="L298" t="s">
        <v>372</v>
      </c>
      <c r="M298" t="s">
        <v>62</v>
      </c>
      <c r="N298" t="s">
        <v>3566</v>
      </c>
      <c r="O298">
        <v>4</v>
      </c>
      <c r="P298" t="s">
        <v>3573</v>
      </c>
      <c r="Q298" t="s">
        <v>3573</v>
      </c>
      <c r="R298" t="s">
        <v>360</v>
      </c>
    </row>
    <row r="299" spans="1:18">
      <c r="A299" t="s">
        <v>836</v>
      </c>
      <c r="B299" t="s">
        <v>9</v>
      </c>
      <c r="C299" t="s">
        <v>2548</v>
      </c>
      <c r="D299" t="s">
        <v>3551</v>
      </c>
      <c r="E299">
        <v>28</v>
      </c>
      <c r="F299" t="s">
        <v>3555</v>
      </c>
      <c r="G299">
        <v>0</v>
      </c>
      <c r="H299">
        <v>0</v>
      </c>
      <c r="I299" t="s">
        <v>328</v>
      </c>
      <c r="J299">
        <v>79.2</v>
      </c>
      <c r="K299" t="s">
        <v>3582</v>
      </c>
      <c r="L299" t="s">
        <v>3561</v>
      </c>
      <c r="M299" t="s">
        <v>3561</v>
      </c>
      <c r="N299" t="s">
        <v>3566</v>
      </c>
      <c r="O299" t="s">
        <v>59</v>
      </c>
      <c r="P299" t="s">
        <v>3573</v>
      </c>
      <c r="Q299" t="s">
        <v>3573</v>
      </c>
      <c r="R299" t="s">
        <v>53</v>
      </c>
    </row>
    <row r="300" spans="1:18">
      <c r="A300" t="s">
        <v>836</v>
      </c>
      <c r="B300" t="s">
        <v>9</v>
      </c>
      <c r="C300" t="s">
        <v>2549</v>
      </c>
      <c r="D300" t="s">
        <v>3552</v>
      </c>
      <c r="E300">
        <v>31</v>
      </c>
      <c r="F300" t="s">
        <v>3557</v>
      </c>
      <c r="G300">
        <v>0</v>
      </c>
      <c r="H300">
        <v>0</v>
      </c>
      <c r="I300">
        <v>2543</v>
      </c>
      <c r="J300">
        <v>28.537500000000001</v>
      </c>
      <c r="K300" t="s">
        <v>3584</v>
      </c>
      <c r="L300" t="s">
        <v>374</v>
      </c>
      <c r="M300" t="s">
        <v>62</v>
      </c>
      <c r="N300" t="s">
        <v>3566</v>
      </c>
      <c r="O300">
        <v>7</v>
      </c>
      <c r="P300" t="s">
        <v>3573</v>
      </c>
      <c r="Q300" t="s">
        <v>3573</v>
      </c>
      <c r="R300" t="s">
        <v>375</v>
      </c>
    </row>
    <row r="301" spans="1:18">
      <c r="A301" t="s">
        <v>836</v>
      </c>
      <c r="B301" t="s">
        <v>840</v>
      </c>
      <c r="C301" t="s">
        <v>2550</v>
      </c>
      <c r="D301" t="s">
        <v>3552</v>
      </c>
      <c r="E301">
        <v>40</v>
      </c>
      <c r="F301" t="s">
        <v>3557</v>
      </c>
      <c r="G301">
        <v>0</v>
      </c>
      <c r="H301">
        <v>0</v>
      </c>
      <c r="I301" t="s">
        <v>376</v>
      </c>
      <c r="J301">
        <v>27.720800000000001</v>
      </c>
      <c r="K301" t="s">
        <v>3584</v>
      </c>
      <c r="L301" t="s">
        <v>3561</v>
      </c>
      <c r="M301" t="s">
        <v>3561</v>
      </c>
      <c r="N301" t="s">
        <v>3566</v>
      </c>
      <c r="O301" t="s">
        <v>3569</v>
      </c>
      <c r="P301" t="s">
        <v>3573</v>
      </c>
      <c r="Q301" t="s">
        <v>3573</v>
      </c>
      <c r="R301" t="s">
        <v>377</v>
      </c>
    </row>
    <row r="302" spans="1:18">
      <c r="A302" t="s">
        <v>836</v>
      </c>
      <c r="B302" t="s">
        <v>840</v>
      </c>
      <c r="C302" t="s">
        <v>2551</v>
      </c>
      <c r="D302" t="s">
        <v>3552</v>
      </c>
      <c r="E302">
        <v>61</v>
      </c>
      <c r="F302" t="s">
        <v>3559</v>
      </c>
      <c r="G302">
        <v>0</v>
      </c>
      <c r="H302">
        <v>0</v>
      </c>
      <c r="I302">
        <v>111240</v>
      </c>
      <c r="J302">
        <v>33.5</v>
      </c>
      <c r="K302" t="s">
        <v>3584</v>
      </c>
      <c r="L302" t="s">
        <v>378</v>
      </c>
      <c r="M302" t="s">
        <v>70</v>
      </c>
      <c r="N302" t="s">
        <v>457</v>
      </c>
      <c r="O302" t="s">
        <v>3569</v>
      </c>
      <c r="P302">
        <v>245</v>
      </c>
      <c r="Q302" t="s">
        <v>3574</v>
      </c>
      <c r="R302" t="s">
        <v>186</v>
      </c>
    </row>
    <row r="303" spans="1:18">
      <c r="A303" t="s">
        <v>836</v>
      </c>
      <c r="B303" t="s">
        <v>840</v>
      </c>
      <c r="C303" t="s">
        <v>2552</v>
      </c>
      <c r="D303" t="s">
        <v>3552</v>
      </c>
      <c r="E303">
        <v>47</v>
      </c>
      <c r="F303" t="s">
        <v>3557</v>
      </c>
      <c r="G303">
        <v>0</v>
      </c>
      <c r="H303">
        <v>0</v>
      </c>
      <c r="I303">
        <v>36967</v>
      </c>
      <c r="J303">
        <v>34.020800000000001</v>
      </c>
      <c r="K303" t="s">
        <v>3584</v>
      </c>
      <c r="L303" t="s">
        <v>379</v>
      </c>
      <c r="M303" t="s">
        <v>59</v>
      </c>
      <c r="N303" t="s">
        <v>457</v>
      </c>
      <c r="O303" t="s">
        <v>3569</v>
      </c>
      <c r="P303" t="s">
        <v>3573</v>
      </c>
      <c r="Q303" t="s">
        <v>3573</v>
      </c>
      <c r="R303" t="s">
        <v>380</v>
      </c>
    </row>
    <row r="304" spans="1:18">
      <c r="A304" t="s">
        <v>836</v>
      </c>
      <c r="B304" t="s">
        <v>9</v>
      </c>
      <c r="C304" t="s">
        <v>2553</v>
      </c>
      <c r="D304" t="s">
        <v>3551</v>
      </c>
      <c r="E304">
        <v>35</v>
      </c>
      <c r="F304" t="s">
        <v>3557</v>
      </c>
      <c r="G304">
        <v>0</v>
      </c>
      <c r="H304">
        <v>0</v>
      </c>
      <c r="I304" t="s">
        <v>122</v>
      </c>
      <c r="J304">
        <v>512.32920000000001</v>
      </c>
      <c r="K304" t="s">
        <v>3582</v>
      </c>
      <c r="L304" t="s">
        <v>3561</v>
      </c>
      <c r="M304" t="s">
        <v>3561</v>
      </c>
      <c r="N304" t="s">
        <v>3566</v>
      </c>
      <c r="O304">
        <v>3</v>
      </c>
      <c r="P304" t="s">
        <v>3573</v>
      </c>
      <c r="Q304" t="s">
        <v>3573</v>
      </c>
    </row>
    <row r="305" spans="1:18">
      <c r="A305" t="s">
        <v>836</v>
      </c>
      <c r="B305" t="s">
        <v>840</v>
      </c>
      <c r="C305" t="s">
        <v>2554</v>
      </c>
      <c r="D305" t="s">
        <v>3552</v>
      </c>
      <c r="E305">
        <v>64</v>
      </c>
      <c r="F305" t="s">
        <v>3559</v>
      </c>
      <c r="G305">
        <v>0</v>
      </c>
      <c r="H305">
        <v>1</v>
      </c>
      <c r="I305">
        <v>110813</v>
      </c>
      <c r="J305">
        <v>75.25</v>
      </c>
      <c r="K305" t="s">
        <v>3582</v>
      </c>
      <c r="L305" t="s">
        <v>381</v>
      </c>
      <c r="M305" t="s">
        <v>59</v>
      </c>
      <c r="N305" t="s">
        <v>3566</v>
      </c>
      <c r="O305" t="s">
        <v>3569</v>
      </c>
      <c r="P305" t="s">
        <v>3573</v>
      </c>
      <c r="Q305" t="s">
        <v>3573</v>
      </c>
      <c r="R305" t="s">
        <v>258</v>
      </c>
    </row>
    <row r="306" spans="1:18">
      <c r="A306" t="s">
        <v>836</v>
      </c>
      <c r="B306" t="s">
        <v>9</v>
      </c>
      <c r="C306" t="s">
        <v>2555</v>
      </c>
      <c r="D306" t="s">
        <v>3551</v>
      </c>
      <c r="E306">
        <v>60</v>
      </c>
      <c r="F306" t="s">
        <v>3559</v>
      </c>
      <c r="G306">
        <v>0</v>
      </c>
      <c r="H306">
        <v>1</v>
      </c>
      <c r="I306">
        <v>110813</v>
      </c>
      <c r="J306">
        <v>75.25</v>
      </c>
      <c r="K306" t="s">
        <v>3582</v>
      </c>
      <c r="L306" t="s">
        <v>381</v>
      </c>
      <c r="M306" t="s">
        <v>59</v>
      </c>
      <c r="N306" t="s">
        <v>3566</v>
      </c>
      <c r="O306">
        <v>5</v>
      </c>
      <c r="P306" t="s">
        <v>3573</v>
      </c>
      <c r="Q306" t="s">
        <v>3573</v>
      </c>
      <c r="R306" t="s">
        <v>258</v>
      </c>
    </row>
    <row r="307" spans="1:18">
      <c r="A307" t="s">
        <v>836</v>
      </c>
      <c r="B307" t="s">
        <v>840</v>
      </c>
      <c r="C307" t="s">
        <v>2556</v>
      </c>
      <c r="D307" t="s">
        <v>3552</v>
      </c>
      <c r="E307">
        <v>60</v>
      </c>
      <c r="F307" t="s">
        <v>3559</v>
      </c>
      <c r="G307">
        <v>0</v>
      </c>
      <c r="H307">
        <v>0</v>
      </c>
      <c r="I307">
        <v>113800</v>
      </c>
      <c r="J307">
        <v>26.55</v>
      </c>
      <c r="K307" t="s">
        <v>3584</v>
      </c>
      <c r="L307" t="s">
        <v>3561</v>
      </c>
      <c r="M307" t="s">
        <v>3561</v>
      </c>
      <c r="N307" t="s">
        <v>457</v>
      </c>
      <c r="O307" t="s">
        <v>3569</v>
      </c>
      <c r="P307" t="s">
        <v>3573</v>
      </c>
      <c r="Q307" t="s">
        <v>3573</v>
      </c>
      <c r="R307" t="s">
        <v>382</v>
      </c>
    </row>
    <row r="308" spans="1:18">
      <c r="A308" t="s">
        <v>836</v>
      </c>
      <c r="B308" t="s">
        <v>840</v>
      </c>
      <c r="C308" t="s">
        <v>2557</v>
      </c>
      <c r="D308" t="s">
        <v>3552</v>
      </c>
      <c r="E308">
        <v>54</v>
      </c>
      <c r="F308" t="s">
        <v>3557</v>
      </c>
      <c r="G308">
        <v>1</v>
      </c>
      <c r="H308">
        <v>0</v>
      </c>
      <c r="I308">
        <v>35281</v>
      </c>
      <c r="J308">
        <v>77.287499999999994</v>
      </c>
      <c r="K308" t="s">
        <v>3582</v>
      </c>
      <c r="L308" t="s">
        <v>383</v>
      </c>
      <c r="M308" t="s">
        <v>59</v>
      </c>
      <c r="N308" t="s">
        <v>457</v>
      </c>
      <c r="O308" t="s">
        <v>3569</v>
      </c>
      <c r="P308" t="s">
        <v>3573</v>
      </c>
      <c r="Q308" t="s">
        <v>3573</v>
      </c>
      <c r="R308" t="s">
        <v>384</v>
      </c>
    </row>
    <row r="309" spans="1:18">
      <c r="A309" t="s">
        <v>836</v>
      </c>
      <c r="B309" t="s">
        <v>840</v>
      </c>
      <c r="C309" t="s">
        <v>2558</v>
      </c>
      <c r="D309" t="s">
        <v>3552</v>
      </c>
      <c r="E309">
        <v>21</v>
      </c>
      <c r="F309" t="s">
        <v>3555</v>
      </c>
      <c r="G309">
        <v>1</v>
      </c>
      <c r="H309">
        <v>0</v>
      </c>
      <c r="I309">
        <v>35281</v>
      </c>
      <c r="J309">
        <v>77.287499999999994</v>
      </c>
      <c r="K309" t="s">
        <v>3582</v>
      </c>
      <c r="L309" t="s">
        <v>383</v>
      </c>
      <c r="M309" t="s">
        <v>59</v>
      </c>
      <c r="N309" t="s">
        <v>457</v>
      </c>
      <c r="O309" t="s">
        <v>3569</v>
      </c>
      <c r="P309">
        <v>169</v>
      </c>
      <c r="Q309" t="s">
        <v>3574</v>
      </c>
      <c r="R309" t="s">
        <v>384</v>
      </c>
    </row>
    <row r="310" spans="1:18">
      <c r="A310" t="s">
        <v>836</v>
      </c>
      <c r="B310" t="s">
        <v>9</v>
      </c>
      <c r="C310" t="s">
        <v>2559</v>
      </c>
      <c r="D310" t="s">
        <v>3551</v>
      </c>
      <c r="E310">
        <v>55</v>
      </c>
      <c r="F310" t="s">
        <v>3557</v>
      </c>
      <c r="G310">
        <v>0</v>
      </c>
      <c r="H310">
        <v>0</v>
      </c>
      <c r="I310" t="s">
        <v>87</v>
      </c>
      <c r="J310">
        <v>135.63329999999999</v>
      </c>
      <c r="K310" t="s">
        <v>3582</v>
      </c>
      <c r="L310" t="s">
        <v>385</v>
      </c>
      <c r="M310" t="s">
        <v>62</v>
      </c>
      <c r="N310" t="s">
        <v>3566</v>
      </c>
      <c r="O310">
        <v>8</v>
      </c>
      <c r="P310" t="s">
        <v>3573</v>
      </c>
      <c r="Q310" t="s">
        <v>3573</v>
      </c>
      <c r="R310" t="s">
        <v>386</v>
      </c>
    </row>
    <row r="311" spans="1:18">
      <c r="A311" t="s">
        <v>836</v>
      </c>
      <c r="B311" t="s">
        <v>9</v>
      </c>
      <c r="C311" t="s">
        <v>2560</v>
      </c>
      <c r="D311" t="s">
        <v>3551</v>
      </c>
      <c r="E311">
        <v>31</v>
      </c>
      <c r="F311" t="s">
        <v>3557</v>
      </c>
      <c r="G311">
        <v>2</v>
      </c>
      <c r="H311">
        <v>0</v>
      </c>
      <c r="I311">
        <v>36928</v>
      </c>
      <c r="J311">
        <v>164.86670000000001</v>
      </c>
      <c r="K311" t="s">
        <v>3582</v>
      </c>
      <c r="L311" t="s">
        <v>95</v>
      </c>
      <c r="M311" t="s">
        <v>62</v>
      </c>
      <c r="N311" t="s">
        <v>457</v>
      </c>
      <c r="O311">
        <v>8</v>
      </c>
      <c r="P311" t="s">
        <v>3573</v>
      </c>
      <c r="Q311" t="s">
        <v>3573</v>
      </c>
      <c r="R311" t="s">
        <v>96</v>
      </c>
    </row>
    <row r="312" spans="1:18">
      <c r="A312" t="s">
        <v>836</v>
      </c>
      <c r="B312" t="s">
        <v>840</v>
      </c>
      <c r="C312" t="s">
        <v>2561</v>
      </c>
      <c r="D312" t="s">
        <v>3552</v>
      </c>
      <c r="E312">
        <v>57</v>
      </c>
      <c r="F312" t="s">
        <v>3557</v>
      </c>
      <c r="G312">
        <v>1</v>
      </c>
      <c r="H312">
        <v>1</v>
      </c>
      <c r="I312">
        <v>36928</v>
      </c>
      <c r="J312">
        <v>164.86670000000001</v>
      </c>
      <c r="K312" t="s">
        <v>3582</v>
      </c>
      <c r="L312" t="s">
        <v>3561</v>
      </c>
      <c r="M312" t="s">
        <v>3561</v>
      </c>
      <c r="N312" t="s">
        <v>457</v>
      </c>
      <c r="O312" t="s">
        <v>3569</v>
      </c>
      <c r="P312" t="s">
        <v>3573</v>
      </c>
      <c r="Q312" t="s">
        <v>3573</v>
      </c>
      <c r="R312" t="s">
        <v>96</v>
      </c>
    </row>
    <row r="313" spans="1:18">
      <c r="A313" t="s">
        <v>836</v>
      </c>
      <c r="B313" t="s">
        <v>9</v>
      </c>
      <c r="C313" t="s">
        <v>2562</v>
      </c>
      <c r="D313" t="s">
        <v>3551</v>
      </c>
      <c r="E313">
        <v>45</v>
      </c>
      <c r="F313" t="s">
        <v>3557</v>
      </c>
      <c r="G313">
        <v>1</v>
      </c>
      <c r="H313">
        <v>1</v>
      </c>
      <c r="I313">
        <v>36928</v>
      </c>
      <c r="J313">
        <v>164.86670000000001</v>
      </c>
      <c r="K313" t="s">
        <v>3582</v>
      </c>
      <c r="L313" t="s">
        <v>3561</v>
      </c>
      <c r="M313" t="s">
        <v>3561</v>
      </c>
      <c r="N313" t="s">
        <v>457</v>
      </c>
      <c r="O313">
        <v>8</v>
      </c>
      <c r="P313" t="s">
        <v>3573</v>
      </c>
      <c r="Q313" t="s">
        <v>3573</v>
      </c>
      <c r="R313" t="s">
        <v>96</v>
      </c>
    </row>
    <row r="314" spans="1:18">
      <c r="A314" t="s">
        <v>836</v>
      </c>
      <c r="B314" t="s">
        <v>840</v>
      </c>
      <c r="C314" t="s">
        <v>2563</v>
      </c>
      <c r="D314" t="s">
        <v>3552</v>
      </c>
      <c r="E314">
        <v>50</v>
      </c>
      <c r="F314" t="s">
        <v>3557</v>
      </c>
      <c r="G314">
        <v>1</v>
      </c>
      <c r="H314">
        <v>1</v>
      </c>
      <c r="I314">
        <v>113503</v>
      </c>
      <c r="J314">
        <v>211.5</v>
      </c>
      <c r="K314" t="s">
        <v>3582</v>
      </c>
      <c r="L314" t="s">
        <v>387</v>
      </c>
      <c r="M314" t="s">
        <v>62</v>
      </c>
      <c r="N314" t="s">
        <v>3566</v>
      </c>
      <c r="O314" t="s">
        <v>3569</v>
      </c>
      <c r="P314" t="s">
        <v>3573</v>
      </c>
      <c r="Q314" t="s">
        <v>3573</v>
      </c>
      <c r="R314" t="s">
        <v>388</v>
      </c>
    </row>
    <row r="315" spans="1:18">
      <c r="A315" t="s">
        <v>836</v>
      </c>
      <c r="B315" t="s">
        <v>840</v>
      </c>
      <c r="C315" t="s">
        <v>2564</v>
      </c>
      <c r="D315" t="s">
        <v>3552</v>
      </c>
      <c r="E315">
        <v>27</v>
      </c>
      <c r="F315" t="s">
        <v>3555</v>
      </c>
      <c r="G315">
        <v>2</v>
      </c>
      <c r="H315">
        <v>0</v>
      </c>
      <c r="I315">
        <v>113503</v>
      </c>
      <c r="J315">
        <v>211.5</v>
      </c>
      <c r="K315" t="s">
        <v>3582</v>
      </c>
      <c r="L315" t="s">
        <v>389</v>
      </c>
      <c r="M315" t="s">
        <v>62</v>
      </c>
      <c r="N315" t="s">
        <v>3566</v>
      </c>
      <c r="O315" t="s">
        <v>3569</v>
      </c>
      <c r="P315" t="s">
        <v>3573</v>
      </c>
      <c r="Q315" t="s">
        <v>3573</v>
      </c>
      <c r="R315" t="s">
        <v>388</v>
      </c>
    </row>
    <row r="316" spans="1:18">
      <c r="A316" t="s">
        <v>836</v>
      </c>
      <c r="B316" t="s">
        <v>9</v>
      </c>
      <c r="C316" t="s">
        <v>2565</v>
      </c>
      <c r="D316" t="s">
        <v>3551</v>
      </c>
      <c r="E316">
        <v>50</v>
      </c>
      <c r="F316" t="s">
        <v>3557</v>
      </c>
      <c r="G316">
        <v>1</v>
      </c>
      <c r="H316">
        <v>1</v>
      </c>
      <c r="I316">
        <v>113503</v>
      </c>
      <c r="J316">
        <v>211.5</v>
      </c>
      <c r="K316" t="s">
        <v>3582</v>
      </c>
      <c r="L316" t="s">
        <v>387</v>
      </c>
      <c r="M316" t="s">
        <v>62</v>
      </c>
      <c r="N316" t="s">
        <v>3566</v>
      </c>
      <c r="O316">
        <v>4</v>
      </c>
      <c r="P316" t="s">
        <v>3573</v>
      </c>
      <c r="Q316" t="s">
        <v>3573</v>
      </c>
      <c r="R316" t="s">
        <v>388</v>
      </c>
    </row>
    <row r="317" spans="1:18">
      <c r="A317" t="s">
        <v>836</v>
      </c>
      <c r="B317" t="s">
        <v>9</v>
      </c>
      <c r="C317" t="s">
        <v>2566</v>
      </c>
      <c r="D317" t="s">
        <v>3551</v>
      </c>
      <c r="E317">
        <v>21</v>
      </c>
      <c r="F317" t="s">
        <v>3555</v>
      </c>
      <c r="G317">
        <v>0</v>
      </c>
      <c r="H317">
        <v>0</v>
      </c>
      <c r="I317">
        <v>113795</v>
      </c>
      <c r="J317">
        <v>26.55</v>
      </c>
      <c r="K317" t="s">
        <v>3584</v>
      </c>
      <c r="L317" t="s">
        <v>3561</v>
      </c>
      <c r="M317" t="s">
        <v>3561</v>
      </c>
      <c r="N317" t="s">
        <v>457</v>
      </c>
      <c r="O317" t="s">
        <v>390</v>
      </c>
      <c r="P317" t="s">
        <v>3573</v>
      </c>
      <c r="Q317" t="s">
        <v>3573</v>
      </c>
      <c r="R317" t="s">
        <v>339</v>
      </c>
    </row>
    <row r="318" spans="1:18">
      <c r="A318" t="s">
        <v>836</v>
      </c>
      <c r="B318" t="s">
        <v>840</v>
      </c>
      <c r="C318" t="s">
        <v>2567</v>
      </c>
      <c r="D318" t="s">
        <v>3552</v>
      </c>
      <c r="E318">
        <v>51</v>
      </c>
      <c r="F318" t="s">
        <v>3557</v>
      </c>
      <c r="G318">
        <v>1</v>
      </c>
      <c r="H318">
        <v>0</v>
      </c>
      <c r="I318" t="s">
        <v>391</v>
      </c>
      <c r="J318">
        <v>61.379199999999997</v>
      </c>
      <c r="K318" t="s">
        <v>3582</v>
      </c>
      <c r="L318" t="s">
        <v>3561</v>
      </c>
      <c r="M318" t="s">
        <v>3561</v>
      </c>
      <c r="N318" t="s">
        <v>3566</v>
      </c>
      <c r="O318" t="s">
        <v>3569</v>
      </c>
      <c r="P318" t="s">
        <v>3573</v>
      </c>
      <c r="Q318" t="s">
        <v>3573</v>
      </c>
      <c r="R318" t="s">
        <v>392</v>
      </c>
    </row>
    <row r="319" spans="1:18">
      <c r="A319" t="s">
        <v>836</v>
      </c>
      <c r="B319" t="s">
        <v>9</v>
      </c>
      <c r="C319" t="s">
        <v>2568</v>
      </c>
      <c r="D319" t="s">
        <v>3552</v>
      </c>
      <c r="E319">
        <v>21</v>
      </c>
      <c r="F319" t="s">
        <v>3555</v>
      </c>
      <c r="G319">
        <v>1</v>
      </c>
      <c r="H319">
        <v>0</v>
      </c>
      <c r="I319" t="s">
        <v>391</v>
      </c>
      <c r="J319">
        <v>61.379199999999997</v>
      </c>
      <c r="K319" t="s">
        <v>3582</v>
      </c>
      <c r="L319" t="s">
        <v>3561</v>
      </c>
      <c r="M319" t="s">
        <v>3561</v>
      </c>
      <c r="N319" t="s">
        <v>3566</v>
      </c>
      <c r="O319" t="s">
        <v>78</v>
      </c>
      <c r="P319" t="s">
        <v>3573</v>
      </c>
      <c r="Q319" t="s">
        <v>3573</v>
      </c>
      <c r="R319" t="s">
        <v>392</v>
      </c>
    </row>
    <row r="320" spans="1:18">
      <c r="A320" t="s">
        <v>836</v>
      </c>
      <c r="B320" t="s">
        <v>840</v>
      </c>
      <c r="C320" t="s">
        <v>2569</v>
      </c>
      <c r="D320" t="s">
        <v>3552</v>
      </c>
      <c r="E320">
        <v>28</v>
      </c>
      <c r="F320" t="s">
        <v>3555</v>
      </c>
      <c r="G320">
        <v>0</v>
      </c>
      <c r="H320">
        <v>0</v>
      </c>
      <c r="I320">
        <v>113510</v>
      </c>
      <c r="J320">
        <v>35</v>
      </c>
      <c r="K320" t="s">
        <v>3584</v>
      </c>
      <c r="L320" t="s">
        <v>393</v>
      </c>
      <c r="M320" t="s">
        <v>62</v>
      </c>
      <c r="N320" t="s">
        <v>457</v>
      </c>
      <c r="O320" t="s">
        <v>3569</v>
      </c>
      <c r="P320" t="s">
        <v>3573</v>
      </c>
      <c r="Q320" t="s">
        <v>3573</v>
      </c>
      <c r="R320" t="s">
        <v>138</v>
      </c>
    </row>
    <row r="321" spans="1:18">
      <c r="A321" t="s">
        <v>836</v>
      </c>
      <c r="B321" t="s">
        <v>9</v>
      </c>
      <c r="C321" t="s">
        <v>2570</v>
      </c>
      <c r="D321" t="s">
        <v>3551</v>
      </c>
      <c r="E321">
        <v>31</v>
      </c>
      <c r="F321" t="s">
        <v>3557</v>
      </c>
      <c r="G321">
        <v>0</v>
      </c>
      <c r="H321">
        <v>0</v>
      </c>
      <c r="I321">
        <v>16966</v>
      </c>
      <c r="J321">
        <v>134.5</v>
      </c>
      <c r="K321" t="s">
        <v>3582</v>
      </c>
      <c r="L321" t="s">
        <v>394</v>
      </c>
      <c r="M321" t="s">
        <v>3564</v>
      </c>
      <c r="N321" t="s">
        <v>3566</v>
      </c>
      <c r="O321">
        <v>3</v>
      </c>
      <c r="P321" t="s">
        <v>3573</v>
      </c>
      <c r="Q321" t="s">
        <v>3573</v>
      </c>
    </row>
    <row r="322" spans="1:18">
      <c r="A322" t="s">
        <v>836</v>
      </c>
      <c r="B322" t="s">
        <v>9</v>
      </c>
      <c r="C322" t="s">
        <v>2571</v>
      </c>
      <c r="D322" t="s">
        <v>3552</v>
      </c>
      <c r="E322">
        <v>28</v>
      </c>
      <c r="F322" t="s">
        <v>3555</v>
      </c>
      <c r="G322">
        <v>0</v>
      </c>
      <c r="H322">
        <v>0</v>
      </c>
      <c r="I322">
        <v>19947</v>
      </c>
      <c r="J322">
        <v>35.5</v>
      </c>
      <c r="K322" t="s">
        <v>3584</v>
      </c>
      <c r="L322" t="s">
        <v>89</v>
      </c>
      <c r="M322" t="s">
        <v>62</v>
      </c>
      <c r="N322" t="s">
        <v>457</v>
      </c>
      <c r="O322" t="s">
        <v>59</v>
      </c>
      <c r="P322" t="s">
        <v>3573</v>
      </c>
      <c r="Q322" t="s">
        <v>3573</v>
      </c>
      <c r="R322" t="s">
        <v>138</v>
      </c>
    </row>
    <row r="323" spans="1:18">
      <c r="A323" t="s">
        <v>836</v>
      </c>
      <c r="B323" t="s">
        <v>840</v>
      </c>
      <c r="C323" t="s">
        <v>2572</v>
      </c>
      <c r="D323" t="s">
        <v>3552</v>
      </c>
      <c r="E323">
        <v>62</v>
      </c>
      <c r="F323" t="s">
        <v>3559</v>
      </c>
      <c r="G323">
        <v>0</v>
      </c>
      <c r="H323">
        <v>0</v>
      </c>
      <c r="I323">
        <v>113807</v>
      </c>
      <c r="J323">
        <v>26.55</v>
      </c>
      <c r="K323" t="s">
        <v>3584</v>
      </c>
      <c r="L323" t="s">
        <v>3561</v>
      </c>
      <c r="M323" t="s">
        <v>3561</v>
      </c>
      <c r="N323" t="s">
        <v>457</v>
      </c>
      <c r="O323" t="s">
        <v>3569</v>
      </c>
      <c r="P323" t="s">
        <v>3573</v>
      </c>
      <c r="Q323" t="s">
        <v>3573</v>
      </c>
      <c r="R323" t="s">
        <v>395</v>
      </c>
    </row>
    <row r="324" spans="1:18">
      <c r="A324" t="s">
        <v>836</v>
      </c>
      <c r="B324" t="s">
        <v>9</v>
      </c>
      <c r="C324" t="s">
        <v>2573</v>
      </c>
      <c r="D324" t="s">
        <v>3551</v>
      </c>
      <c r="E324">
        <v>36</v>
      </c>
      <c r="F324" t="s">
        <v>3557</v>
      </c>
      <c r="G324">
        <v>0</v>
      </c>
      <c r="H324">
        <v>0</v>
      </c>
      <c r="I324" t="s">
        <v>87</v>
      </c>
      <c r="J324">
        <v>135.63329999999999</v>
      </c>
      <c r="K324" t="s">
        <v>3582</v>
      </c>
      <c r="L324" t="s">
        <v>385</v>
      </c>
      <c r="M324" t="s">
        <v>62</v>
      </c>
      <c r="N324" t="s">
        <v>3566</v>
      </c>
      <c r="O324">
        <v>8</v>
      </c>
      <c r="P324" t="s">
        <v>3573</v>
      </c>
      <c r="Q324" t="s">
        <v>3573</v>
      </c>
      <c r="R324" t="s">
        <v>396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41BD8-D5CD-4CFF-B7A2-A605C92E0532}">
  <dimension ref="A3:M73"/>
  <sheetViews>
    <sheetView topLeftCell="A7" workbookViewId="0">
      <selection activeCell="M18" sqref="M18"/>
    </sheetView>
  </sheetViews>
  <sheetFormatPr defaultRowHeight="13.8"/>
  <cols>
    <col min="1" max="1" width="20.3984375" bestFit="1" customWidth="1"/>
    <col min="2" max="2" width="15" bestFit="1" customWidth="1"/>
    <col min="3" max="3" width="7.69921875" bestFit="1" customWidth="1"/>
    <col min="4" max="4" width="10.3984375" bestFit="1" customWidth="1"/>
    <col min="13" max="13" width="11.59765625" bestFit="1" customWidth="1"/>
  </cols>
  <sheetData>
    <row r="3" spans="1:13">
      <c r="A3" s="7" t="s">
        <v>3578</v>
      </c>
      <c r="B3" s="7" t="s">
        <v>3579</v>
      </c>
    </row>
    <row r="4" spans="1:13">
      <c r="A4" s="7" t="s">
        <v>3576</v>
      </c>
      <c r="B4" s="4" t="s">
        <v>840</v>
      </c>
      <c r="C4" s="4" t="s">
        <v>9</v>
      </c>
      <c r="D4" s="4" t="s">
        <v>3577</v>
      </c>
    </row>
    <row r="5" spans="1:13">
      <c r="A5" s="8" t="s">
        <v>836</v>
      </c>
      <c r="B5" s="9">
        <v>123</v>
      </c>
      <c r="C5" s="9">
        <v>200</v>
      </c>
      <c r="D5" s="9">
        <v>323</v>
      </c>
    </row>
    <row r="6" spans="1:13">
      <c r="A6" s="8" t="s">
        <v>837</v>
      </c>
      <c r="B6" s="9">
        <v>158</v>
      </c>
      <c r="C6" s="9">
        <v>119</v>
      </c>
      <c r="D6" s="9">
        <v>277</v>
      </c>
    </row>
    <row r="7" spans="1:13">
      <c r="A7" s="8" t="s">
        <v>838</v>
      </c>
      <c r="B7" s="9">
        <v>528</v>
      </c>
      <c r="C7" s="9">
        <v>181</v>
      </c>
      <c r="D7" s="9">
        <v>709</v>
      </c>
      <c r="M7" t="s">
        <v>3586</v>
      </c>
    </row>
    <row r="8" spans="1:13">
      <c r="A8" s="8" t="s">
        <v>3577</v>
      </c>
      <c r="B8" s="9">
        <v>809</v>
      </c>
      <c r="C8" s="9">
        <v>500</v>
      </c>
      <c r="D8" s="9">
        <v>1309</v>
      </c>
      <c r="M8" s="12">
        <f>'Pivot Table and Charts'!$C$8/'Pivot Table and Charts'!$D$8</f>
        <v>0.3819709702062643</v>
      </c>
    </row>
    <row r="17" spans="1:12">
      <c r="A17" s="7" t="s">
        <v>3578</v>
      </c>
      <c r="B17" s="7" t="s">
        <v>3579</v>
      </c>
    </row>
    <row r="18" spans="1:12">
      <c r="A18" s="7" t="s">
        <v>3576</v>
      </c>
      <c r="B18" s="4" t="s">
        <v>840</v>
      </c>
      <c r="C18" s="4" t="s">
        <v>9</v>
      </c>
      <c r="D18" s="4" t="s">
        <v>3577</v>
      </c>
    </row>
    <row r="19" spans="1:12">
      <c r="A19" s="8" t="s">
        <v>3551</v>
      </c>
      <c r="B19" s="9">
        <v>127</v>
      </c>
      <c r="C19" s="9">
        <v>339</v>
      </c>
      <c r="D19" s="9">
        <v>466</v>
      </c>
    </row>
    <row r="20" spans="1:12">
      <c r="A20" s="8" t="s">
        <v>3552</v>
      </c>
      <c r="B20" s="9">
        <v>682</v>
      </c>
      <c r="C20" s="9">
        <v>161</v>
      </c>
      <c r="D20" s="9">
        <v>843</v>
      </c>
    </row>
    <row r="21" spans="1:12">
      <c r="A21" s="8" t="s">
        <v>3577</v>
      </c>
      <c r="B21" s="9">
        <v>809</v>
      </c>
      <c r="C21" s="9">
        <v>500</v>
      </c>
      <c r="D21" s="9">
        <v>1309</v>
      </c>
    </row>
    <row r="29" spans="1:12">
      <c r="A29" s="7" t="s">
        <v>3576</v>
      </c>
      <c r="B29" s="14" t="s">
        <v>3580</v>
      </c>
    </row>
    <row r="30" spans="1:12">
      <c r="A30" s="8" t="s">
        <v>836</v>
      </c>
      <c r="B30" s="15">
        <v>87.508991640866867</v>
      </c>
    </row>
    <row r="31" spans="1:12">
      <c r="A31" s="8" t="s">
        <v>837</v>
      </c>
      <c r="B31" s="15">
        <v>21.1791963898917</v>
      </c>
      <c r="L31" s="13"/>
    </row>
    <row r="32" spans="1:12">
      <c r="A32" s="8" t="s">
        <v>838</v>
      </c>
      <c r="B32" s="15">
        <v>13.304512552891381</v>
      </c>
    </row>
    <row r="33" spans="1:4">
      <c r="A33" s="8" t="s">
        <v>3577</v>
      </c>
      <c r="B33" s="15">
        <v>33.281085637891671</v>
      </c>
    </row>
    <row r="43" spans="1:4">
      <c r="A43" s="7" t="s">
        <v>3578</v>
      </c>
      <c r="B43" s="7" t="s">
        <v>3579</v>
      </c>
    </row>
    <row r="44" spans="1:4">
      <c r="A44" s="7" t="s">
        <v>3576</v>
      </c>
      <c r="B44" s="4" t="s">
        <v>840</v>
      </c>
      <c r="C44" s="4" t="s">
        <v>9</v>
      </c>
      <c r="D44" s="4" t="s">
        <v>3577</v>
      </c>
    </row>
    <row r="45" spans="1:4">
      <c r="A45" s="8" t="s">
        <v>3557</v>
      </c>
      <c r="B45" s="9">
        <v>255</v>
      </c>
      <c r="C45" s="9">
        <v>182</v>
      </c>
      <c r="D45" s="9">
        <v>437</v>
      </c>
    </row>
    <row r="46" spans="1:4">
      <c r="A46" s="8" t="s">
        <v>3556</v>
      </c>
      <c r="B46" s="9">
        <v>32</v>
      </c>
      <c r="C46" s="9">
        <v>50</v>
      </c>
      <c r="D46" s="9">
        <v>82</v>
      </c>
    </row>
    <row r="47" spans="1:4">
      <c r="A47" s="8" t="s">
        <v>3559</v>
      </c>
      <c r="B47" s="9">
        <v>28</v>
      </c>
      <c r="C47" s="9">
        <v>12</v>
      </c>
      <c r="D47" s="9">
        <v>40</v>
      </c>
    </row>
    <row r="48" spans="1:4">
      <c r="A48" s="8" t="s">
        <v>3560</v>
      </c>
      <c r="B48" s="9">
        <v>41</v>
      </c>
      <c r="C48" s="9">
        <v>31</v>
      </c>
      <c r="D48" s="9">
        <v>72</v>
      </c>
    </row>
    <row r="49" spans="1:4">
      <c r="A49" s="8" t="s">
        <v>3555</v>
      </c>
      <c r="B49" s="9">
        <v>453</v>
      </c>
      <c r="C49" s="9">
        <v>225</v>
      </c>
      <c r="D49" s="9">
        <v>678</v>
      </c>
    </row>
    <row r="50" spans="1:4">
      <c r="A50" s="8" t="s">
        <v>3577</v>
      </c>
      <c r="B50" s="9">
        <v>809</v>
      </c>
      <c r="C50" s="9">
        <v>500</v>
      </c>
      <c r="D50" s="9">
        <v>1309</v>
      </c>
    </row>
    <row r="57" spans="1:4">
      <c r="A57" s="7" t="s">
        <v>3576</v>
      </c>
      <c r="B57" t="s">
        <v>3580</v>
      </c>
    </row>
    <row r="58" spans="1:4">
      <c r="A58" s="8" t="s">
        <v>836</v>
      </c>
      <c r="B58" s="10">
        <v>87.508991640866867</v>
      </c>
    </row>
    <row r="59" spans="1:4">
      <c r="A59" s="8" t="s">
        <v>837</v>
      </c>
      <c r="B59" s="10">
        <v>21.1791963898917</v>
      </c>
    </row>
    <row r="60" spans="1:4">
      <c r="A60" s="8" t="s">
        <v>838</v>
      </c>
      <c r="B60" s="10">
        <v>13.304512552891381</v>
      </c>
    </row>
    <row r="61" spans="1:4">
      <c r="A61" s="8" t="s">
        <v>3577</v>
      </c>
      <c r="B61" s="10">
        <v>33.281085637891671</v>
      </c>
    </row>
    <row r="67" spans="1:11">
      <c r="K67" s="11"/>
    </row>
    <row r="68" spans="1:11">
      <c r="A68" s="7" t="s">
        <v>3578</v>
      </c>
      <c r="B68" s="7" t="s">
        <v>3579</v>
      </c>
    </row>
    <row r="69" spans="1:11">
      <c r="A69" s="7" t="s">
        <v>3576</v>
      </c>
      <c r="B69" s="4" t="s">
        <v>840</v>
      </c>
      <c r="C69" s="4" t="s">
        <v>9</v>
      </c>
      <c r="D69" s="4" t="s">
        <v>3577</v>
      </c>
    </row>
    <row r="70" spans="1:11">
      <c r="A70" s="8" t="s">
        <v>3582</v>
      </c>
      <c r="B70" s="9">
        <v>82</v>
      </c>
      <c r="C70" s="9">
        <v>158</v>
      </c>
      <c r="D70" s="9">
        <v>240</v>
      </c>
    </row>
    <row r="71" spans="1:11">
      <c r="A71" s="8" t="s">
        <v>3583</v>
      </c>
      <c r="B71" s="9">
        <v>381</v>
      </c>
      <c r="C71" s="9">
        <v>110</v>
      </c>
      <c r="D71" s="9">
        <v>491</v>
      </c>
      <c r="F71" s="11"/>
    </row>
    <row r="72" spans="1:11">
      <c r="A72" s="8" t="s">
        <v>3584</v>
      </c>
      <c r="B72" s="9">
        <v>346</v>
      </c>
      <c r="C72" s="9">
        <v>232</v>
      </c>
      <c r="D72" s="9">
        <v>578</v>
      </c>
    </row>
    <row r="73" spans="1:11">
      <c r="A73" s="8" t="s">
        <v>3577</v>
      </c>
      <c r="B73" s="9">
        <v>809</v>
      </c>
      <c r="C73" s="9">
        <v>500</v>
      </c>
      <c r="D73" s="9">
        <v>1309</v>
      </c>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C767-8CE3-4337-9BA1-066DDC25E6B4}">
  <dimension ref="A1:R1310"/>
  <sheetViews>
    <sheetView topLeftCell="C1" zoomScale="70" zoomScaleNormal="70" workbookViewId="0">
      <selection activeCell="F1" sqref="F1"/>
    </sheetView>
  </sheetViews>
  <sheetFormatPr defaultRowHeight="13.8"/>
  <cols>
    <col min="1" max="1" width="14.3984375" customWidth="1"/>
    <col min="2" max="2" width="16.19921875" customWidth="1"/>
    <col min="3" max="3" width="31.8984375" customWidth="1"/>
    <col min="4" max="4" width="11" customWidth="1"/>
    <col min="6" max="6" width="12.09765625" style="4" customWidth="1"/>
    <col min="7" max="7" width="13.09765625" customWidth="1"/>
    <col min="8" max="8" width="14.796875" customWidth="1"/>
    <col min="9" max="9" width="11.296875" customWidth="1"/>
    <col min="10" max="10" width="12.59765625" style="6" customWidth="1"/>
    <col min="11" max="11" width="12.796875" style="4" customWidth="1"/>
    <col min="12" max="12" width="14.59765625" bestFit="1" customWidth="1"/>
    <col min="13" max="13" width="14.59765625" style="4" customWidth="1"/>
    <col min="14" max="14" width="12.3984375" customWidth="1"/>
    <col min="15" max="15" width="15.8984375" customWidth="1"/>
    <col min="16" max="16" width="17.3984375" style="4" customWidth="1"/>
    <col min="17" max="17" width="17.19921875" customWidth="1"/>
    <col min="18" max="18" width="28.59765625" customWidth="1"/>
  </cols>
  <sheetData>
    <row r="1" spans="1:18">
      <c r="A1" t="s">
        <v>835</v>
      </c>
      <c r="B1" t="s">
        <v>839</v>
      </c>
      <c r="C1" t="s">
        <v>2252</v>
      </c>
      <c r="D1" t="s">
        <v>3550</v>
      </c>
      <c r="E1" t="s">
        <v>21</v>
      </c>
      <c r="F1" s="4" t="s">
        <v>3558</v>
      </c>
      <c r="G1" s="4" t="s">
        <v>3554</v>
      </c>
      <c r="H1" t="s">
        <v>3553</v>
      </c>
      <c r="I1" t="s">
        <v>28</v>
      </c>
      <c r="J1" s="6" t="s">
        <v>31</v>
      </c>
      <c r="K1" s="4" t="s">
        <v>3581</v>
      </c>
      <c r="L1" t="s">
        <v>33</v>
      </c>
      <c r="M1" s="4" t="s">
        <v>3562</v>
      </c>
      <c r="N1" t="s">
        <v>36</v>
      </c>
      <c r="O1" t="s">
        <v>3568</v>
      </c>
      <c r="P1" s="4" t="s">
        <v>3575</v>
      </c>
      <c r="Q1" t="s">
        <v>3572</v>
      </c>
      <c r="R1" t="s">
        <v>46</v>
      </c>
    </row>
    <row r="2" spans="1:18">
      <c r="A2" t="s">
        <v>836</v>
      </c>
      <c r="B2" t="s">
        <v>9</v>
      </c>
      <c r="C2" t="s">
        <v>2253</v>
      </c>
      <c r="D2" t="s">
        <v>3551</v>
      </c>
      <c r="E2">
        <v>29</v>
      </c>
      <c r="F2" s="4" t="s">
        <v>3555</v>
      </c>
      <c r="G2" s="4">
        <v>0</v>
      </c>
      <c r="H2">
        <v>1</v>
      </c>
      <c r="I2">
        <v>24160</v>
      </c>
      <c r="J2" s="6">
        <v>211.33750000000001</v>
      </c>
      <c r="K2" s="4" t="str">
        <f>IF(J2&lt;=10,"Low",IF(J2&lt;=50,"Mid","High"))</f>
        <v>High</v>
      </c>
      <c r="L2" t="s">
        <v>48</v>
      </c>
      <c r="M2" s="4" t="s">
        <v>70</v>
      </c>
      <c r="N2" t="s">
        <v>457</v>
      </c>
      <c r="O2">
        <v>2</v>
      </c>
      <c r="P2" s="4" t="s">
        <v>3573</v>
      </c>
      <c r="Q2" t="s">
        <v>3573</v>
      </c>
      <c r="R2" t="s">
        <v>49</v>
      </c>
    </row>
    <row r="3" spans="1:18">
      <c r="A3" t="s">
        <v>836</v>
      </c>
      <c r="B3" t="s">
        <v>9</v>
      </c>
      <c r="C3" t="s">
        <v>2254</v>
      </c>
      <c r="D3" t="s">
        <v>3552</v>
      </c>
      <c r="E3">
        <v>1</v>
      </c>
      <c r="F3" s="4" t="s">
        <v>3556</v>
      </c>
      <c r="G3" s="4">
        <v>2</v>
      </c>
      <c r="H3">
        <v>1</v>
      </c>
      <c r="I3">
        <v>113781</v>
      </c>
      <c r="J3" s="6">
        <v>151.55000000000001</v>
      </c>
      <c r="K3" s="4" t="str">
        <f t="shared" ref="K3:K66" si="0">IF(J3&lt;=10,"Low",IF(J3&lt;=50,"Mid","High"))</f>
        <v>High</v>
      </c>
      <c r="L3" t="s">
        <v>50</v>
      </c>
      <c r="M3" s="4" t="s">
        <v>62</v>
      </c>
      <c r="N3" t="s">
        <v>457</v>
      </c>
      <c r="O3">
        <v>11</v>
      </c>
      <c r="P3" s="4" t="s">
        <v>3573</v>
      </c>
      <c r="Q3" t="s">
        <v>3573</v>
      </c>
      <c r="R3" t="s">
        <v>51</v>
      </c>
    </row>
    <row r="4" spans="1:18">
      <c r="A4" t="s">
        <v>836</v>
      </c>
      <c r="B4" t="s">
        <v>840</v>
      </c>
      <c r="C4" t="s">
        <v>2255</v>
      </c>
      <c r="D4" t="s">
        <v>3551</v>
      </c>
      <c r="E4">
        <v>2</v>
      </c>
      <c r="F4" s="4" t="s">
        <v>3556</v>
      </c>
      <c r="G4" s="4">
        <v>2</v>
      </c>
      <c r="H4">
        <v>1</v>
      </c>
      <c r="I4">
        <v>113781</v>
      </c>
      <c r="J4" s="6">
        <v>151.55000000000001</v>
      </c>
      <c r="K4" s="4" t="str">
        <f t="shared" si="0"/>
        <v>High</v>
      </c>
      <c r="L4" t="s">
        <v>50</v>
      </c>
      <c r="M4" s="4" t="s">
        <v>62</v>
      </c>
      <c r="N4" t="s">
        <v>457</v>
      </c>
      <c r="O4" t="s">
        <v>3569</v>
      </c>
      <c r="P4" s="4" t="s">
        <v>3573</v>
      </c>
      <c r="Q4" t="s">
        <v>3573</v>
      </c>
      <c r="R4" t="s">
        <v>51</v>
      </c>
    </row>
    <row r="5" spans="1:18">
      <c r="A5" t="s">
        <v>836</v>
      </c>
      <c r="B5" t="s">
        <v>840</v>
      </c>
      <c r="C5" t="s">
        <v>2256</v>
      </c>
      <c r="D5" t="s">
        <v>3552</v>
      </c>
      <c r="E5">
        <v>30</v>
      </c>
      <c r="F5" s="4" t="s">
        <v>3557</v>
      </c>
      <c r="G5" s="4">
        <v>2</v>
      </c>
      <c r="H5">
        <v>1</v>
      </c>
      <c r="I5">
        <v>113781</v>
      </c>
      <c r="J5" s="6">
        <v>151.55000000000001</v>
      </c>
      <c r="K5" s="4" t="str">
        <f t="shared" si="0"/>
        <v>High</v>
      </c>
      <c r="L5" t="s">
        <v>50</v>
      </c>
      <c r="M5" s="4" t="s">
        <v>62</v>
      </c>
      <c r="N5" t="s">
        <v>457</v>
      </c>
      <c r="O5" t="s">
        <v>3569</v>
      </c>
      <c r="P5" s="4">
        <v>135</v>
      </c>
      <c r="Q5" t="s">
        <v>3574</v>
      </c>
      <c r="R5" t="s">
        <v>51</v>
      </c>
    </row>
    <row r="6" spans="1:18">
      <c r="A6" t="s">
        <v>836</v>
      </c>
      <c r="B6" t="s">
        <v>840</v>
      </c>
      <c r="C6" t="s">
        <v>2257</v>
      </c>
      <c r="D6" t="s">
        <v>3551</v>
      </c>
      <c r="E6">
        <v>25</v>
      </c>
      <c r="F6" s="4" t="s">
        <v>3555</v>
      </c>
      <c r="G6" s="4">
        <v>2</v>
      </c>
      <c r="H6">
        <v>1</v>
      </c>
      <c r="I6">
        <v>113781</v>
      </c>
      <c r="J6" s="6">
        <v>151.55000000000001</v>
      </c>
      <c r="K6" s="4" t="str">
        <f t="shared" si="0"/>
        <v>High</v>
      </c>
      <c r="L6" t="s">
        <v>50</v>
      </c>
      <c r="M6" s="4" t="s">
        <v>62</v>
      </c>
      <c r="N6" t="s">
        <v>457</v>
      </c>
      <c r="O6" t="s">
        <v>3569</v>
      </c>
      <c r="P6" s="4" t="s">
        <v>3573</v>
      </c>
      <c r="Q6" t="s">
        <v>3573</v>
      </c>
      <c r="R6" t="s">
        <v>51</v>
      </c>
    </row>
    <row r="7" spans="1:18">
      <c r="A7" t="s">
        <v>836</v>
      </c>
      <c r="B7" t="s">
        <v>9</v>
      </c>
      <c r="C7" t="s">
        <v>2258</v>
      </c>
      <c r="D7" t="s">
        <v>3552</v>
      </c>
      <c r="E7">
        <v>48</v>
      </c>
      <c r="F7" s="4" t="s">
        <v>3557</v>
      </c>
      <c r="G7" s="4">
        <v>0</v>
      </c>
      <c r="H7">
        <v>0</v>
      </c>
      <c r="I7">
        <v>19952</v>
      </c>
      <c r="J7" s="6">
        <v>26.55</v>
      </c>
      <c r="K7" s="4" t="str">
        <f t="shared" si="0"/>
        <v>Mid</v>
      </c>
      <c r="L7" t="s">
        <v>52</v>
      </c>
      <c r="M7" s="4" t="s">
        <v>3564</v>
      </c>
      <c r="N7" t="s">
        <v>457</v>
      </c>
      <c r="O7">
        <v>3</v>
      </c>
      <c r="P7" s="4" t="s">
        <v>3573</v>
      </c>
      <c r="Q7" t="s">
        <v>3573</v>
      </c>
      <c r="R7" t="s">
        <v>53</v>
      </c>
    </row>
    <row r="8" spans="1:18">
      <c r="A8" t="s">
        <v>836</v>
      </c>
      <c r="B8" t="s">
        <v>9</v>
      </c>
      <c r="C8" t="s">
        <v>2259</v>
      </c>
      <c r="D8" t="s">
        <v>3551</v>
      </c>
      <c r="E8">
        <v>63</v>
      </c>
      <c r="F8" s="4" t="s">
        <v>3559</v>
      </c>
      <c r="G8" s="4">
        <v>0</v>
      </c>
      <c r="H8">
        <v>1</v>
      </c>
      <c r="I8">
        <v>13502</v>
      </c>
      <c r="J8" s="6">
        <v>77.958299999999994</v>
      </c>
      <c r="K8" s="4" t="str">
        <f t="shared" si="0"/>
        <v>High</v>
      </c>
      <c r="L8" t="s">
        <v>54</v>
      </c>
      <c r="M8" s="4" t="s">
        <v>59</v>
      </c>
      <c r="N8" t="s">
        <v>457</v>
      </c>
      <c r="O8">
        <v>10</v>
      </c>
      <c r="P8" s="4" t="s">
        <v>3573</v>
      </c>
      <c r="Q8" t="s">
        <v>3573</v>
      </c>
      <c r="R8" t="s">
        <v>55</v>
      </c>
    </row>
    <row r="9" spans="1:18">
      <c r="A9" t="s">
        <v>836</v>
      </c>
      <c r="B9" t="s">
        <v>840</v>
      </c>
      <c r="C9" t="s">
        <v>2260</v>
      </c>
      <c r="D9" t="s">
        <v>3552</v>
      </c>
      <c r="E9">
        <v>39</v>
      </c>
      <c r="F9" s="4" t="s">
        <v>3557</v>
      </c>
      <c r="G9" s="4">
        <v>0</v>
      </c>
      <c r="H9">
        <v>0</v>
      </c>
      <c r="I9">
        <v>112050</v>
      </c>
      <c r="J9" s="6">
        <v>0</v>
      </c>
      <c r="K9" s="4" t="str">
        <f t="shared" si="0"/>
        <v>Low</v>
      </c>
      <c r="L9" t="s">
        <v>56</v>
      </c>
      <c r="M9" s="4" t="s">
        <v>78</v>
      </c>
      <c r="N9" t="s">
        <v>457</v>
      </c>
      <c r="O9" t="s">
        <v>3569</v>
      </c>
      <c r="P9" s="4" t="s">
        <v>3573</v>
      </c>
      <c r="Q9" t="s">
        <v>3573</v>
      </c>
      <c r="R9" t="s">
        <v>57</v>
      </c>
    </row>
    <row r="10" spans="1:18">
      <c r="A10" t="s">
        <v>836</v>
      </c>
      <c r="B10" t="s">
        <v>9</v>
      </c>
      <c r="C10" t="s">
        <v>2261</v>
      </c>
      <c r="D10" t="s">
        <v>3551</v>
      </c>
      <c r="E10">
        <v>53</v>
      </c>
      <c r="F10" s="4" t="s">
        <v>3557</v>
      </c>
      <c r="G10" s="4">
        <v>0</v>
      </c>
      <c r="H10">
        <v>2</v>
      </c>
      <c r="I10">
        <v>11769</v>
      </c>
      <c r="J10" s="6">
        <v>51.479199999999999</v>
      </c>
      <c r="K10" s="4" t="str">
        <f t="shared" si="0"/>
        <v>High</v>
      </c>
      <c r="L10" t="s">
        <v>58</v>
      </c>
      <c r="M10" s="4" t="s">
        <v>62</v>
      </c>
      <c r="N10" t="s">
        <v>457</v>
      </c>
      <c r="O10" t="s">
        <v>59</v>
      </c>
      <c r="P10" s="4" t="s">
        <v>3573</v>
      </c>
      <c r="Q10" t="s">
        <v>3573</v>
      </c>
      <c r="R10" t="s">
        <v>60</v>
      </c>
    </row>
    <row r="11" spans="1:18">
      <c r="A11" t="s">
        <v>836</v>
      </c>
      <c r="B11" t="s">
        <v>840</v>
      </c>
      <c r="C11" t="s">
        <v>2262</v>
      </c>
      <c r="D11" t="s">
        <v>3552</v>
      </c>
      <c r="E11">
        <v>71</v>
      </c>
      <c r="F11" s="4" t="s">
        <v>3559</v>
      </c>
      <c r="G11" s="4">
        <v>0</v>
      </c>
      <c r="H11">
        <v>0</v>
      </c>
      <c r="I11" t="s">
        <v>61</v>
      </c>
      <c r="J11" s="6">
        <v>49.504199999999997</v>
      </c>
      <c r="K11" s="4" t="str">
        <f t="shared" si="0"/>
        <v>Mid</v>
      </c>
      <c r="L11" t="s">
        <v>3561</v>
      </c>
      <c r="M11" s="4" t="s">
        <v>3561</v>
      </c>
      <c r="N11" t="s">
        <v>3566</v>
      </c>
      <c r="O11" t="s">
        <v>3569</v>
      </c>
      <c r="P11" s="4">
        <v>22</v>
      </c>
      <c r="Q11" t="s">
        <v>3574</v>
      </c>
      <c r="R11" t="s">
        <v>63</v>
      </c>
    </row>
    <row r="12" spans="1:18">
      <c r="A12" t="s">
        <v>836</v>
      </c>
      <c r="B12" t="s">
        <v>840</v>
      </c>
      <c r="C12" t="s">
        <v>2263</v>
      </c>
      <c r="D12" t="s">
        <v>3552</v>
      </c>
      <c r="E12">
        <v>47</v>
      </c>
      <c r="F12" s="4" t="s">
        <v>3557</v>
      </c>
      <c r="G12" s="4">
        <v>0</v>
      </c>
      <c r="H12">
        <v>1</v>
      </c>
      <c r="I12" t="s">
        <v>64</v>
      </c>
      <c r="J12" s="6">
        <v>227.52500000000001</v>
      </c>
      <c r="K12" s="4" t="str">
        <f t="shared" si="0"/>
        <v>High</v>
      </c>
      <c r="L12" t="s">
        <v>65</v>
      </c>
      <c r="M12" s="4" t="s">
        <v>62</v>
      </c>
      <c r="N12" t="s">
        <v>3566</v>
      </c>
      <c r="O12" t="s">
        <v>3569</v>
      </c>
      <c r="P12" s="4">
        <v>124</v>
      </c>
      <c r="Q12" t="s">
        <v>3574</v>
      </c>
      <c r="R12" t="s">
        <v>53</v>
      </c>
    </row>
    <row r="13" spans="1:18">
      <c r="A13" t="s">
        <v>836</v>
      </c>
      <c r="B13" t="s">
        <v>9</v>
      </c>
      <c r="C13" t="s">
        <v>2264</v>
      </c>
      <c r="D13" t="s">
        <v>3551</v>
      </c>
      <c r="E13">
        <v>18</v>
      </c>
      <c r="F13" s="4" t="s">
        <v>3555</v>
      </c>
      <c r="G13" s="4">
        <v>0</v>
      </c>
      <c r="H13">
        <v>1</v>
      </c>
      <c r="I13" t="s">
        <v>64</v>
      </c>
      <c r="J13" s="6">
        <v>227.52500000000001</v>
      </c>
      <c r="K13" s="4" t="str">
        <f t="shared" si="0"/>
        <v>High</v>
      </c>
      <c r="L13" t="s">
        <v>65</v>
      </c>
      <c r="M13" s="4" t="s">
        <v>62</v>
      </c>
      <c r="N13" t="s">
        <v>3566</v>
      </c>
      <c r="O13">
        <v>4</v>
      </c>
      <c r="P13" s="4" t="s">
        <v>3573</v>
      </c>
      <c r="Q13" t="s">
        <v>3573</v>
      </c>
      <c r="R13" t="s">
        <v>53</v>
      </c>
    </row>
    <row r="14" spans="1:18">
      <c r="A14" t="s">
        <v>836</v>
      </c>
      <c r="B14" t="s">
        <v>9</v>
      </c>
      <c r="C14" t="s">
        <v>2265</v>
      </c>
      <c r="D14" t="s">
        <v>3551</v>
      </c>
      <c r="E14">
        <v>24</v>
      </c>
      <c r="F14" s="4" t="s">
        <v>3555</v>
      </c>
      <c r="G14" s="4">
        <v>0</v>
      </c>
      <c r="H14">
        <v>0</v>
      </c>
      <c r="I14" t="s">
        <v>66</v>
      </c>
      <c r="J14" s="6">
        <v>69.3</v>
      </c>
      <c r="K14" s="4" t="str">
        <f t="shared" si="0"/>
        <v>High</v>
      </c>
      <c r="L14" t="s">
        <v>67</v>
      </c>
      <c r="M14" s="4" t="s">
        <v>70</v>
      </c>
      <c r="N14" t="s">
        <v>3566</v>
      </c>
      <c r="O14">
        <v>9</v>
      </c>
      <c r="P14" s="4" t="s">
        <v>3573</v>
      </c>
      <c r="Q14" t="s">
        <v>3573</v>
      </c>
      <c r="R14" t="s">
        <v>68</v>
      </c>
    </row>
    <row r="15" spans="1:18">
      <c r="A15" t="s">
        <v>836</v>
      </c>
      <c r="B15" t="s">
        <v>9</v>
      </c>
      <c r="C15" t="s">
        <v>2266</v>
      </c>
      <c r="D15" t="s">
        <v>3551</v>
      </c>
      <c r="E15">
        <v>26</v>
      </c>
      <c r="F15" s="4" t="s">
        <v>3555</v>
      </c>
      <c r="G15" s="4">
        <v>0</v>
      </c>
      <c r="H15">
        <v>0</v>
      </c>
      <c r="I15">
        <v>19877</v>
      </c>
      <c r="J15" s="6">
        <v>78.849999999999994</v>
      </c>
      <c r="K15" s="4" t="str">
        <f t="shared" si="0"/>
        <v>High</v>
      </c>
      <c r="L15" t="s">
        <v>3561</v>
      </c>
      <c r="M15" s="4" t="s">
        <v>3561</v>
      </c>
      <c r="N15" t="s">
        <v>457</v>
      </c>
      <c r="O15">
        <v>6</v>
      </c>
      <c r="P15" s="4" t="s">
        <v>3573</v>
      </c>
      <c r="Q15" t="s">
        <v>3573</v>
      </c>
    </row>
    <row r="16" spans="1:18">
      <c r="A16" t="s">
        <v>836</v>
      </c>
      <c r="B16" t="s">
        <v>9</v>
      </c>
      <c r="C16" t="s">
        <v>2267</v>
      </c>
      <c r="D16" t="s">
        <v>3552</v>
      </c>
      <c r="E16">
        <v>80</v>
      </c>
      <c r="F16" s="4" t="s">
        <v>3559</v>
      </c>
      <c r="G16" s="4">
        <v>0</v>
      </c>
      <c r="H16">
        <v>0</v>
      </c>
      <c r="I16">
        <v>27042</v>
      </c>
      <c r="J16" s="6">
        <v>30</v>
      </c>
      <c r="K16" s="4" t="str">
        <f t="shared" si="0"/>
        <v>Mid</v>
      </c>
      <c r="L16" t="s">
        <v>69</v>
      </c>
      <c r="M16" s="4" t="s">
        <v>78</v>
      </c>
      <c r="N16" t="s">
        <v>457</v>
      </c>
      <c r="O16" t="s">
        <v>70</v>
      </c>
      <c r="P16" s="4" t="s">
        <v>3573</v>
      </c>
      <c r="Q16" t="s">
        <v>3573</v>
      </c>
      <c r="R16" t="s">
        <v>71</v>
      </c>
    </row>
    <row r="17" spans="1:18">
      <c r="A17" t="s">
        <v>836</v>
      </c>
      <c r="B17" t="s">
        <v>840</v>
      </c>
      <c r="C17" t="s">
        <v>2268</v>
      </c>
      <c r="D17" t="s">
        <v>3552</v>
      </c>
      <c r="E17">
        <v>28</v>
      </c>
      <c r="F17" s="4" t="s">
        <v>3555</v>
      </c>
      <c r="G17" s="4">
        <v>0</v>
      </c>
      <c r="H17">
        <v>0</v>
      </c>
      <c r="I17" t="s">
        <v>72</v>
      </c>
      <c r="J17" s="6">
        <v>25.925000000000001</v>
      </c>
      <c r="K17" s="4" t="str">
        <f t="shared" si="0"/>
        <v>Mid</v>
      </c>
      <c r="L17" t="s">
        <v>3561</v>
      </c>
      <c r="M17" s="4" t="s">
        <v>3561</v>
      </c>
      <c r="N17" t="s">
        <v>457</v>
      </c>
      <c r="O17" t="s">
        <v>3569</v>
      </c>
      <c r="P17" s="4" t="s">
        <v>3573</v>
      </c>
      <c r="Q17" t="s">
        <v>3573</v>
      </c>
      <c r="R17" t="s">
        <v>53</v>
      </c>
    </row>
    <row r="18" spans="1:18">
      <c r="A18" t="s">
        <v>836</v>
      </c>
      <c r="B18" t="s">
        <v>840</v>
      </c>
      <c r="C18" t="s">
        <v>2269</v>
      </c>
      <c r="D18" t="s">
        <v>3552</v>
      </c>
      <c r="E18">
        <v>24</v>
      </c>
      <c r="F18" s="4" t="s">
        <v>3555</v>
      </c>
      <c r="G18" s="4">
        <v>1</v>
      </c>
      <c r="H18">
        <v>0</v>
      </c>
      <c r="I18" t="s">
        <v>73</v>
      </c>
      <c r="J18" s="6">
        <v>247.52080000000001</v>
      </c>
      <c r="K18" s="4" t="str">
        <f t="shared" si="0"/>
        <v>High</v>
      </c>
      <c r="L18" t="s">
        <v>74</v>
      </c>
      <c r="M18" s="4" t="s">
        <v>70</v>
      </c>
      <c r="N18" t="s">
        <v>3566</v>
      </c>
      <c r="O18" t="s">
        <v>3569</v>
      </c>
      <c r="P18" s="4" t="s">
        <v>3573</v>
      </c>
      <c r="Q18" t="s">
        <v>3573</v>
      </c>
      <c r="R18" t="s">
        <v>75</v>
      </c>
    </row>
    <row r="19" spans="1:18">
      <c r="A19" t="s">
        <v>836</v>
      </c>
      <c r="B19" t="s">
        <v>9</v>
      </c>
      <c r="C19" t="s">
        <v>2270</v>
      </c>
      <c r="D19" t="s">
        <v>3551</v>
      </c>
      <c r="E19">
        <v>50</v>
      </c>
      <c r="F19" s="4" t="s">
        <v>3557</v>
      </c>
      <c r="G19" s="4">
        <v>1</v>
      </c>
      <c r="H19">
        <v>0</v>
      </c>
      <c r="I19" t="s">
        <v>73</v>
      </c>
      <c r="J19" s="6">
        <v>247.52080000000001</v>
      </c>
      <c r="K19" s="4" t="str">
        <f t="shared" si="0"/>
        <v>High</v>
      </c>
      <c r="L19" t="s">
        <v>74</v>
      </c>
      <c r="M19" s="4" t="s">
        <v>70</v>
      </c>
      <c r="N19" t="s">
        <v>3566</v>
      </c>
      <c r="O19">
        <v>6</v>
      </c>
      <c r="P19" s="4" t="s">
        <v>3573</v>
      </c>
      <c r="Q19" t="s">
        <v>3573</v>
      </c>
      <c r="R19" t="s">
        <v>75</v>
      </c>
    </row>
    <row r="20" spans="1:18">
      <c r="A20" t="s">
        <v>836</v>
      </c>
      <c r="B20" t="s">
        <v>9</v>
      </c>
      <c r="C20" t="s">
        <v>2271</v>
      </c>
      <c r="D20" t="s">
        <v>3551</v>
      </c>
      <c r="E20">
        <v>32</v>
      </c>
      <c r="F20" s="4" t="s">
        <v>3557</v>
      </c>
      <c r="G20" s="4">
        <v>0</v>
      </c>
      <c r="H20">
        <v>0</v>
      </c>
      <c r="I20">
        <v>11813</v>
      </c>
      <c r="J20" s="6">
        <v>76.291700000000006</v>
      </c>
      <c r="K20" s="4" t="str">
        <f t="shared" si="0"/>
        <v>High</v>
      </c>
      <c r="L20" t="s">
        <v>76</v>
      </c>
      <c r="M20" s="4" t="s">
        <v>59</v>
      </c>
      <c r="N20" t="s">
        <v>3566</v>
      </c>
      <c r="O20">
        <v>8</v>
      </c>
      <c r="P20" s="4" t="s">
        <v>3573</v>
      </c>
      <c r="Q20" t="s">
        <v>3573</v>
      </c>
    </row>
    <row r="21" spans="1:18">
      <c r="A21" t="s">
        <v>836</v>
      </c>
      <c r="B21" t="s">
        <v>840</v>
      </c>
      <c r="C21" t="s">
        <v>2272</v>
      </c>
      <c r="D21" t="s">
        <v>3552</v>
      </c>
      <c r="E21">
        <v>36</v>
      </c>
      <c r="F21" s="4" t="s">
        <v>3557</v>
      </c>
      <c r="G21" s="4">
        <v>0</v>
      </c>
      <c r="H21">
        <v>0</v>
      </c>
      <c r="I21">
        <v>13050</v>
      </c>
      <c r="J21" s="6">
        <v>75.241699999999994</v>
      </c>
      <c r="K21" s="4" t="str">
        <f t="shared" si="0"/>
        <v>High</v>
      </c>
      <c r="L21" t="s">
        <v>77</v>
      </c>
      <c r="M21" s="4" t="s">
        <v>62</v>
      </c>
      <c r="N21" t="s">
        <v>3566</v>
      </c>
      <c r="O21" t="s">
        <v>78</v>
      </c>
      <c r="P21" s="4" t="s">
        <v>3573</v>
      </c>
      <c r="Q21" t="s">
        <v>3573</v>
      </c>
      <c r="R21" t="s">
        <v>79</v>
      </c>
    </row>
    <row r="22" spans="1:18">
      <c r="A22" t="s">
        <v>836</v>
      </c>
      <c r="B22" t="s">
        <v>9</v>
      </c>
      <c r="C22" t="s">
        <v>2273</v>
      </c>
      <c r="D22" t="s">
        <v>3552</v>
      </c>
      <c r="E22">
        <v>37</v>
      </c>
      <c r="F22" s="4" t="s">
        <v>3557</v>
      </c>
      <c r="G22" s="4">
        <v>1</v>
      </c>
      <c r="H22">
        <v>1</v>
      </c>
      <c r="I22">
        <v>11751</v>
      </c>
      <c r="J22" s="6">
        <v>52.554200000000002</v>
      </c>
      <c r="K22" s="4" t="str">
        <f t="shared" si="0"/>
        <v>High</v>
      </c>
      <c r="L22" t="s">
        <v>80</v>
      </c>
      <c r="M22" s="4" t="s">
        <v>59</v>
      </c>
      <c r="N22" t="s">
        <v>457</v>
      </c>
      <c r="O22">
        <v>5</v>
      </c>
      <c r="P22" s="4" t="s">
        <v>3573</v>
      </c>
      <c r="Q22" t="s">
        <v>3573</v>
      </c>
      <c r="R22" t="s">
        <v>53</v>
      </c>
    </row>
    <row r="23" spans="1:18">
      <c r="A23" t="s">
        <v>836</v>
      </c>
      <c r="B23" t="s">
        <v>9</v>
      </c>
      <c r="C23" t="s">
        <v>2274</v>
      </c>
      <c r="D23" t="s">
        <v>3551</v>
      </c>
      <c r="E23">
        <v>47</v>
      </c>
      <c r="F23" s="4" t="s">
        <v>3557</v>
      </c>
      <c r="G23" s="4">
        <v>1</v>
      </c>
      <c r="H23">
        <v>1</v>
      </c>
      <c r="I23">
        <v>11751</v>
      </c>
      <c r="J23" s="6">
        <v>52.554200000000002</v>
      </c>
      <c r="K23" s="4" t="str">
        <f t="shared" si="0"/>
        <v>High</v>
      </c>
      <c r="L23" t="s">
        <v>80</v>
      </c>
      <c r="M23" s="4" t="s">
        <v>59</v>
      </c>
      <c r="N23" t="s">
        <v>457</v>
      </c>
      <c r="O23">
        <v>5</v>
      </c>
      <c r="P23" s="4" t="s">
        <v>3573</v>
      </c>
      <c r="Q23" t="s">
        <v>3573</v>
      </c>
      <c r="R23" t="s">
        <v>53</v>
      </c>
    </row>
    <row r="24" spans="1:18">
      <c r="A24" t="s">
        <v>836</v>
      </c>
      <c r="B24" t="s">
        <v>9</v>
      </c>
      <c r="C24" t="s">
        <v>2275</v>
      </c>
      <c r="D24" t="s">
        <v>3552</v>
      </c>
      <c r="E24">
        <v>26</v>
      </c>
      <c r="F24" s="4" t="s">
        <v>3555</v>
      </c>
      <c r="G24" s="4">
        <v>0</v>
      </c>
      <c r="H24">
        <v>0</v>
      </c>
      <c r="I24">
        <v>111369</v>
      </c>
      <c r="J24" s="6">
        <v>30</v>
      </c>
      <c r="K24" s="4" t="str">
        <f t="shared" si="0"/>
        <v>Mid</v>
      </c>
      <c r="L24" t="s">
        <v>81</v>
      </c>
      <c r="M24" s="4" t="s">
        <v>62</v>
      </c>
      <c r="N24" t="s">
        <v>3566</v>
      </c>
      <c r="O24">
        <v>5</v>
      </c>
      <c r="P24" s="4" t="s">
        <v>3573</v>
      </c>
      <c r="Q24" t="s">
        <v>3573</v>
      </c>
      <c r="R24" t="s">
        <v>53</v>
      </c>
    </row>
    <row r="25" spans="1:18">
      <c r="A25" t="s">
        <v>836</v>
      </c>
      <c r="B25" t="s">
        <v>9</v>
      </c>
      <c r="C25" t="s">
        <v>2276</v>
      </c>
      <c r="D25" t="s">
        <v>3551</v>
      </c>
      <c r="E25">
        <v>42</v>
      </c>
      <c r="F25" s="4" t="s">
        <v>3557</v>
      </c>
      <c r="G25" s="4">
        <v>0</v>
      </c>
      <c r="H25">
        <v>0</v>
      </c>
      <c r="I25" t="s">
        <v>64</v>
      </c>
      <c r="J25" s="6">
        <v>227.52500000000001</v>
      </c>
      <c r="K25" s="4" t="str">
        <f t="shared" si="0"/>
        <v>High</v>
      </c>
      <c r="L25" t="s">
        <v>3561</v>
      </c>
      <c r="M25" s="4" t="s">
        <v>3561</v>
      </c>
      <c r="N25" t="s">
        <v>3566</v>
      </c>
      <c r="O25">
        <v>4</v>
      </c>
      <c r="P25" s="4" t="s">
        <v>3573</v>
      </c>
      <c r="Q25" t="s">
        <v>3573</v>
      </c>
    </row>
    <row r="26" spans="1:18">
      <c r="A26" t="s">
        <v>836</v>
      </c>
      <c r="B26" t="s">
        <v>9</v>
      </c>
      <c r="C26" t="s">
        <v>2277</v>
      </c>
      <c r="D26" t="s">
        <v>3551</v>
      </c>
      <c r="E26">
        <v>29</v>
      </c>
      <c r="F26" s="4" t="s">
        <v>3555</v>
      </c>
      <c r="G26" s="4">
        <v>0</v>
      </c>
      <c r="H26">
        <v>0</v>
      </c>
      <c r="I26" t="s">
        <v>82</v>
      </c>
      <c r="J26" s="6">
        <v>221.7792</v>
      </c>
      <c r="K26" s="4" t="str">
        <f t="shared" si="0"/>
        <v>High</v>
      </c>
      <c r="L26" t="s">
        <v>83</v>
      </c>
      <c r="M26" s="4" t="s">
        <v>62</v>
      </c>
      <c r="N26" t="s">
        <v>457</v>
      </c>
      <c r="O26">
        <v>8</v>
      </c>
      <c r="P26" s="4" t="s">
        <v>3573</v>
      </c>
      <c r="Q26" t="s">
        <v>3573</v>
      </c>
    </row>
    <row r="27" spans="1:18">
      <c r="A27" t="s">
        <v>836</v>
      </c>
      <c r="B27" t="s">
        <v>840</v>
      </c>
      <c r="C27" t="s">
        <v>2278</v>
      </c>
      <c r="D27" t="s">
        <v>3552</v>
      </c>
      <c r="E27">
        <v>25</v>
      </c>
      <c r="F27" s="4" t="s">
        <v>3555</v>
      </c>
      <c r="G27" s="4">
        <v>0</v>
      </c>
      <c r="H27">
        <v>0</v>
      </c>
      <c r="I27">
        <v>13905</v>
      </c>
      <c r="J27" s="6">
        <v>26</v>
      </c>
      <c r="K27" s="4" t="str">
        <f t="shared" si="0"/>
        <v>Mid</v>
      </c>
      <c r="L27" t="s">
        <v>3561</v>
      </c>
      <c r="M27" s="4" t="s">
        <v>3561</v>
      </c>
      <c r="N27" t="s">
        <v>3566</v>
      </c>
      <c r="O27" t="s">
        <v>3569</v>
      </c>
      <c r="P27" s="4">
        <v>148</v>
      </c>
      <c r="Q27" t="s">
        <v>3574</v>
      </c>
      <c r="R27" t="s">
        <v>84</v>
      </c>
    </row>
    <row r="28" spans="1:18">
      <c r="A28" t="s">
        <v>836</v>
      </c>
      <c r="B28" t="s">
        <v>9</v>
      </c>
      <c r="C28" t="s">
        <v>2279</v>
      </c>
      <c r="D28" t="s">
        <v>3552</v>
      </c>
      <c r="E28">
        <v>25</v>
      </c>
      <c r="F28" s="4" t="s">
        <v>3555</v>
      </c>
      <c r="G28" s="4">
        <v>0</v>
      </c>
      <c r="H28">
        <v>1</v>
      </c>
      <c r="I28">
        <v>11967</v>
      </c>
      <c r="J28" s="6">
        <v>91.0792</v>
      </c>
      <c r="K28" s="4" t="str">
        <f t="shared" si="0"/>
        <v>High</v>
      </c>
      <c r="L28" t="s">
        <v>85</v>
      </c>
      <c r="M28" s="4" t="s">
        <v>70</v>
      </c>
      <c r="N28" t="s">
        <v>3566</v>
      </c>
      <c r="O28">
        <v>7</v>
      </c>
      <c r="P28" s="4" t="s">
        <v>3573</v>
      </c>
      <c r="Q28" t="s">
        <v>3573</v>
      </c>
      <c r="R28" t="s">
        <v>86</v>
      </c>
    </row>
    <row r="29" spans="1:18">
      <c r="A29" t="s">
        <v>836</v>
      </c>
      <c r="B29" t="s">
        <v>9</v>
      </c>
      <c r="C29" t="s">
        <v>2280</v>
      </c>
      <c r="D29" t="s">
        <v>3551</v>
      </c>
      <c r="E29">
        <v>19</v>
      </c>
      <c r="F29" s="4" t="s">
        <v>3555</v>
      </c>
      <c r="G29" s="4">
        <v>0</v>
      </c>
      <c r="H29">
        <v>1</v>
      </c>
      <c r="I29">
        <v>11967</v>
      </c>
      <c r="J29" s="6">
        <v>91.0792</v>
      </c>
      <c r="K29" s="4" t="str">
        <f t="shared" si="0"/>
        <v>High</v>
      </c>
      <c r="L29" t="s">
        <v>85</v>
      </c>
      <c r="M29" s="4" t="s">
        <v>70</v>
      </c>
      <c r="N29" t="s">
        <v>3566</v>
      </c>
      <c r="O29">
        <v>7</v>
      </c>
      <c r="P29" s="4" t="s">
        <v>3573</v>
      </c>
      <c r="Q29" t="s">
        <v>3573</v>
      </c>
      <c r="R29" t="s">
        <v>86</v>
      </c>
    </row>
    <row r="30" spans="1:18">
      <c r="A30" t="s">
        <v>836</v>
      </c>
      <c r="B30" t="s">
        <v>9</v>
      </c>
      <c r="C30" t="s">
        <v>2281</v>
      </c>
      <c r="D30" t="s">
        <v>3551</v>
      </c>
      <c r="E30">
        <v>35</v>
      </c>
      <c r="F30" s="4" t="s">
        <v>3557</v>
      </c>
      <c r="G30" s="4">
        <v>0</v>
      </c>
      <c r="H30">
        <v>0</v>
      </c>
      <c r="I30" t="s">
        <v>87</v>
      </c>
      <c r="J30" s="6">
        <v>135.63329999999999</v>
      </c>
      <c r="K30" s="4" t="str">
        <f t="shared" si="0"/>
        <v>High</v>
      </c>
      <c r="L30" t="s">
        <v>88</v>
      </c>
      <c r="M30" s="4" t="s">
        <v>62</v>
      </c>
      <c r="N30" t="s">
        <v>457</v>
      </c>
      <c r="O30">
        <v>8</v>
      </c>
      <c r="P30" s="4" t="s">
        <v>3573</v>
      </c>
      <c r="Q30" t="s">
        <v>3573</v>
      </c>
    </row>
    <row r="31" spans="1:18">
      <c r="A31" t="s">
        <v>836</v>
      </c>
      <c r="B31" t="s">
        <v>9</v>
      </c>
      <c r="C31" t="s">
        <v>2282</v>
      </c>
      <c r="D31" t="s">
        <v>3552</v>
      </c>
      <c r="E31">
        <v>28</v>
      </c>
      <c r="F31" s="4" t="s">
        <v>3555</v>
      </c>
      <c r="G31" s="4">
        <v>0</v>
      </c>
      <c r="H31">
        <v>0</v>
      </c>
      <c r="I31">
        <v>110564</v>
      </c>
      <c r="J31" s="6">
        <v>26.55</v>
      </c>
      <c r="K31" s="4" t="str">
        <f t="shared" si="0"/>
        <v>Mid</v>
      </c>
      <c r="L31" t="s">
        <v>89</v>
      </c>
      <c r="M31" s="4" t="s">
        <v>62</v>
      </c>
      <c r="N31" t="s">
        <v>457</v>
      </c>
      <c r="O31" t="s">
        <v>59</v>
      </c>
      <c r="P31" s="4" t="s">
        <v>3573</v>
      </c>
      <c r="Q31" t="s">
        <v>3573</v>
      </c>
      <c r="R31" t="s">
        <v>90</v>
      </c>
    </row>
    <row r="32" spans="1:18">
      <c r="A32" t="s">
        <v>836</v>
      </c>
      <c r="B32" t="s">
        <v>840</v>
      </c>
      <c r="C32" t="s">
        <v>2283</v>
      </c>
      <c r="D32" t="s">
        <v>3552</v>
      </c>
      <c r="E32">
        <v>45</v>
      </c>
      <c r="F32" s="4" t="s">
        <v>3557</v>
      </c>
      <c r="G32" s="4">
        <v>0</v>
      </c>
      <c r="H32">
        <v>0</v>
      </c>
      <c r="I32">
        <v>113784</v>
      </c>
      <c r="J32" s="6">
        <v>35.5</v>
      </c>
      <c r="K32" s="4" t="str">
        <f t="shared" si="0"/>
        <v>Mid</v>
      </c>
      <c r="L32" t="s">
        <v>91</v>
      </c>
      <c r="M32" s="4" t="s">
        <v>91</v>
      </c>
      <c r="N32" t="s">
        <v>457</v>
      </c>
      <c r="O32" t="s">
        <v>3569</v>
      </c>
      <c r="P32" s="4" t="s">
        <v>3573</v>
      </c>
      <c r="Q32" t="s">
        <v>3573</v>
      </c>
      <c r="R32" t="s">
        <v>92</v>
      </c>
    </row>
    <row r="33" spans="1:18">
      <c r="A33" t="s">
        <v>836</v>
      </c>
      <c r="B33" t="s">
        <v>9</v>
      </c>
      <c r="C33" t="s">
        <v>2284</v>
      </c>
      <c r="D33" t="s">
        <v>3552</v>
      </c>
      <c r="E33">
        <v>40</v>
      </c>
      <c r="F33" s="4" t="s">
        <v>3557</v>
      </c>
      <c r="G33" s="4">
        <v>0</v>
      </c>
      <c r="H33">
        <v>0</v>
      </c>
      <c r="I33">
        <v>112277</v>
      </c>
      <c r="J33" s="6">
        <v>31</v>
      </c>
      <c r="K33" s="4" t="str">
        <f t="shared" si="0"/>
        <v>Mid</v>
      </c>
      <c r="L33" t="s">
        <v>93</v>
      </c>
      <c r="M33" s="4" t="s">
        <v>78</v>
      </c>
      <c r="N33" t="s">
        <v>3566</v>
      </c>
      <c r="O33">
        <v>7</v>
      </c>
      <c r="P33" s="4" t="s">
        <v>3573</v>
      </c>
      <c r="Q33" t="s">
        <v>3573</v>
      </c>
      <c r="R33" t="s">
        <v>94</v>
      </c>
    </row>
    <row r="34" spans="1:18">
      <c r="A34" t="s">
        <v>836</v>
      </c>
      <c r="B34" t="s">
        <v>9</v>
      </c>
      <c r="C34" t="s">
        <v>2285</v>
      </c>
      <c r="D34" t="s">
        <v>3551</v>
      </c>
      <c r="E34">
        <v>30</v>
      </c>
      <c r="F34" s="4" t="s">
        <v>3557</v>
      </c>
      <c r="G34" s="4">
        <v>0</v>
      </c>
      <c r="H34">
        <v>0</v>
      </c>
      <c r="I34">
        <v>36928</v>
      </c>
      <c r="J34" s="6">
        <v>164.86670000000001</v>
      </c>
      <c r="K34" s="4" t="str">
        <f t="shared" si="0"/>
        <v>High</v>
      </c>
      <c r="L34" t="s">
        <v>95</v>
      </c>
      <c r="M34" s="4" t="s">
        <v>62</v>
      </c>
      <c r="N34" t="s">
        <v>457</v>
      </c>
      <c r="O34">
        <v>8</v>
      </c>
      <c r="P34" s="4" t="s">
        <v>3573</v>
      </c>
      <c r="Q34" t="s">
        <v>3573</v>
      </c>
      <c r="R34" t="s">
        <v>96</v>
      </c>
    </row>
    <row r="35" spans="1:18">
      <c r="A35" t="s">
        <v>836</v>
      </c>
      <c r="B35" t="s">
        <v>9</v>
      </c>
      <c r="C35" t="s">
        <v>2286</v>
      </c>
      <c r="D35" t="s">
        <v>3551</v>
      </c>
      <c r="E35">
        <v>58</v>
      </c>
      <c r="F35" s="4" t="s">
        <v>3557</v>
      </c>
      <c r="G35" s="4">
        <v>0</v>
      </c>
      <c r="H35">
        <v>0</v>
      </c>
      <c r="I35">
        <v>113783</v>
      </c>
      <c r="J35" s="6">
        <v>26.55</v>
      </c>
      <c r="K35" s="4" t="str">
        <f t="shared" si="0"/>
        <v>Mid</v>
      </c>
      <c r="L35" t="s">
        <v>97</v>
      </c>
      <c r="M35" s="4" t="s">
        <v>62</v>
      </c>
      <c r="N35" t="s">
        <v>457</v>
      </c>
      <c r="O35">
        <v>8</v>
      </c>
      <c r="P35" s="4" t="s">
        <v>3573</v>
      </c>
      <c r="Q35" t="s">
        <v>3573</v>
      </c>
      <c r="R35" t="s">
        <v>98</v>
      </c>
    </row>
    <row r="36" spans="1:18">
      <c r="A36" t="s">
        <v>836</v>
      </c>
      <c r="B36" t="s">
        <v>840</v>
      </c>
      <c r="C36" t="s">
        <v>2287</v>
      </c>
      <c r="D36" t="s">
        <v>3552</v>
      </c>
      <c r="E36">
        <v>42</v>
      </c>
      <c r="F36" s="4" t="s">
        <v>3557</v>
      </c>
      <c r="G36" s="4">
        <v>0</v>
      </c>
      <c r="H36">
        <v>0</v>
      </c>
      <c r="I36">
        <v>110489</v>
      </c>
      <c r="J36" s="6">
        <v>26.55</v>
      </c>
      <c r="K36" s="4" t="str">
        <f t="shared" si="0"/>
        <v>Mid</v>
      </c>
      <c r="L36" t="s">
        <v>99</v>
      </c>
      <c r="M36" s="4" t="s">
        <v>59</v>
      </c>
      <c r="N36" t="s">
        <v>457</v>
      </c>
      <c r="O36" t="s">
        <v>3569</v>
      </c>
      <c r="P36" s="4" t="s">
        <v>3573</v>
      </c>
      <c r="Q36" t="s">
        <v>3573</v>
      </c>
      <c r="R36" t="s">
        <v>100</v>
      </c>
    </row>
    <row r="37" spans="1:18">
      <c r="A37" t="s">
        <v>836</v>
      </c>
      <c r="B37" t="s">
        <v>9</v>
      </c>
      <c r="C37" t="s">
        <v>2288</v>
      </c>
      <c r="D37" t="s">
        <v>3551</v>
      </c>
      <c r="E37">
        <v>45</v>
      </c>
      <c r="F37" s="4" t="s">
        <v>3557</v>
      </c>
      <c r="G37" s="4">
        <v>0</v>
      </c>
      <c r="H37">
        <v>0</v>
      </c>
      <c r="I37" t="s">
        <v>101</v>
      </c>
      <c r="J37" s="6">
        <v>262.375</v>
      </c>
      <c r="K37" s="4" t="str">
        <f t="shared" si="0"/>
        <v>High</v>
      </c>
      <c r="L37" t="s">
        <v>3561</v>
      </c>
      <c r="M37" s="4" t="s">
        <v>3561</v>
      </c>
      <c r="N37" t="s">
        <v>3566</v>
      </c>
      <c r="O37">
        <v>4</v>
      </c>
      <c r="P37" s="4" t="s">
        <v>3573</v>
      </c>
      <c r="Q37" t="s">
        <v>3573</v>
      </c>
      <c r="R37" t="s">
        <v>102</v>
      </c>
    </row>
    <row r="38" spans="1:18">
      <c r="A38" t="s">
        <v>836</v>
      </c>
      <c r="B38" t="s">
        <v>9</v>
      </c>
      <c r="C38" t="s">
        <v>2289</v>
      </c>
      <c r="D38" t="s">
        <v>3551</v>
      </c>
      <c r="E38">
        <v>22</v>
      </c>
      <c r="F38" s="4" t="s">
        <v>3555</v>
      </c>
      <c r="G38" s="4">
        <v>1</v>
      </c>
      <c r="H38">
        <v>0</v>
      </c>
      <c r="I38">
        <v>113505</v>
      </c>
      <c r="J38" s="6">
        <v>55</v>
      </c>
      <c r="K38" s="4" t="str">
        <f t="shared" si="0"/>
        <v>High</v>
      </c>
      <c r="L38" t="s">
        <v>103</v>
      </c>
      <c r="M38" s="4" t="s">
        <v>3564</v>
      </c>
      <c r="N38" t="s">
        <v>457</v>
      </c>
      <c r="O38">
        <v>6</v>
      </c>
      <c r="P38" s="4" t="s">
        <v>3573</v>
      </c>
      <c r="Q38" t="s">
        <v>3573</v>
      </c>
      <c r="R38" t="s">
        <v>104</v>
      </c>
    </row>
    <row r="39" spans="1:18">
      <c r="A39" t="s">
        <v>836</v>
      </c>
      <c r="B39" t="s">
        <v>9</v>
      </c>
      <c r="C39" t="s">
        <v>2290</v>
      </c>
      <c r="D39" t="s">
        <v>3552</v>
      </c>
      <c r="E39">
        <v>28</v>
      </c>
      <c r="F39" s="4" t="s">
        <v>3555</v>
      </c>
      <c r="G39" s="4">
        <v>0</v>
      </c>
      <c r="H39">
        <v>0</v>
      </c>
      <c r="I39">
        <v>111427</v>
      </c>
      <c r="J39" s="6">
        <v>26.55</v>
      </c>
      <c r="K39" s="4" t="str">
        <f t="shared" si="0"/>
        <v>Mid</v>
      </c>
      <c r="L39" t="s">
        <v>3561</v>
      </c>
      <c r="M39" s="4" t="s">
        <v>3561</v>
      </c>
      <c r="N39" t="s">
        <v>457</v>
      </c>
      <c r="O39">
        <v>9</v>
      </c>
      <c r="P39" s="4" t="s">
        <v>3573</v>
      </c>
      <c r="Q39" t="s">
        <v>3573</v>
      </c>
      <c r="R39" t="s">
        <v>105</v>
      </c>
    </row>
    <row r="40" spans="1:18">
      <c r="A40" t="s">
        <v>836</v>
      </c>
      <c r="B40" t="s">
        <v>840</v>
      </c>
      <c r="C40" t="s">
        <v>2291</v>
      </c>
      <c r="D40" t="s">
        <v>3552</v>
      </c>
      <c r="E40">
        <v>41</v>
      </c>
      <c r="F40" s="4" t="s">
        <v>3557</v>
      </c>
      <c r="G40" s="4">
        <v>0</v>
      </c>
      <c r="H40">
        <v>0</v>
      </c>
      <c r="I40">
        <v>113054</v>
      </c>
      <c r="J40" s="6">
        <v>30.5</v>
      </c>
      <c r="K40" s="4" t="str">
        <f t="shared" si="0"/>
        <v>Mid</v>
      </c>
      <c r="L40" t="s">
        <v>106</v>
      </c>
      <c r="M40" s="4" t="s">
        <v>78</v>
      </c>
      <c r="N40" t="s">
        <v>457</v>
      </c>
      <c r="O40" t="s">
        <v>3569</v>
      </c>
      <c r="P40" s="4" t="s">
        <v>3573</v>
      </c>
      <c r="Q40" t="s">
        <v>3573</v>
      </c>
      <c r="R40" t="s">
        <v>107</v>
      </c>
    </row>
    <row r="41" spans="1:18">
      <c r="A41" t="s">
        <v>836</v>
      </c>
      <c r="B41" t="s">
        <v>840</v>
      </c>
      <c r="C41" t="s">
        <v>2292</v>
      </c>
      <c r="D41" t="s">
        <v>3552</v>
      </c>
      <c r="E41">
        <v>48</v>
      </c>
      <c r="F41" s="4" t="s">
        <v>3557</v>
      </c>
      <c r="G41" s="4">
        <v>0</v>
      </c>
      <c r="H41">
        <v>0</v>
      </c>
      <c r="I41" t="s">
        <v>108</v>
      </c>
      <c r="J41" s="6">
        <v>50.495800000000003</v>
      </c>
      <c r="K41" s="4" t="str">
        <f t="shared" si="0"/>
        <v>High</v>
      </c>
      <c r="L41" t="s">
        <v>109</v>
      </c>
      <c r="M41" s="4" t="s">
        <v>70</v>
      </c>
      <c r="N41" t="s">
        <v>3566</v>
      </c>
      <c r="O41" t="s">
        <v>3569</v>
      </c>
      <c r="P41" s="4">
        <v>208</v>
      </c>
      <c r="Q41" t="s">
        <v>3574</v>
      </c>
      <c r="R41" t="s">
        <v>110</v>
      </c>
    </row>
    <row r="42" spans="1:18">
      <c r="A42" t="s">
        <v>836</v>
      </c>
      <c r="B42" t="s">
        <v>840</v>
      </c>
      <c r="C42" t="s">
        <v>2293</v>
      </c>
      <c r="D42" t="s">
        <v>3552</v>
      </c>
      <c r="E42">
        <v>28</v>
      </c>
      <c r="F42" s="4" t="s">
        <v>3555</v>
      </c>
      <c r="G42" s="4">
        <v>0</v>
      </c>
      <c r="H42">
        <v>0</v>
      </c>
      <c r="I42">
        <v>112379</v>
      </c>
      <c r="J42" s="6">
        <v>39.6</v>
      </c>
      <c r="K42" s="4" t="str">
        <f t="shared" si="0"/>
        <v>Mid</v>
      </c>
      <c r="L42" t="s">
        <v>3561</v>
      </c>
      <c r="M42" s="4" t="s">
        <v>3561</v>
      </c>
      <c r="N42" t="s">
        <v>3566</v>
      </c>
      <c r="O42" t="s">
        <v>3569</v>
      </c>
      <c r="P42" s="4" t="s">
        <v>3573</v>
      </c>
      <c r="Q42" t="s">
        <v>3573</v>
      </c>
      <c r="R42" t="s">
        <v>111</v>
      </c>
    </row>
    <row r="43" spans="1:18">
      <c r="A43" t="s">
        <v>836</v>
      </c>
      <c r="B43" t="s">
        <v>9</v>
      </c>
      <c r="C43" t="s">
        <v>2294</v>
      </c>
      <c r="D43" t="s">
        <v>3551</v>
      </c>
      <c r="E43">
        <v>44</v>
      </c>
      <c r="F43" s="4" t="s">
        <v>3557</v>
      </c>
      <c r="G43" s="4">
        <v>0</v>
      </c>
      <c r="H43">
        <v>0</v>
      </c>
      <c r="I43" t="s">
        <v>112</v>
      </c>
      <c r="J43" s="6">
        <v>27.720800000000001</v>
      </c>
      <c r="K43" s="4" t="str">
        <f t="shared" si="0"/>
        <v>Mid</v>
      </c>
      <c r="L43" t="s">
        <v>113</v>
      </c>
      <c r="M43" s="4" t="s">
        <v>70</v>
      </c>
      <c r="N43" t="s">
        <v>3566</v>
      </c>
      <c r="O43">
        <v>6</v>
      </c>
      <c r="P43" s="4" t="s">
        <v>3573</v>
      </c>
      <c r="Q43" t="s">
        <v>3573</v>
      </c>
      <c r="R43" t="s">
        <v>114</v>
      </c>
    </row>
    <row r="44" spans="1:18">
      <c r="A44" t="s">
        <v>836</v>
      </c>
      <c r="B44" t="s">
        <v>9</v>
      </c>
      <c r="C44" t="s">
        <v>2295</v>
      </c>
      <c r="D44" t="s">
        <v>3551</v>
      </c>
      <c r="E44">
        <v>59</v>
      </c>
      <c r="F44" s="4" t="s">
        <v>3557</v>
      </c>
      <c r="G44" s="4">
        <v>0</v>
      </c>
      <c r="H44">
        <v>2</v>
      </c>
      <c r="I44">
        <v>11769</v>
      </c>
      <c r="J44" s="6">
        <v>51.479199999999999</v>
      </c>
      <c r="K44" s="4" t="str">
        <f t="shared" si="0"/>
        <v>High</v>
      </c>
      <c r="L44" t="s">
        <v>58</v>
      </c>
      <c r="M44" s="4" t="s">
        <v>62</v>
      </c>
      <c r="N44" t="s">
        <v>457</v>
      </c>
      <c r="O44" t="s">
        <v>59</v>
      </c>
      <c r="P44" s="4" t="s">
        <v>3573</v>
      </c>
      <c r="Q44" t="s">
        <v>3573</v>
      </c>
      <c r="R44" t="s">
        <v>115</v>
      </c>
    </row>
    <row r="45" spans="1:18">
      <c r="A45" t="s">
        <v>836</v>
      </c>
      <c r="B45" t="s">
        <v>9</v>
      </c>
      <c r="C45" t="s">
        <v>2296</v>
      </c>
      <c r="D45" t="s">
        <v>3551</v>
      </c>
      <c r="E45">
        <v>60</v>
      </c>
      <c r="F45" s="4" t="s">
        <v>3559</v>
      </c>
      <c r="G45" s="4">
        <v>0</v>
      </c>
      <c r="H45">
        <v>0</v>
      </c>
      <c r="I45">
        <v>11813</v>
      </c>
      <c r="J45" s="6">
        <v>76.291700000000006</v>
      </c>
      <c r="K45" s="4" t="str">
        <f t="shared" si="0"/>
        <v>High</v>
      </c>
      <c r="L45" t="s">
        <v>76</v>
      </c>
      <c r="M45" s="4" t="s">
        <v>59</v>
      </c>
      <c r="N45" t="s">
        <v>3566</v>
      </c>
      <c r="O45">
        <v>8</v>
      </c>
      <c r="P45" s="4" t="s">
        <v>3573</v>
      </c>
      <c r="Q45" t="s">
        <v>3573</v>
      </c>
      <c r="R45" t="s">
        <v>111</v>
      </c>
    </row>
    <row r="46" spans="1:18">
      <c r="A46" t="s">
        <v>836</v>
      </c>
      <c r="B46" t="s">
        <v>9</v>
      </c>
      <c r="C46" t="s">
        <v>2297</v>
      </c>
      <c r="D46" t="s">
        <v>3551</v>
      </c>
      <c r="E46">
        <v>41</v>
      </c>
      <c r="F46" s="4" t="s">
        <v>3557</v>
      </c>
      <c r="G46" s="4">
        <v>0</v>
      </c>
      <c r="H46">
        <v>0</v>
      </c>
      <c r="I46">
        <v>16966</v>
      </c>
      <c r="J46" s="6">
        <v>134.5</v>
      </c>
      <c r="K46" s="4" t="str">
        <f t="shared" si="0"/>
        <v>High</v>
      </c>
      <c r="L46" t="s">
        <v>116</v>
      </c>
      <c r="M46" s="4" t="s">
        <v>3564</v>
      </c>
      <c r="N46" t="s">
        <v>3566</v>
      </c>
      <c r="O46">
        <v>3</v>
      </c>
      <c r="P46" s="4" t="s">
        <v>3573</v>
      </c>
      <c r="Q46" t="s">
        <v>3573</v>
      </c>
    </row>
    <row r="47" spans="1:18">
      <c r="A47" t="s">
        <v>836</v>
      </c>
      <c r="B47" t="s">
        <v>840</v>
      </c>
      <c r="C47" t="s">
        <v>2298</v>
      </c>
      <c r="D47" t="s">
        <v>3552</v>
      </c>
      <c r="E47">
        <v>45</v>
      </c>
      <c r="F47" s="4" t="s">
        <v>3557</v>
      </c>
      <c r="G47" s="4">
        <v>0</v>
      </c>
      <c r="H47">
        <v>0</v>
      </c>
      <c r="I47">
        <v>113050</v>
      </c>
      <c r="J47" s="6">
        <v>26.55</v>
      </c>
      <c r="K47" s="4" t="str">
        <f t="shared" si="0"/>
        <v>Mid</v>
      </c>
      <c r="L47" t="s">
        <v>117</v>
      </c>
      <c r="M47" s="4" t="s">
        <v>70</v>
      </c>
      <c r="N47" t="s">
        <v>457</v>
      </c>
      <c r="O47" t="s">
        <v>3569</v>
      </c>
      <c r="P47" s="4" t="s">
        <v>3573</v>
      </c>
      <c r="Q47" t="s">
        <v>3573</v>
      </c>
      <c r="R47" t="s">
        <v>118</v>
      </c>
    </row>
    <row r="48" spans="1:18">
      <c r="A48" t="s">
        <v>836</v>
      </c>
      <c r="B48" t="s">
        <v>840</v>
      </c>
      <c r="C48" t="s">
        <v>2299</v>
      </c>
      <c r="D48" t="s">
        <v>3552</v>
      </c>
      <c r="E48">
        <v>28</v>
      </c>
      <c r="F48" s="4" t="s">
        <v>3555</v>
      </c>
      <c r="G48" s="4">
        <v>0</v>
      </c>
      <c r="H48">
        <v>0</v>
      </c>
      <c r="I48">
        <v>113798</v>
      </c>
      <c r="J48" s="6">
        <v>31</v>
      </c>
      <c r="K48" s="4" t="str">
        <f t="shared" si="0"/>
        <v>Mid</v>
      </c>
      <c r="L48" t="s">
        <v>3561</v>
      </c>
      <c r="M48" s="4" t="s">
        <v>3561</v>
      </c>
      <c r="N48" t="s">
        <v>457</v>
      </c>
      <c r="O48" t="s">
        <v>3569</v>
      </c>
      <c r="P48" s="4" t="s">
        <v>3573</v>
      </c>
      <c r="Q48" t="s">
        <v>3573</v>
      </c>
    </row>
    <row r="49" spans="1:18">
      <c r="A49" t="s">
        <v>836</v>
      </c>
      <c r="B49" t="s">
        <v>9</v>
      </c>
      <c r="C49" t="s">
        <v>2300</v>
      </c>
      <c r="D49" t="s">
        <v>3552</v>
      </c>
      <c r="E49">
        <v>42</v>
      </c>
      <c r="F49" s="4" t="s">
        <v>3557</v>
      </c>
      <c r="G49" s="4">
        <v>0</v>
      </c>
      <c r="H49">
        <v>0</v>
      </c>
      <c r="I49" t="s">
        <v>119</v>
      </c>
      <c r="J49" s="6">
        <v>26.287500000000001</v>
      </c>
      <c r="K49" s="4" t="str">
        <f t="shared" si="0"/>
        <v>Mid</v>
      </c>
      <c r="L49" t="s">
        <v>120</v>
      </c>
      <c r="M49" s="4" t="s">
        <v>3564</v>
      </c>
      <c r="N49" t="s">
        <v>457</v>
      </c>
      <c r="O49">
        <v>5</v>
      </c>
      <c r="P49" s="4" t="s">
        <v>3573</v>
      </c>
      <c r="Q49" t="s">
        <v>3573</v>
      </c>
      <c r="R49" t="s">
        <v>53</v>
      </c>
    </row>
    <row r="50" spans="1:18">
      <c r="A50" t="s">
        <v>836</v>
      </c>
      <c r="B50" t="s">
        <v>9</v>
      </c>
      <c r="C50" t="s">
        <v>2301</v>
      </c>
      <c r="D50" t="s">
        <v>3551</v>
      </c>
      <c r="E50">
        <v>53</v>
      </c>
      <c r="F50" s="4" t="s">
        <v>3557</v>
      </c>
      <c r="G50" s="4">
        <v>0</v>
      </c>
      <c r="H50">
        <v>0</v>
      </c>
      <c r="I50" t="s">
        <v>121</v>
      </c>
      <c r="J50" s="6">
        <v>27.445799999999998</v>
      </c>
      <c r="K50" s="4" t="str">
        <f t="shared" si="0"/>
        <v>Mid</v>
      </c>
      <c r="L50" t="s">
        <v>3561</v>
      </c>
      <c r="M50" s="4" t="s">
        <v>3561</v>
      </c>
      <c r="N50" t="s">
        <v>3566</v>
      </c>
      <c r="O50">
        <v>6</v>
      </c>
      <c r="P50" s="4" t="s">
        <v>3573</v>
      </c>
      <c r="Q50" t="s">
        <v>3573</v>
      </c>
      <c r="R50" t="s">
        <v>118</v>
      </c>
    </row>
    <row r="51" spans="1:18">
      <c r="A51" t="s">
        <v>836</v>
      </c>
      <c r="B51" t="s">
        <v>9</v>
      </c>
      <c r="C51" t="s">
        <v>2302</v>
      </c>
      <c r="D51" t="s">
        <v>3552</v>
      </c>
      <c r="E51">
        <v>36</v>
      </c>
      <c r="F51" s="4" t="s">
        <v>3557</v>
      </c>
      <c r="G51" s="4">
        <v>1</v>
      </c>
      <c r="H51">
        <v>0</v>
      </c>
      <c r="I51" t="s">
        <v>122</v>
      </c>
      <c r="J51" s="6">
        <v>512.32920000000001</v>
      </c>
      <c r="K51" s="4" t="str">
        <f t="shared" si="0"/>
        <v>High</v>
      </c>
      <c r="L51" t="s">
        <v>123</v>
      </c>
      <c r="M51" s="4" t="s">
        <v>70</v>
      </c>
      <c r="N51" t="s">
        <v>3566</v>
      </c>
      <c r="O51">
        <v>3</v>
      </c>
      <c r="P51" s="4" t="s">
        <v>3573</v>
      </c>
      <c r="Q51" t="s">
        <v>3573</v>
      </c>
      <c r="R51" t="s">
        <v>124</v>
      </c>
    </row>
    <row r="52" spans="1:18">
      <c r="A52" t="s">
        <v>836</v>
      </c>
      <c r="B52" t="s">
        <v>9</v>
      </c>
      <c r="C52" t="s">
        <v>2303</v>
      </c>
      <c r="D52" t="s">
        <v>3551</v>
      </c>
      <c r="E52">
        <v>58</v>
      </c>
      <c r="F52" s="4" t="s">
        <v>3557</v>
      </c>
      <c r="G52" s="4">
        <v>1</v>
      </c>
      <c r="H52">
        <v>0</v>
      </c>
      <c r="I52" t="s">
        <v>122</v>
      </c>
      <c r="J52" s="6">
        <v>512.32920000000001</v>
      </c>
      <c r="K52" s="4" t="str">
        <f t="shared" si="0"/>
        <v>High</v>
      </c>
      <c r="L52" t="s">
        <v>123</v>
      </c>
      <c r="M52" s="4" t="s">
        <v>70</v>
      </c>
      <c r="N52" t="s">
        <v>3566</v>
      </c>
      <c r="O52">
        <v>3</v>
      </c>
      <c r="P52" s="4" t="s">
        <v>3573</v>
      </c>
      <c r="Q52" t="s">
        <v>3573</v>
      </c>
      <c r="R52" t="s">
        <v>125</v>
      </c>
    </row>
    <row r="53" spans="1:18">
      <c r="A53" t="s">
        <v>836</v>
      </c>
      <c r="B53" t="s">
        <v>840</v>
      </c>
      <c r="C53" t="s">
        <v>2304</v>
      </c>
      <c r="D53" t="s">
        <v>3552</v>
      </c>
      <c r="E53">
        <v>33</v>
      </c>
      <c r="F53" s="4" t="s">
        <v>3557</v>
      </c>
      <c r="G53" s="4">
        <v>0</v>
      </c>
      <c r="H53">
        <v>0</v>
      </c>
      <c r="I53">
        <v>695</v>
      </c>
      <c r="J53" s="6">
        <v>5</v>
      </c>
      <c r="K53" s="4" t="str">
        <f t="shared" si="0"/>
        <v>Low</v>
      </c>
      <c r="L53" t="s">
        <v>123</v>
      </c>
      <c r="M53" s="4" t="s">
        <v>70</v>
      </c>
      <c r="N53" t="s">
        <v>457</v>
      </c>
      <c r="O53" t="s">
        <v>3569</v>
      </c>
      <c r="P53" s="4" t="s">
        <v>3573</v>
      </c>
      <c r="Q53" t="s">
        <v>3573</v>
      </c>
      <c r="R53" t="s">
        <v>53</v>
      </c>
    </row>
    <row r="54" spans="1:18">
      <c r="A54" t="s">
        <v>836</v>
      </c>
      <c r="B54" t="s">
        <v>840</v>
      </c>
      <c r="C54" t="s">
        <v>2305</v>
      </c>
      <c r="D54" t="s">
        <v>3552</v>
      </c>
      <c r="E54">
        <v>28</v>
      </c>
      <c r="F54" s="4" t="s">
        <v>3555</v>
      </c>
      <c r="G54" s="4">
        <v>0</v>
      </c>
      <c r="H54">
        <v>0</v>
      </c>
      <c r="I54">
        <v>113059</v>
      </c>
      <c r="J54" s="6">
        <v>47.1</v>
      </c>
      <c r="K54" s="4" t="str">
        <f t="shared" si="0"/>
        <v>Mid</v>
      </c>
      <c r="L54" t="s">
        <v>3561</v>
      </c>
      <c r="M54" s="4" t="s">
        <v>3561</v>
      </c>
      <c r="N54" t="s">
        <v>457</v>
      </c>
      <c r="O54" t="s">
        <v>3569</v>
      </c>
      <c r="P54" s="4" t="s">
        <v>3573</v>
      </c>
      <c r="Q54" t="s">
        <v>3573</v>
      </c>
      <c r="R54" t="s">
        <v>63</v>
      </c>
    </row>
    <row r="55" spans="1:18">
      <c r="A55" t="s">
        <v>836</v>
      </c>
      <c r="B55" t="s">
        <v>840</v>
      </c>
      <c r="C55" t="s">
        <v>2306</v>
      </c>
      <c r="D55" t="s">
        <v>3552</v>
      </c>
      <c r="E55">
        <v>17</v>
      </c>
      <c r="F55" s="4" t="s">
        <v>3560</v>
      </c>
      <c r="G55" s="4">
        <v>0</v>
      </c>
      <c r="H55">
        <v>0</v>
      </c>
      <c r="I55">
        <v>113059</v>
      </c>
      <c r="J55" s="6">
        <v>47.1</v>
      </c>
      <c r="K55" s="4" t="str">
        <f t="shared" si="0"/>
        <v>Mid</v>
      </c>
      <c r="L55" t="s">
        <v>3561</v>
      </c>
      <c r="M55" s="4" t="s">
        <v>3561</v>
      </c>
      <c r="N55" t="s">
        <v>457</v>
      </c>
      <c r="O55" t="s">
        <v>3569</v>
      </c>
      <c r="P55" s="4" t="s">
        <v>3573</v>
      </c>
      <c r="Q55" t="s">
        <v>3573</v>
      </c>
      <c r="R55" t="s">
        <v>63</v>
      </c>
    </row>
    <row r="56" spans="1:18">
      <c r="A56" t="s">
        <v>836</v>
      </c>
      <c r="B56" t="s">
        <v>9</v>
      </c>
      <c r="C56" t="s">
        <v>2307</v>
      </c>
      <c r="D56" t="s">
        <v>3552</v>
      </c>
      <c r="E56">
        <v>11</v>
      </c>
      <c r="F56" s="4" t="s">
        <v>3560</v>
      </c>
      <c r="G56" s="4">
        <v>2</v>
      </c>
      <c r="H56">
        <v>1</v>
      </c>
      <c r="I56">
        <v>113760</v>
      </c>
      <c r="J56" s="6">
        <v>120</v>
      </c>
      <c r="K56" s="4" t="str">
        <f t="shared" si="0"/>
        <v>High</v>
      </c>
      <c r="L56" t="s">
        <v>126</v>
      </c>
      <c r="M56" s="4" t="s">
        <v>70</v>
      </c>
      <c r="N56" t="s">
        <v>457</v>
      </c>
      <c r="O56">
        <v>4</v>
      </c>
      <c r="P56" s="4" t="s">
        <v>3573</v>
      </c>
      <c r="Q56" t="s">
        <v>3573</v>
      </c>
      <c r="R56" t="s">
        <v>127</v>
      </c>
    </row>
    <row r="57" spans="1:18">
      <c r="A57" t="s">
        <v>836</v>
      </c>
      <c r="B57" t="s">
        <v>9</v>
      </c>
      <c r="C57" t="s">
        <v>2308</v>
      </c>
      <c r="D57" t="s">
        <v>3551</v>
      </c>
      <c r="E57">
        <v>14</v>
      </c>
      <c r="F57" s="4" t="s">
        <v>3560</v>
      </c>
      <c r="G57" s="4">
        <v>2</v>
      </c>
      <c r="H57">
        <v>1</v>
      </c>
      <c r="I57">
        <v>113760</v>
      </c>
      <c r="J57" s="6">
        <v>120</v>
      </c>
      <c r="K57" s="4" t="str">
        <f t="shared" si="0"/>
        <v>High</v>
      </c>
      <c r="L57" t="s">
        <v>126</v>
      </c>
      <c r="M57" s="4" t="s">
        <v>70</v>
      </c>
      <c r="N57" t="s">
        <v>457</v>
      </c>
      <c r="O57">
        <v>4</v>
      </c>
      <c r="P57" s="4" t="s">
        <v>3573</v>
      </c>
      <c r="Q57" t="s">
        <v>3573</v>
      </c>
      <c r="R57" t="s">
        <v>127</v>
      </c>
    </row>
    <row r="58" spans="1:18">
      <c r="A58" t="s">
        <v>836</v>
      </c>
      <c r="B58" t="s">
        <v>9</v>
      </c>
      <c r="C58" t="s">
        <v>2309</v>
      </c>
      <c r="D58" t="s">
        <v>3552</v>
      </c>
      <c r="E58">
        <v>36</v>
      </c>
      <c r="F58" s="4" t="s">
        <v>3557</v>
      </c>
      <c r="G58" s="4">
        <v>2</v>
      </c>
      <c r="H58">
        <v>1</v>
      </c>
      <c r="I58">
        <v>113760</v>
      </c>
      <c r="J58" s="6">
        <v>120</v>
      </c>
      <c r="K58" s="4" t="str">
        <f t="shared" si="0"/>
        <v>High</v>
      </c>
      <c r="L58" t="s">
        <v>126</v>
      </c>
      <c r="M58" s="4" t="s">
        <v>70</v>
      </c>
      <c r="N58" t="s">
        <v>457</v>
      </c>
      <c r="O58" t="s">
        <v>62</v>
      </c>
      <c r="P58" s="4" t="s">
        <v>3573</v>
      </c>
      <c r="Q58" t="s">
        <v>3573</v>
      </c>
      <c r="R58" t="s">
        <v>127</v>
      </c>
    </row>
    <row r="59" spans="1:18">
      <c r="A59" t="s">
        <v>836</v>
      </c>
      <c r="B59" t="s">
        <v>9</v>
      </c>
      <c r="C59" t="s">
        <v>2310</v>
      </c>
      <c r="D59" t="s">
        <v>3551</v>
      </c>
      <c r="E59">
        <v>36</v>
      </c>
      <c r="F59" s="4" t="s">
        <v>3557</v>
      </c>
      <c r="G59" s="4">
        <v>2</v>
      </c>
      <c r="H59">
        <v>1</v>
      </c>
      <c r="I59">
        <v>113760</v>
      </c>
      <c r="J59" s="6">
        <v>120</v>
      </c>
      <c r="K59" s="4" t="str">
        <f t="shared" si="0"/>
        <v>High</v>
      </c>
      <c r="L59" t="s">
        <v>126</v>
      </c>
      <c r="M59" s="4" t="s">
        <v>70</v>
      </c>
      <c r="N59" t="s">
        <v>457</v>
      </c>
      <c r="O59">
        <v>4</v>
      </c>
      <c r="P59" s="4" t="s">
        <v>3573</v>
      </c>
      <c r="Q59" t="s">
        <v>3573</v>
      </c>
      <c r="R59" t="s">
        <v>127</v>
      </c>
    </row>
    <row r="60" spans="1:18">
      <c r="A60" t="s">
        <v>836</v>
      </c>
      <c r="B60" t="s">
        <v>840</v>
      </c>
      <c r="C60" t="s">
        <v>2311</v>
      </c>
      <c r="D60" t="s">
        <v>3552</v>
      </c>
      <c r="E60">
        <v>49</v>
      </c>
      <c r="F60" s="4" t="s">
        <v>3557</v>
      </c>
      <c r="G60" s="4">
        <v>0</v>
      </c>
      <c r="H60">
        <v>0</v>
      </c>
      <c r="I60">
        <v>19924</v>
      </c>
      <c r="J60" s="6">
        <v>26</v>
      </c>
      <c r="K60" s="4" t="str">
        <f t="shared" si="0"/>
        <v>Mid</v>
      </c>
      <c r="L60" t="s">
        <v>3561</v>
      </c>
      <c r="M60" s="4" t="s">
        <v>3561</v>
      </c>
      <c r="N60" t="s">
        <v>457</v>
      </c>
      <c r="O60" t="s">
        <v>3569</v>
      </c>
      <c r="P60" s="4" t="s">
        <v>3573</v>
      </c>
      <c r="Q60" t="s">
        <v>3573</v>
      </c>
      <c r="R60" t="s">
        <v>128</v>
      </c>
    </row>
    <row r="61" spans="1:18">
      <c r="A61" t="s">
        <v>836</v>
      </c>
      <c r="B61" t="s">
        <v>9</v>
      </c>
      <c r="C61" t="s">
        <v>2312</v>
      </c>
      <c r="D61" t="s">
        <v>3551</v>
      </c>
      <c r="E61">
        <v>28</v>
      </c>
      <c r="F61" s="4" t="s">
        <v>3555</v>
      </c>
      <c r="G61" s="4">
        <v>0</v>
      </c>
      <c r="H61">
        <v>0</v>
      </c>
      <c r="I61">
        <v>17770</v>
      </c>
      <c r="J61" s="6">
        <v>27.720800000000001</v>
      </c>
      <c r="K61" s="4" t="str">
        <f t="shared" si="0"/>
        <v>Mid</v>
      </c>
      <c r="L61" t="s">
        <v>3561</v>
      </c>
      <c r="M61" s="4" t="s">
        <v>3561</v>
      </c>
      <c r="N61" t="s">
        <v>3566</v>
      </c>
      <c r="O61">
        <v>5</v>
      </c>
      <c r="P61" s="4" t="s">
        <v>3573</v>
      </c>
      <c r="Q61" t="s">
        <v>3573</v>
      </c>
      <c r="R61" t="s">
        <v>53</v>
      </c>
    </row>
    <row r="62" spans="1:18">
      <c r="A62" t="s">
        <v>836</v>
      </c>
      <c r="B62" t="s">
        <v>840</v>
      </c>
      <c r="C62" t="s">
        <v>2313</v>
      </c>
      <c r="D62" t="s">
        <v>3552</v>
      </c>
      <c r="E62">
        <v>36</v>
      </c>
      <c r="F62" s="4" t="s">
        <v>3557</v>
      </c>
      <c r="G62" s="4">
        <v>0</v>
      </c>
      <c r="H62">
        <v>1</v>
      </c>
      <c r="I62">
        <v>19877</v>
      </c>
      <c r="J62" s="6">
        <v>78.849999999999994</v>
      </c>
      <c r="K62" s="4" t="str">
        <f t="shared" si="0"/>
        <v>High</v>
      </c>
      <c r="L62" t="s">
        <v>129</v>
      </c>
      <c r="M62" s="4" t="s">
        <v>62</v>
      </c>
      <c r="N62" t="s">
        <v>457</v>
      </c>
      <c r="O62" t="s">
        <v>3569</v>
      </c>
      <c r="P62" s="4">
        <v>172</v>
      </c>
      <c r="Q62" t="s">
        <v>3574</v>
      </c>
      <c r="R62" t="s">
        <v>130</v>
      </c>
    </row>
    <row r="63" spans="1:18">
      <c r="A63" t="s">
        <v>836</v>
      </c>
      <c r="B63" t="s">
        <v>9</v>
      </c>
      <c r="C63" t="s">
        <v>2314</v>
      </c>
      <c r="D63" t="s">
        <v>3551</v>
      </c>
      <c r="E63">
        <v>76</v>
      </c>
      <c r="F63" s="4" t="s">
        <v>3559</v>
      </c>
      <c r="G63" s="4">
        <v>0</v>
      </c>
      <c r="H63">
        <v>1</v>
      </c>
      <c r="I63">
        <v>19877</v>
      </c>
      <c r="J63" s="6">
        <v>78.849999999999994</v>
      </c>
      <c r="K63" s="4" t="str">
        <f t="shared" si="0"/>
        <v>High</v>
      </c>
      <c r="L63" t="s">
        <v>129</v>
      </c>
      <c r="M63" s="4" t="s">
        <v>62</v>
      </c>
      <c r="N63" t="s">
        <v>457</v>
      </c>
      <c r="O63">
        <v>6</v>
      </c>
      <c r="P63" s="4" t="s">
        <v>3573</v>
      </c>
      <c r="Q63" t="s">
        <v>3573</v>
      </c>
      <c r="R63" t="s">
        <v>130</v>
      </c>
    </row>
    <row r="64" spans="1:18">
      <c r="A64" t="s">
        <v>836</v>
      </c>
      <c r="B64" t="s">
        <v>840</v>
      </c>
      <c r="C64" t="s">
        <v>2315</v>
      </c>
      <c r="D64" t="s">
        <v>3552</v>
      </c>
      <c r="E64">
        <v>46</v>
      </c>
      <c r="F64" s="4" t="s">
        <v>3557</v>
      </c>
      <c r="G64" s="4">
        <v>0</v>
      </c>
      <c r="H64">
        <v>1</v>
      </c>
      <c r="I64" t="s">
        <v>131</v>
      </c>
      <c r="J64" s="6">
        <v>61.174999999999997</v>
      </c>
      <c r="K64" s="4" t="str">
        <f t="shared" si="0"/>
        <v>High</v>
      </c>
      <c r="L64" t="s">
        <v>132</v>
      </c>
      <c r="M64" s="4" t="s">
        <v>3564</v>
      </c>
      <c r="N64" t="s">
        <v>457</v>
      </c>
      <c r="O64" t="s">
        <v>3569</v>
      </c>
      <c r="P64" s="4" t="s">
        <v>3573</v>
      </c>
      <c r="Q64" t="s">
        <v>3573</v>
      </c>
      <c r="R64" t="s">
        <v>133</v>
      </c>
    </row>
    <row r="65" spans="1:18">
      <c r="A65" t="s">
        <v>836</v>
      </c>
      <c r="B65" t="s">
        <v>9</v>
      </c>
      <c r="C65" t="s">
        <v>2316</v>
      </c>
      <c r="D65" t="s">
        <v>3551</v>
      </c>
      <c r="E65">
        <v>47</v>
      </c>
      <c r="F65" s="4" t="s">
        <v>3557</v>
      </c>
      <c r="G65" s="4">
        <v>0</v>
      </c>
      <c r="H65">
        <v>1</v>
      </c>
      <c r="I65" t="s">
        <v>131</v>
      </c>
      <c r="J65" s="6">
        <v>61.174999999999997</v>
      </c>
      <c r="K65" s="4" t="str">
        <f t="shared" si="0"/>
        <v>High</v>
      </c>
      <c r="L65" t="s">
        <v>132</v>
      </c>
      <c r="M65" s="4" t="s">
        <v>3564</v>
      </c>
      <c r="N65" t="s">
        <v>457</v>
      </c>
      <c r="O65">
        <v>4</v>
      </c>
      <c r="P65" s="4" t="s">
        <v>3573</v>
      </c>
      <c r="Q65" t="s">
        <v>3573</v>
      </c>
      <c r="R65" t="s">
        <v>133</v>
      </c>
    </row>
    <row r="66" spans="1:18">
      <c r="A66" t="s">
        <v>836</v>
      </c>
      <c r="B66" t="s">
        <v>9</v>
      </c>
      <c r="C66" t="s">
        <v>2317</v>
      </c>
      <c r="D66" t="s">
        <v>3552</v>
      </c>
      <c r="E66">
        <v>27</v>
      </c>
      <c r="F66" s="4" t="s">
        <v>3555</v>
      </c>
      <c r="G66" s="4">
        <v>0</v>
      </c>
      <c r="H66">
        <v>1</v>
      </c>
      <c r="I66">
        <v>113806</v>
      </c>
      <c r="J66" s="6">
        <v>53.1</v>
      </c>
      <c r="K66" s="4" t="str">
        <f t="shared" si="0"/>
        <v>High</v>
      </c>
      <c r="L66" t="s">
        <v>134</v>
      </c>
      <c r="M66" s="4" t="s">
        <v>3564</v>
      </c>
      <c r="N66" t="s">
        <v>457</v>
      </c>
      <c r="O66">
        <v>5</v>
      </c>
      <c r="P66" s="4" t="s">
        <v>3573</v>
      </c>
      <c r="Q66" t="s">
        <v>3573</v>
      </c>
      <c r="R66" t="s">
        <v>135</v>
      </c>
    </row>
    <row r="67" spans="1:18">
      <c r="A67" t="s">
        <v>836</v>
      </c>
      <c r="B67" t="s">
        <v>9</v>
      </c>
      <c r="C67" t="s">
        <v>2318</v>
      </c>
      <c r="D67" t="s">
        <v>3551</v>
      </c>
      <c r="E67">
        <v>33</v>
      </c>
      <c r="F67" s="4" t="s">
        <v>3557</v>
      </c>
      <c r="G67" s="4">
        <v>0</v>
      </c>
      <c r="H67">
        <v>1</v>
      </c>
      <c r="I67">
        <v>113806</v>
      </c>
      <c r="J67" s="6">
        <v>53.1</v>
      </c>
      <c r="K67" s="4" t="str">
        <f t="shared" ref="K67:K130" si="1">IF(J67&lt;=10,"Low",IF(J67&lt;=50,"Mid","High"))</f>
        <v>High</v>
      </c>
      <c r="L67" t="s">
        <v>134</v>
      </c>
      <c r="M67" s="4" t="s">
        <v>3564</v>
      </c>
      <c r="N67" t="s">
        <v>457</v>
      </c>
      <c r="O67">
        <v>5</v>
      </c>
      <c r="P67" s="4" t="s">
        <v>3573</v>
      </c>
      <c r="Q67" t="s">
        <v>3573</v>
      </c>
      <c r="R67" t="s">
        <v>135</v>
      </c>
    </row>
    <row r="68" spans="1:18">
      <c r="A68" t="s">
        <v>836</v>
      </c>
      <c r="B68" t="s">
        <v>9</v>
      </c>
      <c r="C68" t="s">
        <v>2319</v>
      </c>
      <c r="D68" t="s">
        <v>3551</v>
      </c>
      <c r="E68">
        <v>36</v>
      </c>
      <c r="F68" s="4" t="s">
        <v>3557</v>
      </c>
      <c r="G68" s="4">
        <v>0</v>
      </c>
      <c r="H68">
        <v>0</v>
      </c>
      <c r="I68" t="s">
        <v>101</v>
      </c>
      <c r="J68" s="6">
        <v>262.375</v>
      </c>
      <c r="K68" s="4" t="str">
        <f t="shared" si="1"/>
        <v>High</v>
      </c>
      <c r="L68" t="s">
        <v>136</v>
      </c>
      <c r="M68" s="4" t="s">
        <v>70</v>
      </c>
      <c r="N68" t="s">
        <v>3566</v>
      </c>
      <c r="O68">
        <v>4</v>
      </c>
      <c r="P68" s="4" t="s">
        <v>3573</v>
      </c>
      <c r="Q68" t="s">
        <v>3573</v>
      </c>
    </row>
    <row r="69" spans="1:18">
      <c r="A69" t="s">
        <v>836</v>
      </c>
      <c r="B69" t="s">
        <v>9</v>
      </c>
      <c r="C69" t="s">
        <v>2320</v>
      </c>
      <c r="D69" t="s">
        <v>3551</v>
      </c>
      <c r="E69">
        <v>30</v>
      </c>
      <c r="F69" s="4" t="s">
        <v>3557</v>
      </c>
      <c r="G69" s="4">
        <v>0</v>
      </c>
      <c r="H69">
        <v>0</v>
      </c>
      <c r="I69">
        <v>110152</v>
      </c>
      <c r="J69" s="6">
        <v>86.5</v>
      </c>
      <c r="K69" s="4" t="str">
        <f t="shared" si="1"/>
        <v>High</v>
      </c>
      <c r="L69" t="s">
        <v>137</v>
      </c>
      <c r="M69" s="4" t="s">
        <v>70</v>
      </c>
      <c r="N69" t="s">
        <v>457</v>
      </c>
      <c r="O69">
        <v>8</v>
      </c>
      <c r="P69" s="4" t="s">
        <v>3573</v>
      </c>
      <c r="Q69" t="s">
        <v>3573</v>
      </c>
      <c r="R69" t="s">
        <v>138</v>
      </c>
    </row>
    <row r="70" spans="1:18">
      <c r="A70" t="s">
        <v>836</v>
      </c>
      <c r="B70" t="s">
        <v>9</v>
      </c>
      <c r="C70" t="s">
        <v>2321</v>
      </c>
      <c r="D70" t="s">
        <v>3552</v>
      </c>
      <c r="E70">
        <v>45</v>
      </c>
      <c r="F70" s="4" t="s">
        <v>3557</v>
      </c>
      <c r="G70" s="4">
        <v>0</v>
      </c>
      <c r="H70">
        <v>0</v>
      </c>
      <c r="I70" t="s">
        <v>139</v>
      </c>
      <c r="J70" s="6">
        <v>29.7</v>
      </c>
      <c r="K70" s="4" t="str">
        <f t="shared" si="1"/>
        <v>Mid</v>
      </c>
      <c r="L70" t="s">
        <v>140</v>
      </c>
      <c r="M70" s="4" t="s">
        <v>78</v>
      </c>
      <c r="N70" t="s">
        <v>3566</v>
      </c>
      <c r="O70">
        <v>7</v>
      </c>
      <c r="P70" s="4" t="s">
        <v>3573</v>
      </c>
      <c r="Q70" t="s">
        <v>3573</v>
      </c>
      <c r="R70" t="s">
        <v>68</v>
      </c>
    </row>
    <row r="71" spans="1:18">
      <c r="A71" t="s">
        <v>836</v>
      </c>
      <c r="B71" t="s">
        <v>9</v>
      </c>
      <c r="C71" t="s">
        <v>2322</v>
      </c>
      <c r="D71" t="s">
        <v>3551</v>
      </c>
      <c r="E71">
        <v>28</v>
      </c>
      <c r="F71" s="4" t="s">
        <v>3555</v>
      </c>
      <c r="G71" s="4">
        <v>1</v>
      </c>
      <c r="H71">
        <v>0</v>
      </c>
      <c r="I71">
        <v>113505</v>
      </c>
      <c r="J71" s="6">
        <v>55</v>
      </c>
      <c r="K71" s="4" t="str">
        <f t="shared" si="1"/>
        <v>High</v>
      </c>
      <c r="L71" t="s">
        <v>103</v>
      </c>
      <c r="M71" s="4" t="s">
        <v>3564</v>
      </c>
      <c r="N71" t="s">
        <v>457</v>
      </c>
      <c r="O71">
        <v>6</v>
      </c>
      <c r="P71" s="4" t="s">
        <v>3573</v>
      </c>
      <c r="Q71" t="s">
        <v>3573</v>
      </c>
      <c r="R71" t="s">
        <v>104</v>
      </c>
    </row>
    <row r="72" spans="1:18">
      <c r="A72" t="s">
        <v>836</v>
      </c>
      <c r="B72" t="s">
        <v>840</v>
      </c>
      <c r="C72" t="s">
        <v>2323</v>
      </c>
      <c r="D72" t="s">
        <v>3552</v>
      </c>
      <c r="E72">
        <v>28</v>
      </c>
      <c r="F72" s="4" t="s">
        <v>3555</v>
      </c>
      <c r="G72" s="4">
        <v>0</v>
      </c>
      <c r="H72">
        <v>0</v>
      </c>
      <c r="I72">
        <v>112051</v>
      </c>
      <c r="J72" s="6">
        <v>0</v>
      </c>
      <c r="K72" s="4" t="str">
        <f t="shared" si="1"/>
        <v>Low</v>
      </c>
      <c r="L72" t="s">
        <v>3561</v>
      </c>
      <c r="M72" s="4" t="s">
        <v>3561</v>
      </c>
      <c r="N72" t="s">
        <v>457</v>
      </c>
      <c r="O72" t="s">
        <v>3569</v>
      </c>
      <c r="P72" s="4" t="s">
        <v>3573</v>
      </c>
      <c r="Q72" t="s">
        <v>3573</v>
      </c>
      <c r="R72" t="s">
        <v>141</v>
      </c>
    </row>
    <row r="73" spans="1:18">
      <c r="A73" t="s">
        <v>836</v>
      </c>
      <c r="B73" t="s">
        <v>840</v>
      </c>
      <c r="C73" t="s">
        <v>2324</v>
      </c>
      <c r="D73" t="s">
        <v>3552</v>
      </c>
      <c r="E73">
        <v>27</v>
      </c>
      <c r="F73" s="4" t="s">
        <v>3555</v>
      </c>
      <c r="G73" s="4">
        <v>0</v>
      </c>
      <c r="H73">
        <v>1</v>
      </c>
      <c r="I73">
        <v>13508</v>
      </c>
      <c r="J73" s="6">
        <v>136.7792</v>
      </c>
      <c r="K73" s="4" t="str">
        <f t="shared" si="1"/>
        <v>High</v>
      </c>
      <c r="L73" t="s">
        <v>142</v>
      </c>
      <c r="M73" s="4" t="s">
        <v>62</v>
      </c>
      <c r="N73" t="s">
        <v>3566</v>
      </c>
      <c r="O73" t="s">
        <v>3569</v>
      </c>
      <c r="P73" s="4" t="s">
        <v>3573</v>
      </c>
      <c r="Q73" t="s">
        <v>3573</v>
      </c>
      <c r="R73" t="s">
        <v>105</v>
      </c>
    </row>
    <row r="74" spans="1:18">
      <c r="A74" t="s">
        <v>836</v>
      </c>
      <c r="B74" t="s">
        <v>9</v>
      </c>
      <c r="C74" t="s">
        <v>2325</v>
      </c>
      <c r="D74" t="s">
        <v>3551</v>
      </c>
      <c r="E74">
        <v>26</v>
      </c>
      <c r="F74" s="4" t="s">
        <v>3555</v>
      </c>
      <c r="G74" s="4">
        <v>0</v>
      </c>
      <c r="H74">
        <v>1</v>
      </c>
      <c r="I74">
        <v>13508</v>
      </c>
      <c r="J74" s="6">
        <v>136.7792</v>
      </c>
      <c r="K74" s="4" t="str">
        <f t="shared" si="1"/>
        <v>High</v>
      </c>
      <c r="L74" t="s">
        <v>142</v>
      </c>
      <c r="M74" s="4" t="s">
        <v>62</v>
      </c>
      <c r="N74" t="s">
        <v>3566</v>
      </c>
      <c r="O74">
        <v>4</v>
      </c>
      <c r="P74" s="4" t="s">
        <v>3573</v>
      </c>
      <c r="Q74" t="s">
        <v>3573</v>
      </c>
      <c r="R74" t="s">
        <v>105</v>
      </c>
    </row>
    <row r="75" spans="1:18">
      <c r="A75" t="s">
        <v>836</v>
      </c>
      <c r="B75" t="s">
        <v>9</v>
      </c>
      <c r="C75" t="s">
        <v>2326</v>
      </c>
      <c r="D75" t="s">
        <v>3551</v>
      </c>
      <c r="E75">
        <v>22</v>
      </c>
      <c r="F75" s="4" t="s">
        <v>3555</v>
      </c>
      <c r="G75" s="4">
        <v>0</v>
      </c>
      <c r="H75">
        <v>0</v>
      </c>
      <c r="I75">
        <v>113781</v>
      </c>
      <c r="J75" s="6">
        <v>151.55000000000001</v>
      </c>
      <c r="K75" s="4" t="str">
        <f t="shared" si="1"/>
        <v>High</v>
      </c>
      <c r="L75" t="s">
        <v>3561</v>
      </c>
      <c r="M75" s="4" t="s">
        <v>3561</v>
      </c>
      <c r="N75" t="s">
        <v>457</v>
      </c>
      <c r="O75">
        <v>11</v>
      </c>
      <c r="P75" s="4" t="s">
        <v>3573</v>
      </c>
      <c r="Q75" t="s">
        <v>3573</v>
      </c>
    </row>
    <row r="76" spans="1:18">
      <c r="A76" t="s">
        <v>836</v>
      </c>
      <c r="B76" t="s">
        <v>840</v>
      </c>
      <c r="C76" t="s">
        <v>2327</v>
      </c>
      <c r="D76" t="s">
        <v>3552</v>
      </c>
      <c r="E76">
        <v>28</v>
      </c>
      <c r="F76" s="4" t="s">
        <v>3555</v>
      </c>
      <c r="G76" s="4">
        <v>0</v>
      </c>
      <c r="H76">
        <v>0</v>
      </c>
      <c r="I76">
        <v>110465</v>
      </c>
      <c r="J76" s="6">
        <v>52</v>
      </c>
      <c r="K76" s="4" t="str">
        <f t="shared" si="1"/>
        <v>High</v>
      </c>
      <c r="L76" t="s">
        <v>143</v>
      </c>
      <c r="M76" s="4" t="s">
        <v>78</v>
      </c>
      <c r="N76" t="s">
        <v>457</v>
      </c>
      <c r="O76" t="s">
        <v>3569</v>
      </c>
      <c r="P76" s="4" t="s">
        <v>3573</v>
      </c>
      <c r="Q76" t="s">
        <v>3573</v>
      </c>
      <c r="R76" t="s">
        <v>144</v>
      </c>
    </row>
    <row r="77" spans="1:18">
      <c r="A77" t="s">
        <v>836</v>
      </c>
      <c r="B77" t="s">
        <v>840</v>
      </c>
      <c r="C77" t="s">
        <v>2328</v>
      </c>
      <c r="D77" t="s">
        <v>3552</v>
      </c>
      <c r="E77">
        <v>47</v>
      </c>
      <c r="F77" s="4" t="s">
        <v>3557</v>
      </c>
      <c r="G77" s="4">
        <v>0</v>
      </c>
      <c r="H77">
        <v>0</v>
      </c>
      <c r="I77">
        <v>5727</v>
      </c>
      <c r="J77" s="6">
        <v>25.587499999999999</v>
      </c>
      <c r="K77" s="4" t="str">
        <f t="shared" si="1"/>
        <v>Mid</v>
      </c>
      <c r="L77" t="s">
        <v>145</v>
      </c>
      <c r="M77" s="4" t="s">
        <v>3564</v>
      </c>
      <c r="N77" t="s">
        <v>457</v>
      </c>
      <c r="O77" t="s">
        <v>3569</v>
      </c>
      <c r="P77" s="4" t="s">
        <v>3573</v>
      </c>
      <c r="Q77" t="s">
        <v>3573</v>
      </c>
      <c r="R77" t="s">
        <v>146</v>
      </c>
    </row>
    <row r="78" spans="1:18">
      <c r="A78" t="s">
        <v>836</v>
      </c>
      <c r="B78" t="s">
        <v>9</v>
      </c>
      <c r="C78" t="s">
        <v>2329</v>
      </c>
      <c r="D78" t="s">
        <v>3551</v>
      </c>
      <c r="E78">
        <v>39</v>
      </c>
      <c r="F78" s="4" t="s">
        <v>3557</v>
      </c>
      <c r="G78" s="4">
        <v>1</v>
      </c>
      <c r="H78">
        <v>1</v>
      </c>
      <c r="I78" t="s">
        <v>147</v>
      </c>
      <c r="J78" s="6">
        <v>83.158299999999997</v>
      </c>
      <c r="K78" s="4" t="str">
        <f t="shared" si="1"/>
        <v>High</v>
      </c>
      <c r="L78" t="s">
        <v>148</v>
      </c>
      <c r="M78" s="4" t="s">
        <v>3564</v>
      </c>
      <c r="N78" t="s">
        <v>3566</v>
      </c>
      <c r="O78">
        <v>14</v>
      </c>
      <c r="P78" s="4" t="s">
        <v>3573</v>
      </c>
      <c r="Q78" t="s">
        <v>3573</v>
      </c>
      <c r="R78" t="s">
        <v>149</v>
      </c>
    </row>
    <row r="79" spans="1:18">
      <c r="A79" t="s">
        <v>836</v>
      </c>
      <c r="B79" t="s">
        <v>840</v>
      </c>
      <c r="C79" t="s">
        <v>2330</v>
      </c>
      <c r="D79" t="s">
        <v>3552</v>
      </c>
      <c r="E79">
        <v>37</v>
      </c>
      <c r="F79" s="4" t="s">
        <v>3557</v>
      </c>
      <c r="G79" s="4">
        <v>1</v>
      </c>
      <c r="H79">
        <v>1</v>
      </c>
      <c r="I79" t="s">
        <v>147</v>
      </c>
      <c r="J79" s="6">
        <v>83.158299999999997</v>
      </c>
      <c r="K79" s="4" t="str">
        <f t="shared" si="1"/>
        <v>High</v>
      </c>
      <c r="L79" t="s">
        <v>150</v>
      </c>
      <c r="M79" s="4" t="s">
        <v>3564</v>
      </c>
      <c r="N79" t="s">
        <v>3566</v>
      </c>
      <c r="O79" t="s">
        <v>3569</v>
      </c>
      <c r="P79" s="4" t="s">
        <v>3573</v>
      </c>
      <c r="Q79" t="s">
        <v>3573</v>
      </c>
      <c r="R79" t="s">
        <v>149</v>
      </c>
    </row>
    <row r="80" spans="1:18">
      <c r="A80" t="s">
        <v>836</v>
      </c>
      <c r="B80" t="s">
        <v>9</v>
      </c>
      <c r="C80" t="s">
        <v>2331</v>
      </c>
      <c r="D80" t="s">
        <v>3551</v>
      </c>
      <c r="E80">
        <v>64</v>
      </c>
      <c r="F80" s="4" t="s">
        <v>3559</v>
      </c>
      <c r="G80" s="4">
        <v>2</v>
      </c>
      <c r="H80">
        <v>0</v>
      </c>
      <c r="I80" t="s">
        <v>147</v>
      </c>
      <c r="J80" s="6">
        <v>83.158299999999997</v>
      </c>
      <c r="K80" s="4" t="str">
        <f t="shared" si="1"/>
        <v>High</v>
      </c>
      <c r="L80" t="s">
        <v>151</v>
      </c>
      <c r="M80" s="4" t="s">
        <v>3564</v>
      </c>
      <c r="N80" t="s">
        <v>3566</v>
      </c>
      <c r="O80">
        <v>14</v>
      </c>
      <c r="P80" s="4" t="s">
        <v>3573</v>
      </c>
      <c r="Q80" t="s">
        <v>3573</v>
      </c>
      <c r="R80" t="s">
        <v>149</v>
      </c>
    </row>
    <row r="81" spans="1:18">
      <c r="A81" t="s">
        <v>836</v>
      </c>
      <c r="B81" t="s">
        <v>9</v>
      </c>
      <c r="C81" t="s">
        <v>2332</v>
      </c>
      <c r="D81" t="s">
        <v>3551</v>
      </c>
      <c r="E81">
        <v>55</v>
      </c>
      <c r="F81" s="4" t="s">
        <v>3557</v>
      </c>
      <c r="G81" s="4">
        <v>0</v>
      </c>
      <c r="H81">
        <v>2</v>
      </c>
      <c r="I81">
        <v>11770</v>
      </c>
      <c r="J81" s="6">
        <v>25.7</v>
      </c>
      <c r="K81" s="4" t="str">
        <f t="shared" si="1"/>
        <v>Mid</v>
      </c>
      <c r="L81" t="s">
        <v>58</v>
      </c>
      <c r="M81" s="4" t="s">
        <v>62</v>
      </c>
      <c r="N81" t="s">
        <v>457</v>
      </c>
      <c r="O81">
        <v>2</v>
      </c>
      <c r="P81" s="4" t="s">
        <v>3573</v>
      </c>
      <c r="Q81" t="s">
        <v>3573</v>
      </c>
      <c r="R81" t="s">
        <v>53</v>
      </c>
    </row>
    <row r="82" spans="1:18">
      <c r="A82" t="s">
        <v>836</v>
      </c>
      <c r="B82" t="s">
        <v>840</v>
      </c>
      <c r="C82" t="s">
        <v>2333</v>
      </c>
      <c r="D82" t="s">
        <v>3552</v>
      </c>
      <c r="E82">
        <v>28</v>
      </c>
      <c r="F82" s="4" t="s">
        <v>3555</v>
      </c>
      <c r="G82" s="4">
        <v>0</v>
      </c>
      <c r="H82">
        <v>0</v>
      </c>
      <c r="I82">
        <v>113791</v>
      </c>
      <c r="J82" s="6">
        <v>26.55</v>
      </c>
      <c r="K82" s="4" t="str">
        <f t="shared" si="1"/>
        <v>Mid</v>
      </c>
      <c r="L82" t="s">
        <v>3561</v>
      </c>
      <c r="M82" s="4" t="s">
        <v>3561</v>
      </c>
      <c r="N82" t="s">
        <v>457</v>
      </c>
      <c r="O82" t="s">
        <v>3569</v>
      </c>
      <c r="P82" s="4" t="s">
        <v>3573</v>
      </c>
      <c r="Q82" t="s">
        <v>3573</v>
      </c>
      <c r="R82" t="s">
        <v>152</v>
      </c>
    </row>
    <row r="83" spans="1:18">
      <c r="A83" t="s">
        <v>836</v>
      </c>
      <c r="B83" t="s">
        <v>840</v>
      </c>
      <c r="C83" t="s">
        <v>2334</v>
      </c>
      <c r="D83" t="s">
        <v>3552</v>
      </c>
      <c r="E83">
        <v>70</v>
      </c>
      <c r="F83" s="4" t="s">
        <v>3559</v>
      </c>
      <c r="G83" s="4">
        <v>1</v>
      </c>
      <c r="H83">
        <v>1</v>
      </c>
      <c r="I83" t="s">
        <v>153</v>
      </c>
      <c r="J83" s="6">
        <v>71</v>
      </c>
      <c r="K83" s="4" t="str">
        <f t="shared" si="1"/>
        <v>High</v>
      </c>
      <c r="L83" t="s">
        <v>154</v>
      </c>
      <c r="M83" s="4" t="s">
        <v>70</v>
      </c>
      <c r="N83" t="s">
        <v>457</v>
      </c>
      <c r="O83" t="s">
        <v>3569</v>
      </c>
      <c r="P83" s="4">
        <v>269</v>
      </c>
      <c r="Q83" t="s">
        <v>3574</v>
      </c>
      <c r="R83" t="s">
        <v>155</v>
      </c>
    </row>
    <row r="84" spans="1:18">
      <c r="A84" t="s">
        <v>836</v>
      </c>
      <c r="B84" t="s">
        <v>9</v>
      </c>
      <c r="C84" t="s">
        <v>2335</v>
      </c>
      <c r="D84" t="s">
        <v>3551</v>
      </c>
      <c r="E84">
        <v>36</v>
      </c>
      <c r="F84" s="4" t="s">
        <v>3557</v>
      </c>
      <c r="G84" s="4">
        <v>2</v>
      </c>
      <c r="H84">
        <v>0</v>
      </c>
      <c r="I84" t="s">
        <v>153</v>
      </c>
      <c r="J84" s="6">
        <v>71</v>
      </c>
      <c r="K84" s="4" t="str">
        <f t="shared" si="1"/>
        <v>High</v>
      </c>
      <c r="L84" t="s">
        <v>154</v>
      </c>
      <c r="M84" s="4" t="s">
        <v>70</v>
      </c>
      <c r="N84" t="s">
        <v>457</v>
      </c>
      <c r="O84">
        <v>7</v>
      </c>
      <c r="P84" s="4" t="s">
        <v>3573</v>
      </c>
      <c r="Q84" t="s">
        <v>3573</v>
      </c>
      <c r="R84" t="s">
        <v>155</v>
      </c>
    </row>
    <row r="85" spans="1:18">
      <c r="A85" t="s">
        <v>836</v>
      </c>
      <c r="B85" t="s">
        <v>9</v>
      </c>
      <c r="C85" t="s">
        <v>2336</v>
      </c>
      <c r="D85" t="s">
        <v>3551</v>
      </c>
      <c r="E85">
        <v>64</v>
      </c>
      <c r="F85" s="4" t="s">
        <v>3559</v>
      </c>
      <c r="G85" s="4">
        <v>1</v>
      </c>
      <c r="H85">
        <v>1</v>
      </c>
      <c r="I85">
        <v>112901</v>
      </c>
      <c r="J85" s="6">
        <v>26.55</v>
      </c>
      <c r="K85" s="4" t="str">
        <f t="shared" si="1"/>
        <v>Mid</v>
      </c>
      <c r="L85" t="s">
        <v>156</v>
      </c>
      <c r="M85" s="4" t="s">
        <v>70</v>
      </c>
      <c r="N85" t="s">
        <v>457</v>
      </c>
      <c r="O85">
        <v>7</v>
      </c>
      <c r="P85" s="4" t="s">
        <v>3573</v>
      </c>
      <c r="Q85" t="s">
        <v>3573</v>
      </c>
      <c r="R85" t="s">
        <v>155</v>
      </c>
    </row>
    <row r="86" spans="1:18">
      <c r="A86" t="s">
        <v>836</v>
      </c>
      <c r="B86" t="s">
        <v>840</v>
      </c>
      <c r="C86" t="s">
        <v>2337</v>
      </c>
      <c r="D86" t="s">
        <v>3552</v>
      </c>
      <c r="E86">
        <v>39</v>
      </c>
      <c r="F86" s="4" t="s">
        <v>3557</v>
      </c>
      <c r="G86" s="4">
        <v>0</v>
      </c>
      <c r="H86">
        <v>1</v>
      </c>
      <c r="I86" t="s">
        <v>157</v>
      </c>
      <c r="J86" s="6">
        <v>71.283299999999997</v>
      </c>
      <c r="K86" s="4" t="str">
        <f t="shared" si="1"/>
        <v>High</v>
      </c>
      <c r="L86" t="s">
        <v>35</v>
      </c>
      <c r="M86" s="4" t="s">
        <v>62</v>
      </c>
      <c r="N86" t="s">
        <v>3566</v>
      </c>
      <c r="O86" t="s">
        <v>3569</v>
      </c>
      <c r="P86" s="4" t="s">
        <v>3573</v>
      </c>
      <c r="Q86" t="s">
        <v>3573</v>
      </c>
      <c r="R86" t="s">
        <v>53</v>
      </c>
    </row>
    <row r="87" spans="1:18">
      <c r="A87" t="s">
        <v>836</v>
      </c>
      <c r="B87" t="s">
        <v>9</v>
      </c>
      <c r="C87" t="s">
        <v>2338</v>
      </c>
      <c r="D87" t="s">
        <v>3551</v>
      </c>
      <c r="E87">
        <v>38</v>
      </c>
      <c r="F87" s="4" t="s">
        <v>3557</v>
      </c>
      <c r="G87" s="4">
        <v>0</v>
      </c>
      <c r="H87">
        <v>1</v>
      </c>
      <c r="I87" t="s">
        <v>157</v>
      </c>
      <c r="J87" s="6">
        <v>71.283299999999997</v>
      </c>
      <c r="K87" s="4" t="str">
        <f t="shared" si="1"/>
        <v>High</v>
      </c>
      <c r="L87" t="s">
        <v>35</v>
      </c>
      <c r="M87" s="4" t="s">
        <v>62</v>
      </c>
      <c r="N87" t="s">
        <v>3566</v>
      </c>
      <c r="O87">
        <v>4</v>
      </c>
      <c r="P87" s="4" t="s">
        <v>3573</v>
      </c>
      <c r="Q87" t="s">
        <v>3573</v>
      </c>
      <c r="R87" t="s">
        <v>53</v>
      </c>
    </row>
    <row r="88" spans="1:18">
      <c r="A88" t="s">
        <v>836</v>
      </c>
      <c r="B88" t="s">
        <v>9</v>
      </c>
      <c r="C88" t="s">
        <v>2339</v>
      </c>
      <c r="D88" t="s">
        <v>3552</v>
      </c>
      <c r="E88">
        <v>51</v>
      </c>
      <c r="F88" s="4" t="s">
        <v>3557</v>
      </c>
      <c r="G88" s="4">
        <v>0</v>
      </c>
      <c r="H88">
        <v>0</v>
      </c>
      <c r="I88">
        <v>113055</v>
      </c>
      <c r="J88" s="6">
        <v>26.55</v>
      </c>
      <c r="K88" s="4" t="str">
        <f t="shared" si="1"/>
        <v>Mid</v>
      </c>
      <c r="L88" t="s">
        <v>158</v>
      </c>
      <c r="M88" s="4" t="s">
        <v>3564</v>
      </c>
      <c r="N88" t="s">
        <v>457</v>
      </c>
      <c r="O88" t="s">
        <v>159</v>
      </c>
      <c r="P88" s="4" t="s">
        <v>3573</v>
      </c>
      <c r="Q88" t="s">
        <v>3573</v>
      </c>
      <c r="R88" t="s">
        <v>160</v>
      </c>
    </row>
    <row r="89" spans="1:18">
      <c r="A89" t="s">
        <v>836</v>
      </c>
      <c r="B89" t="s">
        <v>9</v>
      </c>
      <c r="C89" t="s">
        <v>2340</v>
      </c>
      <c r="D89" t="s">
        <v>3552</v>
      </c>
      <c r="E89">
        <v>27</v>
      </c>
      <c r="F89" s="4" t="s">
        <v>3555</v>
      </c>
      <c r="G89" s="4">
        <v>0</v>
      </c>
      <c r="H89">
        <v>0</v>
      </c>
      <c r="I89">
        <v>113804</v>
      </c>
      <c r="J89" s="6">
        <v>30.5</v>
      </c>
      <c r="K89" s="4" t="str">
        <f t="shared" si="1"/>
        <v>Mid</v>
      </c>
      <c r="L89" t="s">
        <v>3561</v>
      </c>
      <c r="M89" s="4" t="s">
        <v>3561</v>
      </c>
      <c r="N89" t="s">
        <v>457</v>
      </c>
      <c r="O89">
        <v>3</v>
      </c>
      <c r="P89" s="4" t="s">
        <v>3573</v>
      </c>
      <c r="Q89" t="s">
        <v>3573</v>
      </c>
      <c r="R89" t="s">
        <v>111</v>
      </c>
    </row>
    <row r="90" spans="1:18">
      <c r="A90" t="s">
        <v>836</v>
      </c>
      <c r="B90" t="s">
        <v>9</v>
      </c>
      <c r="C90" t="s">
        <v>2341</v>
      </c>
      <c r="D90" t="s">
        <v>3551</v>
      </c>
      <c r="E90">
        <v>33</v>
      </c>
      <c r="F90" s="4" t="s">
        <v>3557</v>
      </c>
      <c r="G90" s="4">
        <v>0</v>
      </c>
      <c r="H90">
        <v>0</v>
      </c>
      <c r="I90">
        <v>113781</v>
      </c>
      <c r="J90" s="6">
        <v>151.55000000000001</v>
      </c>
      <c r="K90" s="4" t="str">
        <f t="shared" si="1"/>
        <v>High</v>
      </c>
      <c r="L90" t="s">
        <v>3561</v>
      </c>
      <c r="M90" s="4" t="s">
        <v>3561</v>
      </c>
      <c r="N90" t="s">
        <v>457</v>
      </c>
      <c r="O90">
        <v>8</v>
      </c>
      <c r="P90" s="4" t="s">
        <v>3573</v>
      </c>
      <c r="Q90" t="s">
        <v>3573</v>
      </c>
    </row>
    <row r="91" spans="1:18">
      <c r="A91" t="s">
        <v>836</v>
      </c>
      <c r="B91" t="s">
        <v>840</v>
      </c>
      <c r="C91" t="s">
        <v>2342</v>
      </c>
      <c r="D91" t="s">
        <v>3552</v>
      </c>
      <c r="E91">
        <v>31</v>
      </c>
      <c r="F91" s="4" t="s">
        <v>3557</v>
      </c>
      <c r="G91" s="4">
        <v>0</v>
      </c>
      <c r="H91">
        <v>1</v>
      </c>
      <c r="I91" t="s">
        <v>161</v>
      </c>
      <c r="J91" s="6">
        <v>52</v>
      </c>
      <c r="K91" s="4" t="str">
        <f t="shared" si="1"/>
        <v>High</v>
      </c>
      <c r="L91" t="s">
        <v>162</v>
      </c>
      <c r="M91" s="4" t="s">
        <v>70</v>
      </c>
      <c r="N91" t="s">
        <v>457</v>
      </c>
      <c r="O91" t="s">
        <v>3569</v>
      </c>
      <c r="P91" s="4" t="s">
        <v>3573</v>
      </c>
      <c r="Q91" t="s">
        <v>3573</v>
      </c>
      <c r="R91" t="s">
        <v>75</v>
      </c>
    </row>
    <row r="92" spans="1:18">
      <c r="A92" t="s">
        <v>836</v>
      </c>
      <c r="B92" t="s">
        <v>9</v>
      </c>
      <c r="C92" t="s">
        <v>2343</v>
      </c>
      <c r="D92" t="s">
        <v>3551</v>
      </c>
      <c r="E92">
        <v>27</v>
      </c>
      <c r="F92" s="4" t="s">
        <v>3555</v>
      </c>
      <c r="G92" s="4">
        <v>2</v>
      </c>
      <c r="H92">
        <v>1</v>
      </c>
      <c r="I92" t="s">
        <v>161</v>
      </c>
      <c r="J92" s="6">
        <v>52</v>
      </c>
      <c r="K92" s="4" t="str">
        <f t="shared" si="1"/>
        <v>High</v>
      </c>
      <c r="L92" t="s">
        <v>162</v>
      </c>
      <c r="M92" s="4" t="s">
        <v>70</v>
      </c>
      <c r="N92" t="s">
        <v>457</v>
      </c>
      <c r="O92">
        <v>3</v>
      </c>
      <c r="P92" s="4" t="s">
        <v>3573</v>
      </c>
      <c r="Q92" t="s">
        <v>3573</v>
      </c>
      <c r="R92" t="s">
        <v>75</v>
      </c>
    </row>
    <row r="93" spans="1:18">
      <c r="A93" t="s">
        <v>836</v>
      </c>
      <c r="B93" t="s">
        <v>9</v>
      </c>
      <c r="C93" t="s">
        <v>2344</v>
      </c>
      <c r="D93" t="s">
        <v>3552</v>
      </c>
      <c r="E93">
        <v>31</v>
      </c>
      <c r="F93" s="4" t="s">
        <v>3557</v>
      </c>
      <c r="G93" s="4">
        <v>0</v>
      </c>
      <c r="H93">
        <v>1</v>
      </c>
      <c r="I93">
        <v>17474</v>
      </c>
      <c r="J93" s="6">
        <v>57</v>
      </c>
      <c r="K93" s="4" t="str">
        <f t="shared" si="1"/>
        <v>High</v>
      </c>
      <c r="L93" t="s">
        <v>163</v>
      </c>
      <c r="M93" s="4" t="s">
        <v>70</v>
      </c>
      <c r="N93" t="s">
        <v>457</v>
      </c>
      <c r="O93">
        <v>3</v>
      </c>
      <c r="P93" s="4" t="s">
        <v>3573</v>
      </c>
      <c r="Q93" t="s">
        <v>3573</v>
      </c>
      <c r="R93" t="s">
        <v>164</v>
      </c>
    </row>
    <row r="94" spans="1:18">
      <c r="A94" t="s">
        <v>836</v>
      </c>
      <c r="B94" t="s">
        <v>9</v>
      </c>
      <c r="C94" t="s">
        <v>2345</v>
      </c>
      <c r="D94" t="s">
        <v>3551</v>
      </c>
      <c r="E94">
        <v>17</v>
      </c>
      <c r="F94" s="4" t="s">
        <v>3560</v>
      </c>
      <c r="G94" s="4">
        <v>0</v>
      </c>
      <c r="H94">
        <v>1</v>
      </c>
      <c r="I94">
        <v>17474</v>
      </c>
      <c r="J94" s="6">
        <v>57</v>
      </c>
      <c r="K94" s="4" t="str">
        <f t="shared" si="1"/>
        <v>High</v>
      </c>
      <c r="L94" t="s">
        <v>163</v>
      </c>
      <c r="M94" s="4" t="s">
        <v>70</v>
      </c>
      <c r="N94" t="s">
        <v>457</v>
      </c>
      <c r="O94">
        <v>3</v>
      </c>
      <c r="P94" s="4" t="s">
        <v>3573</v>
      </c>
      <c r="Q94" t="s">
        <v>3573</v>
      </c>
      <c r="R94" t="s">
        <v>164</v>
      </c>
    </row>
    <row r="95" spans="1:18">
      <c r="A95" t="s">
        <v>836</v>
      </c>
      <c r="B95" t="s">
        <v>9</v>
      </c>
      <c r="C95" t="s">
        <v>2346</v>
      </c>
      <c r="D95" t="s">
        <v>3552</v>
      </c>
      <c r="E95">
        <v>53</v>
      </c>
      <c r="F95" s="4" t="s">
        <v>3557</v>
      </c>
      <c r="G95" s="4">
        <v>1</v>
      </c>
      <c r="H95">
        <v>1</v>
      </c>
      <c r="I95">
        <v>33638</v>
      </c>
      <c r="J95" s="6">
        <v>81.8583</v>
      </c>
      <c r="K95" s="4" t="str">
        <f t="shared" si="1"/>
        <v>High</v>
      </c>
      <c r="L95" t="s">
        <v>165</v>
      </c>
      <c r="M95" s="4" t="s">
        <v>78</v>
      </c>
      <c r="N95" t="s">
        <v>457</v>
      </c>
      <c r="O95">
        <v>13</v>
      </c>
      <c r="P95" s="4" t="s">
        <v>3573</v>
      </c>
      <c r="Q95" t="s">
        <v>3573</v>
      </c>
      <c r="R95" t="s">
        <v>84</v>
      </c>
    </row>
    <row r="96" spans="1:18">
      <c r="A96" t="s">
        <v>836</v>
      </c>
      <c r="B96" t="s">
        <v>9</v>
      </c>
      <c r="C96" t="s">
        <v>2347</v>
      </c>
      <c r="D96" t="s">
        <v>3552</v>
      </c>
      <c r="E96">
        <v>4</v>
      </c>
      <c r="F96" s="4" t="s">
        <v>3556</v>
      </c>
      <c r="G96" s="4">
        <v>2</v>
      </c>
      <c r="H96">
        <v>0</v>
      </c>
      <c r="I96">
        <v>33638</v>
      </c>
      <c r="J96" s="6">
        <v>81.8583</v>
      </c>
      <c r="K96" s="4" t="str">
        <f t="shared" si="1"/>
        <v>High</v>
      </c>
      <c r="L96" t="s">
        <v>165</v>
      </c>
      <c r="M96" s="4" t="s">
        <v>78</v>
      </c>
      <c r="N96" t="s">
        <v>457</v>
      </c>
      <c r="O96">
        <v>5</v>
      </c>
      <c r="P96" s="4" t="s">
        <v>3573</v>
      </c>
      <c r="Q96" t="s">
        <v>3573</v>
      </c>
      <c r="R96" t="s">
        <v>84</v>
      </c>
    </row>
    <row r="97" spans="1:18">
      <c r="A97" t="s">
        <v>836</v>
      </c>
      <c r="B97" t="s">
        <v>9</v>
      </c>
      <c r="C97" t="s">
        <v>2348</v>
      </c>
      <c r="D97" t="s">
        <v>3551</v>
      </c>
      <c r="E97">
        <v>54</v>
      </c>
      <c r="F97" s="4" t="s">
        <v>3557</v>
      </c>
      <c r="G97" s="4">
        <v>1</v>
      </c>
      <c r="H97">
        <v>1</v>
      </c>
      <c r="I97">
        <v>33638</v>
      </c>
      <c r="J97" s="6">
        <v>81.8583</v>
      </c>
      <c r="K97" s="4" t="str">
        <f t="shared" si="1"/>
        <v>High</v>
      </c>
      <c r="L97" t="s">
        <v>165</v>
      </c>
      <c r="M97" s="4" t="s">
        <v>78</v>
      </c>
      <c r="N97" t="s">
        <v>457</v>
      </c>
      <c r="O97">
        <v>5</v>
      </c>
      <c r="P97" s="4" t="s">
        <v>3573</v>
      </c>
      <c r="Q97" t="s">
        <v>3573</v>
      </c>
      <c r="R97" t="s">
        <v>84</v>
      </c>
    </row>
    <row r="98" spans="1:18">
      <c r="A98" t="s">
        <v>836</v>
      </c>
      <c r="B98" t="s">
        <v>840</v>
      </c>
      <c r="C98" t="s">
        <v>2349</v>
      </c>
      <c r="D98" t="s">
        <v>3552</v>
      </c>
      <c r="E98">
        <v>50</v>
      </c>
      <c r="F98" s="4" t="s">
        <v>3557</v>
      </c>
      <c r="G98" s="4">
        <v>0</v>
      </c>
      <c r="H98">
        <v>1</v>
      </c>
      <c r="I98" t="s">
        <v>166</v>
      </c>
      <c r="J98" s="6">
        <v>106.425</v>
      </c>
      <c r="K98" s="4" t="str">
        <f t="shared" si="1"/>
        <v>High</v>
      </c>
      <c r="L98" t="s">
        <v>167</v>
      </c>
      <c r="M98" s="4" t="s">
        <v>62</v>
      </c>
      <c r="N98" t="s">
        <v>3566</v>
      </c>
      <c r="O98" t="s">
        <v>3569</v>
      </c>
      <c r="P98" s="4">
        <v>62</v>
      </c>
      <c r="Q98" t="s">
        <v>3574</v>
      </c>
      <c r="R98" t="s">
        <v>168</v>
      </c>
    </row>
    <row r="99" spans="1:18">
      <c r="A99" t="s">
        <v>836</v>
      </c>
      <c r="B99" t="s">
        <v>9</v>
      </c>
      <c r="C99" t="s">
        <v>2350</v>
      </c>
      <c r="D99" t="s">
        <v>3551</v>
      </c>
      <c r="E99">
        <v>27</v>
      </c>
      <c r="F99" s="4" t="s">
        <v>3555</v>
      </c>
      <c r="G99" s="4">
        <v>1</v>
      </c>
      <c r="H99">
        <v>1</v>
      </c>
      <c r="I99" t="s">
        <v>73</v>
      </c>
      <c r="J99" s="6">
        <v>247.52080000000001</v>
      </c>
      <c r="K99" s="4" t="str">
        <f t="shared" si="1"/>
        <v>High</v>
      </c>
      <c r="L99" t="s">
        <v>74</v>
      </c>
      <c r="M99" s="4" t="s">
        <v>70</v>
      </c>
      <c r="N99" t="s">
        <v>3566</v>
      </c>
      <c r="O99">
        <v>6</v>
      </c>
      <c r="P99" s="4" t="s">
        <v>3573</v>
      </c>
      <c r="Q99" t="s">
        <v>3573</v>
      </c>
      <c r="R99" t="s">
        <v>75</v>
      </c>
    </row>
    <row r="100" spans="1:18">
      <c r="A100" t="s">
        <v>836</v>
      </c>
      <c r="B100" t="s">
        <v>9</v>
      </c>
      <c r="C100" t="s">
        <v>2351</v>
      </c>
      <c r="D100" t="s">
        <v>3551</v>
      </c>
      <c r="E100">
        <v>48</v>
      </c>
      <c r="F100" s="4" t="s">
        <v>3557</v>
      </c>
      <c r="G100" s="4">
        <v>0</v>
      </c>
      <c r="H100">
        <v>1</v>
      </c>
      <c r="I100" t="s">
        <v>166</v>
      </c>
      <c r="J100" s="6">
        <v>106.425</v>
      </c>
      <c r="K100" s="4" t="str">
        <f t="shared" si="1"/>
        <v>High</v>
      </c>
      <c r="L100" t="s">
        <v>167</v>
      </c>
      <c r="M100" s="4" t="s">
        <v>62</v>
      </c>
      <c r="N100" t="s">
        <v>3566</v>
      </c>
      <c r="O100">
        <v>2</v>
      </c>
      <c r="P100" s="4" t="s">
        <v>3573</v>
      </c>
      <c r="Q100" t="s">
        <v>3573</v>
      </c>
      <c r="R100" t="s">
        <v>168</v>
      </c>
    </row>
    <row r="101" spans="1:18">
      <c r="A101" t="s">
        <v>836</v>
      </c>
      <c r="B101" t="s">
        <v>9</v>
      </c>
      <c r="C101" t="s">
        <v>2352</v>
      </c>
      <c r="D101" t="s">
        <v>3551</v>
      </c>
      <c r="E101">
        <v>48</v>
      </c>
      <c r="F101" s="4" t="s">
        <v>3557</v>
      </c>
      <c r="G101" s="4">
        <v>0</v>
      </c>
      <c r="H101">
        <v>1</v>
      </c>
      <c r="I101">
        <v>11755</v>
      </c>
      <c r="J101" s="6">
        <v>39.6</v>
      </c>
      <c r="K101" s="4" t="str">
        <f t="shared" si="1"/>
        <v>Mid</v>
      </c>
      <c r="L101" t="s">
        <v>169</v>
      </c>
      <c r="M101" s="4" t="s">
        <v>78</v>
      </c>
      <c r="N101" t="s">
        <v>3566</v>
      </c>
      <c r="O101">
        <v>1</v>
      </c>
      <c r="P101" s="4" t="s">
        <v>3573</v>
      </c>
      <c r="Q101" t="s">
        <v>3573</v>
      </c>
      <c r="R101" t="s">
        <v>170</v>
      </c>
    </row>
    <row r="102" spans="1:18">
      <c r="A102" t="s">
        <v>836</v>
      </c>
      <c r="B102" t="s">
        <v>9</v>
      </c>
      <c r="C102" t="s">
        <v>2353</v>
      </c>
      <c r="D102" t="s">
        <v>3552</v>
      </c>
      <c r="E102">
        <v>49</v>
      </c>
      <c r="F102" s="4" t="s">
        <v>3557</v>
      </c>
      <c r="G102" s="4">
        <v>0</v>
      </c>
      <c r="H102">
        <v>1</v>
      </c>
      <c r="I102" t="s">
        <v>171</v>
      </c>
      <c r="J102" s="6">
        <v>56.929200000000002</v>
      </c>
      <c r="K102" s="4" t="str">
        <f t="shared" si="1"/>
        <v>High</v>
      </c>
      <c r="L102" t="s">
        <v>172</v>
      </c>
      <c r="M102" s="4" t="s">
        <v>78</v>
      </c>
      <c r="N102" t="s">
        <v>3566</v>
      </c>
      <c r="O102">
        <v>1</v>
      </c>
      <c r="P102" s="4" t="s">
        <v>3573</v>
      </c>
      <c r="Q102" t="s">
        <v>3573</v>
      </c>
      <c r="R102" t="s">
        <v>170</v>
      </c>
    </row>
    <row r="103" spans="1:18">
      <c r="A103" t="s">
        <v>836</v>
      </c>
      <c r="B103" t="s">
        <v>840</v>
      </c>
      <c r="C103" t="s">
        <v>2354</v>
      </c>
      <c r="D103" t="s">
        <v>3552</v>
      </c>
      <c r="E103">
        <v>39</v>
      </c>
      <c r="F103" s="4" t="s">
        <v>3557</v>
      </c>
      <c r="G103" s="4">
        <v>0</v>
      </c>
      <c r="H103">
        <v>0</v>
      </c>
      <c r="I103" t="s">
        <v>173</v>
      </c>
      <c r="J103" s="6">
        <v>29.7</v>
      </c>
      <c r="K103" s="4" t="str">
        <f t="shared" si="1"/>
        <v>Mid</v>
      </c>
      <c r="L103" t="s">
        <v>174</v>
      </c>
      <c r="M103" s="4" t="s">
        <v>78</v>
      </c>
      <c r="N103" t="s">
        <v>3566</v>
      </c>
      <c r="O103" t="s">
        <v>3569</v>
      </c>
      <c r="P103" s="4">
        <v>133</v>
      </c>
      <c r="Q103" t="s">
        <v>3574</v>
      </c>
      <c r="R103" t="s">
        <v>111</v>
      </c>
    </row>
    <row r="104" spans="1:18">
      <c r="A104" t="s">
        <v>836</v>
      </c>
      <c r="B104" t="s">
        <v>9</v>
      </c>
      <c r="C104" t="s">
        <v>2355</v>
      </c>
      <c r="D104" t="s">
        <v>3551</v>
      </c>
      <c r="E104">
        <v>23</v>
      </c>
      <c r="F104" s="4" t="s">
        <v>3555</v>
      </c>
      <c r="G104" s="4">
        <v>1</v>
      </c>
      <c r="H104">
        <v>0</v>
      </c>
      <c r="I104">
        <v>11767</v>
      </c>
      <c r="J104" s="6">
        <v>83.158299999999997</v>
      </c>
      <c r="K104" s="4" t="str">
        <f t="shared" si="1"/>
        <v>High</v>
      </c>
      <c r="L104" t="s">
        <v>175</v>
      </c>
      <c r="M104" s="4" t="s">
        <v>62</v>
      </c>
      <c r="N104" t="s">
        <v>3566</v>
      </c>
      <c r="O104">
        <v>7</v>
      </c>
      <c r="P104" s="4" t="s">
        <v>3573</v>
      </c>
      <c r="Q104" t="s">
        <v>3573</v>
      </c>
      <c r="R104" t="s">
        <v>176</v>
      </c>
    </row>
    <row r="105" spans="1:18">
      <c r="A105" t="s">
        <v>836</v>
      </c>
      <c r="B105" t="s">
        <v>9</v>
      </c>
      <c r="C105" t="s">
        <v>2356</v>
      </c>
      <c r="D105" t="s">
        <v>3551</v>
      </c>
      <c r="E105">
        <v>38</v>
      </c>
      <c r="F105" s="4" t="s">
        <v>3557</v>
      </c>
      <c r="G105" s="4">
        <v>0</v>
      </c>
      <c r="H105">
        <v>0</v>
      </c>
      <c r="I105" t="s">
        <v>64</v>
      </c>
      <c r="J105" s="6">
        <v>227.52500000000001</v>
      </c>
      <c r="K105" s="4" t="str">
        <f t="shared" si="1"/>
        <v>High</v>
      </c>
      <c r="L105" t="s">
        <v>177</v>
      </c>
      <c r="M105" s="4" t="s">
        <v>62</v>
      </c>
      <c r="N105" t="s">
        <v>3566</v>
      </c>
      <c r="O105">
        <v>4</v>
      </c>
      <c r="P105" s="4" t="s">
        <v>3573</v>
      </c>
      <c r="Q105" t="s">
        <v>3573</v>
      </c>
      <c r="R105" t="s">
        <v>53</v>
      </c>
    </row>
    <row r="106" spans="1:18">
      <c r="A106" t="s">
        <v>836</v>
      </c>
      <c r="B106" t="s">
        <v>9</v>
      </c>
      <c r="C106" t="s">
        <v>2357</v>
      </c>
      <c r="D106" t="s">
        <v>3551</v>
      </c>
      <c r="E106">
        <v>54</v>
      </c>
      <c r="F106" s="4" t="s">
        <v>3557</v>
      </c>
      <c r="G106" s="4">
        <v>0</v>
      </c>
      <c r="H106">
        <v>1</v>
      </c>
      <c r="I106">
        <v>36947</v>
      </c>
      <c r="J106" s="6">
        <v>78.2667</v>
      </c>
      <c r="K106" s="4" t="str">
        <f t="shared" si="1"/>
        <v>High</v>
      </c>
      <c r="L106" t="s">
        <v>178</v>
      </c>
      <c r="M106" s="4" t="s">
        <v>59</v>
      </c>
      <c r="N106" t="s">
        <v>3566</v>
      </c>
      <c r="O106">
        <v>4</v>
      </c>
      <c r="P106" s="4" t="s">
        <v>3573</v>
      </c>
      <c r="Q106" t="s">
        <v>3573</v>
      </c>
      <c r="R106" t="s">
        <v>179</v>
      </c>
    </row>
    <row r="107" spans="1:18">
      <c r="A107" t="s">
        <v>836</v>
      </c>
      <c r="B107" t="s">
        <v>840</v>
      </c>
      <c r="C107" t="s">
        <v>2358</v>
      </c>
      <c r="D107" t="s">
        <v>3551</v>
      </c>
      <c r="E107">
        <v>36</v>
      </c>
      <c r="F107" s="4" t="s">
        <v>3557</v>
      </c>
      <c r="G107" s="4">
        <v>0</v>
      </c>
      <c r="H107">
        <v>0</v>
      </c>
      <c r="I107" t="s">
        <v>180</v>
      </c>
      <c r="J107" s="6">
        <v>31.679200000000002</v>
      </c>
      <c r="K107" s="4" t="str">
        <f t="shared" si="1"/>
        <v>Mid</v>
      </c>
      <c r="L107" t="s">
        <v>181</v>
      </c>
      <c r="M107" s="4" t="s">
        <v>78</v>
      </c>
      <c r="N107" t="s">
        <v>3566</v>
      </c>
      <c r="O107" t="s">
        <v>3569</v>
      </c>
      <c r="P107" s="4" t="s">
        <v>3573</v>
      </c>
      <c r="Q107" t="s">
        <v>3573</v>
      </c>
      <c r="R107" t="s">
        <v>53</v>
      </c>
    </row>
    <row r="108" spans="1:18">
      <c r="A108" t="s">
        <v>836</v>
      </c>
      <c r="B108" t="s">
        <v>840</v>
      </c>
      <c r="C108" t="s">
        <v>2359</v>
      </c>
      <c r="D108" t="s">
        <v>3552</v>
      </c>
      <c r="E108">
        <v>28</v>
      </c>
      <c r="F108" s="4" t="s">
        <v>3555</v>
      </c>
      <c r="G108" s="4">
        <v>0</v>
      </c>
      <c r="H108">
        <v>0</v>
      </c>
      <c r="I108" t="s">
        <v>82</v>
      </c>
      <c r="J108" s="6">
        <v>221.7792</v>
      </c>
      <c r="K108" s="4" t="str">
        <f t="shared" si="1"/>
        <v>High</v>
      </c>
      <c r="L108" t="s">
        <v>182</v>
      </c>
      <c r="M108" s="4" t="s">
        <v>62</v>
      </c>
      <c r="N108" t="s">
        <v>457</v>
      </c>
      <c r="O108" t="s">
        <v>3569</v>
      </c>
      <c r="P108" s="4" t="s">
        <v>3573</v>
      </c>
      <c r="Q108" t="s">
        <v>3573</v>
      </c>
    </row>
    <row r="109" spans="1:18">
      <c r="A109" t="s">
        <v>836</v>
      </c>
      <c r="B109" t="s">
        <v>9</v>
      </c>
      <c r="C109" t="s">
        <v>2360</v>
      </c>
      <c r="D109" t="s">
        <v>3551</v>
      </c>
      <c r="E109">
        <v>28</v>
      </c>
      <c r="F109" s="4" t="s">
        <v>3555</v>
      </c>
      <c r="G109" s="4">
        <v>0</v>
      </c>
      <c r="H109">
        <v>0</v>
      </c>
      <c r="I109" t="s">
        <v>183</v>
      </c>
      <c r="J109" s="6">
        <v>31.683299999999999</v>
      </c>
      <c r="K109" s="4" t="str">
        <f t="shared" si="1"/>
        <v>Mid</v>
      </c>
      <c r="L109" t="s">
        <v>3561</v>
      </c>
      <c r="M109" s="4" t="s">
        <v>3561</v>
      </c>
      <c r="N109" t="s">
        <v>457</v>
      </c>
      <c r="O109">
        <v>7</v>
      </c>
      <c r="P109" s="4" t="s">
        <v>3573</v>
      </c>
      <c r="Q109" t="s">
        <v>3573</v>
      </c>
      <c r="R109" t="s">
        <v>53</v>
      </c>
    </row>
    <row r="110" spans="1:18">
      <c r="A110" t="s">
        <v>836</v>
      </c>
      <c r="B110" t="s">
        <v>9</v>
      </c>
      <c r="C110" t="s">
        <v>2361</v>
      </c>
      <c r="D110" t="s">
        <v>3551</v>
      </c>
      <c r="E110">
        <v>28</v>
      </c>
      <c r="F110" s="4" t="s">
        <v>3555</v>
      </c>
      <c r="G110" s="4">
        <v>0</v>
      </c>
      <c r="H110">
        <v>0</v>
      </c>
      <c r="I110">
        <v>17421</v>
      </c>
      <c r="J110" s="6">
        <v>110.88330000000001</v>
      </c>
      <c r="K110" s="4" t="str">
        <f t="shared" si="1"/>
        <v>High</v>
      </c>
      <c r="L110" t="s">
        <v>3561</v>
      </c>
      <c r="M110" s="4" t="s">
        <v>3561</v>
      </c>
      <c r="N110" t="s">
        <v>3566</v>
      </c>
      <c r="O110">
        <v>4</v>
      </c>
      <c r="P110" s="4" t="s">
        <v>3573</v>
      </c>
      <c r="Q110" t="s">
        <v>3573</v>
      </c>
    </row>
    <row r="111" spans="1:18">
      <c r="A111" t="s">
        <v>836</v>
      </c>
      <c r="B111" t="s">
        <v>9</v>
      </c>
      <c r="C111" t="s">
        <v>2362</v>
      </c>
      <c r="D111" t="s">
        <v>3552</v>
      </c>
      <c r="E111">
        <v>36</v>
      </c>
      <c r="F111" s="4" t="s">
        <v>3557</v>
      </c>
      <c r="G111" s="4">
        <v>0</v>
      </c>
      <c r="H111">
        <v>0</v>
      </c>
      <c r="I111" t="s">
        <v>184</v>
      </c>
      <c r="J111" s="6">
        <v>26.387499999999999</v>
      </c>
      <c r="K111" s="4" t="str">
        <f t="shared" si="1"/>
        <v>Mid</v>
      </c>
      <c r="L111" t="s">
        <v>185</v>
      </c>
      <c r="M111" s="4" t="s">
        <v>3564</v>
      </c>
      <c r="N111" t="s">
        <v>457</v>
      </c>
      <c r="O111">
        <v>5</v>
      </c>
      <c r="P111" s="4" t="s">
        <v>3573</v>
      </c>
      <c r="Q111" t="s">
        <v>3573</v>
      </c>
      <c r="R111" t="s">
        <v>186</v>
      </c>
    </row>
    <row r="112" spans="1:18">
      <c r="A112" t="s">
        <v>836</v>
      </c>
      <c r="B112" t="s">
        <v>840</v>
      </c>
      <c r="C112" t="s">
        <v>2363</v>
      </c>
      <c r="D112" t="s">
        <v>3552</v>
      </c>
      <c r="E112">
        <v>30</v>
      </c>
      <c r="F112" s="4" t="s">
        <v>3557</v>
      </c>
      <c r="G112" s="4">
        <v>0</v>
      </c>
      <c r="H112">
        <v>0</v>
      </c>
      <c r="I112">
        <v>113051</v>
      </c>
      <c r="J112" s="6">
        <v>27.75</v>
      </c>
      <c r="K112" s="4" t="str">
        <f t="shared" si="1"/>
        <v>Mid</v>
      </c>
      <c r="L112" t="s">
        <v>187</v>
      </c>
      <c r="M112" s="4" t="s">
        <v>62</v>
      </c>
      <c r="N112" t="s">
        <v>3566</v>
      </c>
      <c r="O112" t="s">
        <v>3569</v>
      </c>
      <c r="P112" s="4" t="s">
        <v>3573</v>
      </c>
      <c r="Q112" t="s">
        <v>3573</v>
      </c>
      <c r="R112" t="s">
        <v>53</v>
      </c>
    </row>
    <row r="113" spans="1:18">
      <c r="A113" t="s">
        <v>836</v>
      </c>
      <c r="B113" t="s">
        <v>9</v>
      </c>
      <c r="C113" t="s">
        <v>2364</v>
      </c>
      <c r="D113" t="s">
        <v>3551</v>
      </c>
      <c r="E113">
        <v>24</v>
      </c>
      <c r="F113" s="4" t="s">
        <v>3555</v>
      </c>
      <c r="G113" s="4">
        <v>2</v>
      </c>
      <c r="H113">
        <v>3</v>
      </c>
      <c r="I113">
        <v>19950</v>
      </c>
      <c r="J113" s="6">
        <v>263</v>
      </c>
      <c r="K113" s="4" t="str">
        <f t="shared" si="1"/>
        <v>High</v>
      </c>
      <c r="L113" t="s">
        <v>188</v>
      </c>
      <c r="M113" s="4" t="s">
        <v>62</v>
      </c>
      <c r="N113" t="s">
        <v>457</v>
      </c>
      <c r="O113">
        <v>10</v>
      </c>
      <c r="P113" s="4" t="s">
        <v>3573</v>
      </c>
      <c r="Q113" t="s">
        <v>3573</v>
      </c>
      <c r="R113" t="s">
        <v>189</v>
      </c>
    </row>
    <row r="114" spans="1:18">
      <c r="A114" t="s">
        <v>836</v>
      </c>
      <c r="B114" t="s">
        <v>9</v>
      </c>
      <c r="C114" t="s">
        <v>2365</v>
      </c>
      <c r="D114" t="s">
        <v>3551</v>
      </c>
      <c r="E114">
        <v>28</v>
      </c>
      <c r="F114" s="4" t="s">
        <v>3555</v>
      </c>
      <c r="G114" s="4">
        <v>2</v>
      </c>
      <c r="H114">
        <v>3</v>
      </c>
      <c r="I114">
        <v>19950</v>
      </c>
      <c r="J114" s="6">
        <v>263</v>
      </c>
      <c r="K114" s="4" t="str">
        <f t="shared" si="1"/>
        <v>High</v>
      </c>
      <c r="L114" t="s">
        <v>188</v>
      </c>
      <c r="M114" s="4" t="s">
        <v>62</v>
      </c>
      <c r="N114" t="s">
        <v>457</v>
      </c>
      <c r="O114">
        <v>10</v>
      </c>
      <c r="P114" s="4" t="s">
        <v>3573</v>
      </c>
      <c r="Q114" t="s">
        <v>3573</v>
      </c>
      <c r="R114" t="s">
        <v>189</v>
      </c>
    </row>
    <row r="115" spans="1:18">
      <c r="A115" t="s">
        <v>836</v>
      </c>
      <c r="B115" t="s">
        <v>9</v>
      </c>
      <c r="C115" t="s">
        <v>2366</v>
      </c>
      <c r="D115" t="s">
        <v>3551</v>
      </c>
      <c r="E115">
        <v>23</v>
      </c>
      <c r="F115" s="4" t="s">
        <v>3555</v>
      </c>
      <c r="G115" s="4">
        <v>2</v>
      </c>
      <c r="H115">
        <v>3</v>
      </c>
      <c r="I115">
        <v>19950</v>
      </c>
      <c r="J115" s="6">
        <v>263</v>
      </c>
      <c r="K115" s="4" t="str">
        <f t="shared" si="1"/>
        <v>High</v>
      </c>
      <c r="L115" t="s">
        <v>188</v>
      </c>
      <c r="M115" s="4" t="s">
        <v>62</v>
      </c>
      <c r="N115" t="s">
        <v>457</v>
      </c>
      <c r="O115">
        <v>10</v>
      </c>
      <c r="P115" s="4" t="s">
        <v>3573</v>
      </c>
      <c r="Q115" t="s">
        <v>3573</v>
      </c>
      <c r="R115" t="s">
        <v>189</v>
      </c>
    </row>
    <row r="116" spans="1:18">
      <c r="A116" t="s">
        <v>836</v>
      </c>
      <c r="B116" t="s">
        <v>840</v>
      </c>
      <c r="C116" t="s">
        <v>2367</v>
      </c>
      <c r="D116" t="s">
        <v>3552</v>
      </c>
      <c r="E116">
        <v>19</v>
      </c>
      <c r="F116" s="4" t="s">
        <v>3555</v>
      </c>
      <c r="G116" s="4">
        <v>2</v>
      </c>
      <c r="H116">
        <v>3</v>
      </c>
      <c r="I116">
        <v>19950</v>
      </c>
      <c r="J116" s="6">
        <v>263</v>
      </c>
      <c r="K116" s="4" t="str">
        <f t="shared" si="1"/>
        <v>High</v>
      </c>
      <c r="L116" t="s">
        <v>188</v>
      </c>
      <c r="M116" s="4" t="s">
        <v>62</v>
      </c>
      <c r="N116" t="s">
        <v>457</v>
      </c>
      <c r="O116" t="s">
        <v>3569</v>
      </c>
      <c r="P116" s="4" t="s">
        <v>3573</v>
      </c>
      <c r="Q116" t="s">
        <v>3573</v>
      </c>
      <c r="R116" t="s">
        <v>189</v>
      </c>
    </row>
    <row r="117" spans="1:18">
      <c r="A117" t="s">
        <v>836</v>
      </c>
      <c r="B117" t="s">
        <v>840</v>
      </c>
      <c r="C117" t="s">
        <v>2368</v>
      </c>
      <c r="D117" t="s">
        <v>3552</v>
      </c>
      <c r="E117">
        <v>64</v>
      </c>
      <c r="F117" s="4" t="s">
        <v>3559</v>
      </c>
      <c r="G117" s="4">
        <v>4</v>
      </c>
      <c r="H117">
        <v>1</v>
      </c>
      <c r="I117">
        <v>19950</v>
      </c>
      <c r="J117" s="6">
        <v>263</v>
      </c>
      <c r="K117" s="4" t="str">
        <f t="shared" si="1"/>
        <v>High</v>
      </c>
      <c r="L117" t="s">
        <v>188</v>
      </c>
      <c r="M117" s="4" t="s">
        <v>62</v>
      </c>
      <c r="N117" t="s">
        <v>457</v>
      </c>
      <c r="O117" t="s">
        <v>3569</v>
      </c>
      <c r="P117" s="4" t="s">
        <v>3573</v>
      </c>
      <c r="Q117" t="s">
        <v>3573</v>
      </c>
      <c r="R117" t="s">
        <v>189</v>
      </c>
    </row>
    <row r="118" spans="1:18">
      <c r="A118" t="s">
        <v>836</v>
      </c>
      <c r="B118" t="s">
        <v>9</v>
      </c>
      <c r="C118" t="s">
        <v>2369</v>
      </c>
      <c r="D118" t="s">
        <v>3551</v>
      </c>
      <c r="E118">
        <v>60</v>
      </c>
      <c r="F118" s="4" t="s">
        <v>3559</v>
      </c>
      <c r="G118" s="4">
        <v>4</v>
      </c>
      <c r="H118">
        <v>1</v>
      </c>
      <c r="I118">
        <v>19950</v>
      </c>
      <c r="J118" s="6">
        <v>263</v>
      </c>
      <c r="K118" s="4" t="str">
        <f t="shared" si="1"/>
        <v>High</v>
      </c>
      <c r="L118" t="s">
        <v>188</v>
      </c>
      <c r="M118" s="4" t="s">
        <v>62</v>
      </c>
      <c r="N118" t="s">
        <v>457</v>
      </c>
      <c r="O118">
        <v>10</v>
      </c>
      <c r="P118" s="4" t="s">
        <v>3573</v>
      </c>
      <c r="Q118" t="s">
        <v>3573</v>
      </c>
      <c r="R118" t="s">
        <v>189</v>
      </c>
    </row>
    <row r="119" spans="1:18">
      <c r="A119" t="s">
        <v>836</v>
      </c>
      <c r="B119" t="s">
        <v>9</v>
      </c>
      <c r="C119" t="s">
        <v>2370</v>
      </c>
      <c r="D119" t="s">
        <v>3551</v>
      </c>
      <c r="E119">
        <v>30</v>
      </c>
      <c r="F119" s="4" t="s">
        <v>3557</v>
      </c>
      <c r="G119" s="4">
        <v>0</v>
      </c>
      <c r="H119">
        <v>0</v>
      </c>
      <c r="I119" t="s">
        <v>171</v>
      </c>
      <c r="J119" s="6">
        <v>56.929200000000002</v>
      </c>
      <c r="K119" s="4" t="str">
        <f t="shared" si="1"/>
        <v>High</v>
      </c>
      <c r="L119" t="s">
        <v>190</v>
      </c>
      <c r="M119" s="4" t="s">
        <v>3564</v>
      </c>
      <c r="N119" t="s">
        <v>3566</v>
      </c>
      <c r="O119">
        <v>1</v>
      </c>
      <c r="P119" s="4" t="s">
        <v>3573</v>
      </c>
      <c r="Q119" t="s">
        <v>3573</v>
      </c>
    </row>
    <row r="120" spans="1:18">
      <c r="A120" t="s">
        <v>836</v>
      </c>
      <c r="B120" t="s">
        <v>840</v>
      </c>
      <c r="C120" t="s">
        <v>2371</v>
      </c>
      <c r="D120" t="s">
        <v>3552</v>
      </c>
      <c r="E120">
        <v>28</v>
      </c>
      <c r="F120" s="4" t="s">
        <v>3555</v>
      </c>
      <c r="G120" s="4">
        <v>0</v>
      </c>
      <c r="H120">
        <v>0</v>
      </c>
      <c r="I120">
        <v>113778</v>
      </c>
      <c r="J120" s="6">
        <v>26.55</v>
      </c>
      <c r="K120" s="4" t="str">
        <f t="shared" si="1"/>
        <v>Mid</v>
      </c>
      <c r="L120" t="s">
        <v>191</v>
      </c>
      <c r="M120" s="4" t="s">
        <v>59</v>
      </c>
      <c r="N120" t="s">
        <v>457</v>
      </c>
      <c r="O120" t="s">
        <v>3569</v>
      </c>
      <c r="P120" s="4" t="s">
        <v>3573</v>
      </c>
      <c r="Q120" t="s">
        <v>3573</v>
      </c>
      <c r="R120" t="s">
        <v>192</v>
      </c>
    </row>
    <row r="121" spans="1:18">
      <c r="A121" t="s">
        <v>836</v>
      </c>
      <c r="B121" t="s">
        <v>9</v>
      </c>
      <c r="C121" t="s">
        <v>2372</v>
      </c>
      <c r="D121" t="s">
        <v>3552</v>
      </c>
      <c r="E121">
        <v>50</v>
      </c>
      <c r="F121" s="4" t="s">
        <v>3557</v>
      </c>
      <c r="G121" s="4">
        <v>0</v>
      </c>
      <c r="H121">
        <v>2</v>
      </c>
      <c r="I121" t="s">
        <v>193</v>
      </c>
      <c r="J121" s="6">
        <v>133.65</v>
      </c>
      <c r="K121" s="4" t="str">
        <f t="shared" si="1"/>
        <v>High</v>
      </c>
      <c r="L121" t="s">
        <v>3561</v>
      </c>
      <c r="M121" s="4" t="s">
        <v>3561</v>
      </c>
      <c r="N121" t="s">
        <v>457</v>
      </c>
      <c r="O121">
        <v>5</v>
      </c>
      <c r="P121" s="4" t="s">
        <v>3573</v>
      </c>
      <c r="Q121" t="s">
        <v>3573</v>
      </c>
      <c r="R121" t="s">
        <v>53</v>
      </c>
    </row>
    <row r="122" spans="1:18">
      <c r="A122" t="s">
        <v>836</v>
      </c>
      <c r="B122" t="s">
        <v>9</v>
      </c>
      <c r="C122" t="s">
        <v>2373</v>
      </c>
      <c r="D122" t="s">
        <v>3552</v>
      </c>
      <c r="E122">
        <v>43</v>
      </c>
      <c r="F122" s="4" t="s">
        <v>3557</v>
      </c>
      <c r="G122" s="4">
        <v>0</v>
      </c>
      <c r="H122">
        <v>1</v>
      </c>
      <c r="I122">
        <v>17765</v>
      </c>
      <c r="J122" s="6">
        <v>27.720800000000001</v>
      </c>
      <c r="K122" s="4" t="str">
        <f t="shared" si="1"/>
        <v>Mid</v>
      </c>
      <c r="L122" t="s">
        <v>194</v>
      </c>
      <c r="M122" s="4" t="s">
        <v>59</v>
      </c>
      <c r="N122" t="s">
        <v>3566</v>
      </c>
      <c r="O122">
        <v>5</v>
      </c>
      <c r="P122" s="4" t="s">
        <v>3573</v>
      </c>
      <c r="Q122" t="s">
        <v>3573</v>
      </c>
      <c r="R122" t="s">
        <v>53</v>
      </c>
    </row>
    <row r="123" spans="1:18">
      <c r="A123" t="s">
        <v>836</v>
      </c>
      <c r="B123" t="s">
        <v>9</v>
      </c>
      <c r="C123" t="s">
        <v>2374</v>
      </c>
      <c r="D123" t="s">
        <v>3551</v>
      </c>
      <c r="E123">
        <v>28</v>
      </c>
      <c r="F123" s="4" t="s">
        <v>3555</v>
      </c>
      <c r="G123" s="4">
        <v>0</v>
      </c>
      <c r="H123">
        <v>1</v>
      </c>
      <c r="I123" t="s">
        <v>193</v>
      </c>
      <c r="J123" s="6">
        <v>133.65</v>
      </c>
      <c r="K123" s="4" t="str">
        <f t="shared" si="1"/>
        <v>High</v>
      </c>
      <c r="L123" t="s">
        <v>3561</v>
      </c>
      <c r="M123" s="4" t="s">
        <v>3561</v>
      </c>
      <c r="N123" t="s">
        <v>457</v>
      </c>
      <c r="O123">
        <v>5</v>
      </c>
      <c r="P123" s="4" t="s">
        <v>3573</v>
      </c>
      <c r="Q123" t="s">
        <v>3573</v>
      </c>
      <c r="R123" t="s">
        <v>53</v>
      </c>
    </row>
    <row r="124" spans="1:18">
      <c r="A124" t="s">
        <v>836</v>
      </c>
      <c r="B124" t="s">
        <v>9</v>
      </c>
      <c r="C124" t="s">
        <v>2375</v>
      </c>
      <c r="D124" t="s">
        <v>3551</v>
      </c>
      <c r="E124">
        <v>22</v>
      </c>
      <c r="F124" s="4" t="s">
        <v>3555</v>
      </c>
      <c r="G124" s="4">
        <v>2</v>
      </c>
      <c r="H124">
        <v>0</v>
      </c>
      <c r="I124">
        <v>13568</v>
      </c>
      <c r="J124" s="6">
        <v>49.5</v>
      </c>
      <c r="K124" s="4" t="str">
        <f t="shared" si="1"/>
        <v>Mid</v>
      </c>
      <c r="L124" t="s">
        <v>195</v>
      </c>
      <c r="M124" s="4" t="s">
        <v>70</v>
      </c>
      <c r="N124" t="s">
        <v>3566</v>
      </c>
      <c r="O124">
        <v>5</v>
      </c>
      <c r="P124" s="4" t="s">
        <v>3573</v>
      </c>
      <c r="Q124" t="s">
        <v>3573</v>
      </c>
      <c r="R124" t="s">
        <v>196</v>
      </c>
    </row>
    <row r="125" spans="1:18">
      <c r="A125" t="s">
        <v>836</v>
      </c>
      <c r="B125" t="s">
        <v>9</v>
      </c>
      <c r="C125" t="s">
        <v>2376</v>
      </c>
      <c r="D125" t="s">
        <v>3552</v>
      </c>
      <c r="E125">
        <v>60</v>
      </c>
      <c r="F125" s="4" t="s">
        <v>3559</v>
      </c>
      <c r="G125" s="4">
        <v>1</v>
      </c>
      <c r="H125">
        <v>1</v>
      </c>
      <c r="I125">
        <v>13567</v>
      </c>
      <c r="J125" s="6">
        <v>79.2</v>
      </c>
      <c r="K125" s="4" t="str">
        <f t="shared" si="1"/>
        <v>High</v>
      </c>
      <c r="L125" t="s">
        <v>197</v>
      </c>
      <c r="M125" s="4" t="s">
        <v>70</v>
      </c>
      <c r="N125" t="s">
        <v>3566</v>
      </c>
      <c r="O125">
        <v>5</v>
      </c>
      <c r="P125" s="4" t="s">
        <v>3573</v>
      </c>
      <c r="Q125" t="s">
        <v>3573</v>
      </c>
      <c r="R125" t="s">
        <v>196</v>
      </c>
    </row>
    <row r="126" spans="1:18">
      <c r="A126" t="s">
        <v>836</v>
      </c>
      <c r="B126" t="s">
        <v>9</v>
      </c>
      <c r="C126" t="s">
        <v>2377</v>
      </c>
      <c r="D126" t="s">
        <v>3551</v>
      </c>
      <c r="E126">
        <v>48</v>
      </c>
      <c r="F126" s="4" t="s">
        <v>3557</v>
      </c>
      <c r="G126" s="4">
        <v>1</v>
      </c>
      <c r="H126">
        <v>1</v>
      </c>
      <c r="I126">
        <v>13567</v>
      </c>
      <c r="J126" s="6">
        <v>79.2</v>
      </c>
      <c r="K126" s="4" t="str">
        <f t="shared" si="1"/>
        <v>High</v>
      </c>
      <c r="L126" t="s">
        <v>197</v>
      </c>
      <c r="M126" s="4" t="s">
        <v>70</v>
      </c>
      <c r="N126" t="s">
        <v>3566</v>
      </c>
      <c r="O126">
        <v>5</v>
      </c>
      <c r="P126" s="4" t="s">
        <v>3573</v>
      </c>
      <c r="Q126" t="s">
        <v>3573</v>
      </c>
      <c r="R126" t="s">
        <v>196</v>
      </c>
    </row>
    <row r="127" spans="1:18">
      <c r="A127" t="s">
        <v>836</v>
      </c>
      <c r="B127" t="s">
        <v>840</v>
      </c>
      <c r="C127" t="s">
        <v>2378</v>
      </c>
      <c r="D127" t="s">
        <v>3552</v>
      </c>
      <c r="E127">
        <v>28</v>
      </c>
      <c r="F127" s="4" t="s">
        <v>3555</v>
      </c>
      <c r="G127" s="4">
        <v>0</v>
      </c>
      <c r="H127">
        <v>0</v>
      </c>
      <c r="I127">
        <v>112058</v>
      </c>
      <c r="J127" s="6">
        <v>0</v>
      </c>
      <c r="K127" s="4" t="str">
        <f t="shared" si="1"/>
        <v>Low</v>
      </c>
      <c r="L127" t="s">
        <v>198</v>
      </c>
      <c r="M127" s="4" t="s">
        <v>70</v>
      </c>
      <c r="N127" t="s">
        <v>457</v>
      </c>
      <c r="O127" t="s">
        <v>3569</v>
      </c>
      <c r="P127" s="4" t="s">
        <v>3573</v>
      </c>
      <c r="Q127" t="s">
        <v>3573</v>
      </c>
    </row>
    <row r="128" spans="1:18">
      <c r="A128" t="s">
        <v>836</v>
      </c>
      <c r="B128" t="s">
        <v>840</v>
      </c>
      <c r="C128" t="s">
        <v>2379</v>
      </c>
      <c r="D128" t="s">
        <v>3552</v>
      </c>
      <c r="E128">
        <v>37</v>
      </c>
      <c r="F128" s="4" t="s">
        <v>3557</v>
      </c>
      <c r="G128" s="4">
        <v>0</v>
      </c>
      <c r="H128">
        <v>1</v>
      </c>
      <c r="I128">
        <v>113803</v>
      </c>
      <c r="J128" s="6">
        <v>53.1</v>
      </c>
      <c r="K128" s="4" t="str">
        <f t="shared" si="1"/>
        <v>High</v>
      </c>
      <c r="L128" t="s">
        <v>199</v>
      </c>
      <c r="M128" s="4" t="s">
        <v>62</v>
      </c>
      <c r="N128" t="s">
        <v>457</v>
      </c>
      <c r="O128" t="s">
        <v>3569</v>
      </c>
      <c r="P128" s="4" t="s">
        <v>3573</v>
      </c>
      <c r="Q128" t="s">
        <v>3573</v>
      </c>
      <c r="R128" t="s">
        <v>200</v>
      </c>
    </row>
    <row r="129" spans="1:18">
      <c r="A129" t="s">
        <v>836</v>
      </c>
      <c r="B129" t="s">
        <v>9</v>
      </c>
      <c r="C129" t="s">
        <v>2380</v>
      </c>
      <c r="D129" t="s">
        <v>3551</v>
      </c>
      <c r="E129">
        <v>35</v>
      </c>
      <c r="F129" s="4" t="s">
        <v>3557</v>
      </c>
      <c r="G129" s="4">
        <v>0</v>
      </c>
      <c r="H129">
        <v>1</v>
      </c>
      <c r="I129">
        <v>113803</v>
      </c>
      <c r="J129" s="6">
        <v>53.1</v>
      </c>
      <c r="K129" s="4" t="str">
        <f t="shared" si="1"/>
        <v>High</v>
      </c>
      <c r="L129" t="s">
        <v>199</v>
      </c>
      <c r="M129" s="4" t="s">
        <v>62</v>
      </c>
      <c r="N129" t="s">
        <v>457</v>
      </c>
      <c r="O129" t="s">
        <v>59</v>
      </c>
      <c r="P129" s="4" t="s">
        <v>3573</v>
      </c>
      <c r="Q129" t="s">
        <v>3573</v>
      </c>
      <c r="R129" t="s">
        <v>200</v>
      </c>
    </row>
    <row r="130" spans="1:18">
      <c r="A130" t="s">
        <v>836</v>
      </c>
      <c r="B130" t="s">
        <v>840</v>
      </c>
      <c r="C130" t="s">
        <v>2381</v>
      </c>
      <c r="D130" t="s">
        <v>3552</v>
      </c>
      <c r="E130">
        <v>47</v>
      </c>
      <c r="F130" s="4" t="s">
        <v>3557</v>
      </c>
      <c r="G130" s="4">
        <v>0</v>
      </c>
      <c r="H130">
        <v>0</v>
      </c>
      <c r="I130">
        <v>111320</v>
      </c>
      <c r="J130" s="6">
        <v>38.5</v>
      </c>
      <c r="K130" s="4" t="str">
        <f t="shared" si="1"/>
        <v>Mid</v>
      </c>
      <c r="L130" t="s">
        <v>201</v>
      </c>
      <c r="M130" s="4" t="s">
        <v>3564</v>
      </c>
      <c r="N130" t="s">
        <v>457</v>
      </c>
      <c r="O130" t="s">
        <v>3569</v>
      </c>
      <c r="P130" s="4">
        <v>275</v>
      </c>
      <c r="Q130" t="s">
        <v>3574</v>
      </c>
      <c r="R130" t="s">
        <v>202</v>
      </c>
    </row>
    <row r="131" spans="1:18">
      <c r="A131" t="s">
        <v>836</v>
      </c>
      <c r="B131" t="s">
        <v>9</v>
      </c>
      <c r="C131" t="s">
        <v>2382</v>
      </c>
      <c r="D131" t="s">
        <v>3551</v>
      </c>
      <c r="E131">
        <v>35</v>
      </c>
      <c r="F131" s="4" t="s">
        <v>3557</v>
      </c>
      <c r="G131" s="4">
        <v>0</v>
      </c>
      <c r="H131">
        <v>0</v>
      </c>
      <c r="I131">
        <v>113503</v>
      </c>
      <c r="J131" s="6">
        <v>211.5</v>
      </c>
      <c r="K131" s="4" t="str">
        <f t="shared" ref="K131:K194" si="2">IF(J131&lt;=10,"Low",IF(J131&lt;=50,"Mid","High"))</f>
        <v>High</v>
      </c>
      <c r="L131" t="s">
        <v>203</v>
      </c>
      <c r="M131" s="4" t="s">
        <v>62</v>
      </c>
      <c r="N131" t="s">
        <v>3566</v>
      </c>
      <c r="O131">
        <v>4</v>
      </c>
      <c r="P131" s="4" t="s">
        <v>3573</v>
      </c>
      <c r="Q131" t="s">
        <v>3573</v>
      </c>
    </row>
    <row r="132" spans="1:18">
      <c r="A132" t="s">
        <v>836</v>
      </c>
      <c r="B132" t="s">
        <v>9</v>
      </c>
      <c r="C132" t="s">
        <v>2383</v>
      </c>
      <c r="D132" t="s">
        <v>3551</v>
      </c>
      <c r="E132">
        <v>22</v>
      </c>
      <c r="F132" s="4" t="s">
        <v>3555</v>
      </c>
      <c r="G132" s="4">
        <v>1</v>
      </c>
      <c r="H132">
        <v>0</v>
      </c>
      <c r="I132">
        <v>112378</v>
      </c>
      <c r="J132" s="6">
        <v>59.4</v>
      </c>
      <c r="K132" s="4" t="str">
        <f t="shared" si="2"/>
        <v>High</v>
      </c>
      <c r="L132" t="s">
        <v>3561</v>
      </c>
      <c r="M132" s="4" t="s">
        <v>3561</v>
      </c>
      <c r="N132" t="s">
        <v>3566</v>
      </c>
      <c r="O132">
        <v>7</v>
      </c>
      <c r="P132" s="4" t="s">
        <v>3573</v>
      </c>
      <c r="Q132" t="s">
        <v>3573</v>
      </c>
      <c r="R132" t="s">
        <v>53</v>
      </c>
    </row>
    <row r="133" spans="1:18">
      <c r="A133" t="s">
        <v>836</v>
      </c>
      <c r="B133" t="s">
        <v>9</v>
      </c>
      <c r="C133" t="s">
        <v>2384</v>
      </c>
      <c r="D133" t="s">
        <v>3551</v>
      </c>
      <c r="E133">
        <v>45</v>
      </c>
      <c r="F133" s="4" t="s">
        <v>3557</v>
      </c>
      <c r="G133" s="4">
        <v>1</v>
      </c>
      <c r="H133">
        <v>0</v>
      </c>
      <c r="I133">
        <v>112378</v>
      </c>
      <c r="J133" s="6">
        <v>59.4</v>
      </c>
      <c r="K133" s="4" t="str">
        <f t="shared" si="2"/>
        <v>High</v>
      </c>
      <c r="L133" t="s">
        <v>3561</v>
      </c>
      <c r="M133" s="4" t="s">
        <v>3561</v>
      </c>
      <c r="N133" t="s">
        <v>3566</v>
      </c>
      <c r="O133">
        <v>7</v>
      </c>
      <c r="P133" s="4" t="s">
        <v>3573</v>
      </c>
      <c r="Q133" t="s">
        <v>3573</v>
      </c>
      <c r="R133" t="s">
        <v>53</v>
      </c>
    </row>
    <row r="134" spans="1:18">
      <c r="A134" t="s">
        <v>836</v>
      </c>
      <c r="B134" t="s">
        <v>840</v>
      </c>
      <c r="C134" t="s">
        <v>2385</v>
      </c>
      <c r="D134" t="s">
        <v>3552</v>
      </c>
      <c r="E134">
        <v>24</v>
      </c>
      <c r="F134" s="4" t="s">
        <v>3555</v>
      </c>
      <c r="G134" s="4">
        <v>0</v>
      </c>
      <c r="H134">
        <v>0</v>
      </c>
      <c r="I134" t="s">
        <v>204</v>
      </c>
      <c r="J134" s="6">
        <v>79.2</v>
      </c>
      <c r="K134" s="4" t="str">
        <f t="shared" si="2"/>
        <v>High</v>
      </c>
      <c r="L134" t="s">
        <v>205</v>
      </c>
      <c r="M134" s="4" t="s">
        <v>70</v>
      </c>
      <c r="N134" t="s">
        <v>3566</v>
      </c>
      <c r="O134" t="s">
        <v>3569</v>
      </c>
      <c r="P134" s="4" t="s">
        <v>3573</v>
      </c>
      <c r="Q134" t="s">
        <v>3573</v>
      </c>
    </row>
    <row r="135" spans="1:18">
      <c r="A135" t="s">
        <v>836</v>
      </c>
      <c r="B135" t="s">
        <v>9</v>
      </c>
      <c r="C135" t="s">
        <v>2386</v>
      </c>
      <c r="D135" t="s">
        <v>3552</v>
      </c>
      <c r="E135">
        <v>49</v>
      </c>
      <c r="F135" s="4" t="s">
        <v>3557</v>
      </c>
      <c r="G135" s="4">
        <v>0</v>
      </c>
      <c r="H135">
        <v>1</v>
      </c>
      <c r="I135">
        <v>17453</v>
      </c>
      <c r="J135" s="6">
        <v>89.104200000000006</v>
      </c>
      <c r="K135" s="4" t="str">
        <f t="shared" si="2"/>
        <v>High</v>
      </c>
      <c r="L135" t="s">
        <v>206</v>
      </c>
      <c r="M135" s="4" t="s">
        <v>62</v>
      </c>
      <c r="N135" t="s">
        <v>3566</v>
      </c>
      <c r="O135">
        <v>5</v>
      </c>
      <c r="P135" s="4" t="s">
        <v>3573</v>
      </c>
      <c r="Q135" t="s">
        <v>3573</v>
      </c>
      <c r="R135" t="s">
        <v>207</v>
      </c>
    </row>
    <row r="136" spans="1:18">
      <c r="A136" t="s">
        <v>836</v>
      </c>
      <c r="B136" t="s">
        <v>9</v>
      </c>
      <c r="C136" t="s">
        <v>2387</v>
      </c>
      <c r="D136" t="s">
        <v>3551</v>
      </c>
      <c r="E136">
        <v>28</v>
      </c>
      <c r="F136" s="4" t="s">
        <v>3555</v>
      </c>
      <c r="G136" s="4">
        <v>0</v>
      </c>
      <c r="H136">
        <v>1</v>
      </c>
      <c r="I136">
        <v>17453</v>
      </c>
      <c r="J136" s="6">
        <v>89.104200000000006</v>
      </c>
      <c r="K136" s="4" t="str">
        <f t="shared" si="2"/>
        <v>High</v>
      </c>
      <c r="L136" t="s">
        <v>206</v>
      </c>
      <c r="M136" s="4" t="s">
        <v>62</v>
      </c>
      <c r="N136" t="s">
        <v>3566</v>
      </c>
      <c r="O136">
        <v>5</v>
      </c>
      <c r="P136" s="4" t="s">
        <v>3573</v>
      </c>
      <c r="Q136" t="s">
        <v>3573</v>
      </c>
      <c r="R136" t="s">
        <v>207</v>
      </c>
    </row>
    <row r="137" spans="1:18">
      <c r="A137" t="s">
        <v>836</v>
      </c>
      <c r="B137" t="s">
        <v>840</v>
      </c>
      <c r="C137" t="s">
        <v>2388</v>
      </c>
      <c r="D137" t="s">
        <v>3552</v>
      </c>
      <c r="E137">
        <v>71</v>
      </c>
      <c r="F137" s="4" t="s">
        <v>3559</v>
      </c>
      <c r="G137" s="4">
        <v>0</v>
      </c>
      <c r="H137">
        <v>0</v>
      </c>
      <c r="I137" t="s">
        <v>208</v>
      </c>
      <c r="J137" s="6">
        <v>34.654200000000003</v>
      </c>
      <c r="K137" s="4" t="str">
        <f t="shared" si="2"/>
        <v>Mid</v>
      </c>
      <c r="L137" t="s">
        <v>209</v>
      </c>
      <c r="M137" s="4" t="s">
        <v>78</v>
      </c>
      <c r="N137" t="s">
        <v>3566</v>
      </c>
      <c r="O137" t="s">
        <v>3569</v>
      </c>
      <c r="P137" s="4" t="s">
        <v>3573</v>
      </c>
      <c r="Q137" t="s">
        <v>3573</v>
      </c>
      <c r="R137" t="s">
        <v>53</v>
      </c>
    </row>
    <row r="138" spans="1:18">
      <c r="A138" t="s">
        <v>836</v>
      </c>
      <c r="B138" t="s">
        <v>9</v>
      </c>
      <c r="C138" t="s">
        <v>2389</v>
      </c>
      <c r="D138" t="s">
        <v>3552</v>
      </c>
      <c r="E138">
        <v>53</v>
      </c>
      <c r="F138" s="4" t="s">
        <v>3557</v>
      </c>
      <c r="G138" s="4">
        <v>0</v>
      </c>
      <c r="H138">
        <v>0</v>
      </c>
      <c r="I138">
        <v>113780</v>
      </c>
      <c r="J138" s="6">
        <v>28.5</v>
      </c>
      <c r="K138" s="4" t="str">
        <f t="shared" si="2"/>
        <v>Mid</v>
      </c>
      <c r="L138" t="s">
        <v>210</v>
      </c>
      <c r="M138" s="4" t="s">
        <v>62</v>
      </c>
      <c r="N138" t="s">
        <v>3566</v>
      </c>
      <c r="O138" t="s">
        <v>70</v>
      </c>
      <c r="P138" s="4" t="s">
        <v>3573</v>
      </c>
      <c r="Q138" t="s">
        <v>3573</v>
      </c>
      <c r="R138" t="s">
        <v>118</v>
      </c>
    </row>
    <row r="139" spans="1:18">
      <c r="A139" t="s">
        <v>836</v>
      </c>
      <c r="B139" t="s">
        <v>9</v>
      </c>
      <c r="C139" t="s">
        <v>2390</v>
      </c>
      <c r="D139" t="s">
        <v>3551</v>
      </c>
      <c r="E139">
        <v>19</v>
      </c>
      <c r="F139" s="4" t="s">
        <v>3555</v>
      </c>
      <c r="G139" s="4">
        <v>0</v>
      </c>
      <c r="H139">
        <v>0</v>
      </c>
      <c r="I139">
        <v>112053</v>
      </c>
      <c r="J139" s="6">
        <v>30</v>
      </c>
      <c r="K139" s="4" t="str">
        <f t="shared" si="2"/>
        <v>Mid</v>
      </c>
      <c r="L139" t="s">
        <v>211</v>
      </c>
      <c r="M139" s="4" t="s">
        <v>70</v>
      </c>
      <c r="N139" t="s">
        <v>457</v>
      </c>
      <c r="O139">
        <v>3</v>
      </c>
      <c r="P139" s="4" t="s">
        <v>3573</v>
      </c>
      <c r="Q139" t="s">
        <v>3573</v>
      </c>
      <c r="R139" t="s">
        <v>212</v>
      </c>
    </row>
    <row r="140" spans="1:18">
      <c r="A140" t="s">
        <v>836</v>
      </c>
      <c r="B140" t="s">
        <v>840</v>
      </c>
      <c r="C140" t="s">
        <v>2391</v>
      </c>
      <c r="D140" t="s">
        <v>3552</v>
      </c>
      <c r="E140">
        <v>38</v>
      </c>
      <c r="F140" s="4" t="s">
        <v>3557</v>
      </c>
      <c r="G140" s="4">
        <v>1</v>
      </c>
      <c r="H140">
        <v>0</v>
      </c>
      <c r="I140" t="s">
        <v>213</v>
      </c>
      <c r="J140" s="6">
        <v>153.46250000000001</v>
      </c>
      <c r="K140" s="4" t="str">
        <f t="shared" si="2"/>
        <v>High</v>
      </c>
      <c r="L140" t="s">
        <v>214</v>
      </c>
      <c r="M140" s="4" t="s">
        <v>62</v>
      </c>
      <c r="N140" t="s">
        <v>457</v>
      </c>
      <c r="O140" t="s">
        <v>3569</v>
      </c>
      <c r="P140" s="4">
        <v>147</v>
      </c>
      <c r="Q140" t="s">
        <v>3574</v>
      </c>
      <c r="R140" t="s">
        <v>189</v>
      </c>
    </row>
    <row r="141" spans="1:18">
      <c r="A141" t="s">
        <v>836</v>
      </c>
      <c r="B141" t="s">
        <v>9</v>
      </c>
      <c r="C141" t="s">
        <v>2392</v>
      </c>
      <c r="D141" t="s">
        <v>3551</v>
      </c>
      <c r="E141">
        <v>58</v>
      </c>
      <c r="F141" s="4" t="s">
        <v>3557</v>
      </c>
      <c r="G141" s="4">
        <v>1</v>
      </c>
      <c r="H141">
        <v>0</v>
      </c>
      <c r="I141" t="s">
        <v>213</v>
      </c>
      <c r="J141" s="6">
        <v>153.46250000000001</v>
      </c>
      <c r="K141" s="4" t="str">
        <f t="shared" si="2"/>
        <v>High</v>
      </c>
      <c r="L141" t="s">
        <v>215</v>
      </c>
      <c r="M141" s="4" t="s">
        <v>62</v>
      </c>
      <c r="N141" t="s">
        <v>457</v>
      </c>
      <c r="O141">
        <v>3</v>
      </c>
      <c r="P141" s="4" t="s">
        <v>3573</v>
      </c>
      <c r="Q141" t="s">
        <v>3573</v>
      </c>
      <c r="R141" t="s">
        <v>212</v>
      </c>
    </row>
    <row r="142" spans="1:18">
      <c r="A142" t="s">
        <v>836</v>
      </c>
      <c r="B142" t="s">
        <v>9</v>
      </c>
      <c r="C142" t="s">
        <v>2393</v>
      </c>
      <c r="D142" t="s">
        <v>3552</v>
      </c>
      <c r="E142">
        <v>23</v>
      </c>
      <c r="F142" s="4" t="s">
        <v>3555</v>
      </c>
      <c r="G142" s="4">
        <v>1</v>
      </c>
      <c r="H142">
        <v>0</v>
      </c>
      <c r="I142" t="s">
        <v>216</v>
      </c>
      <c r="J142" s="6">
        <v>63.3583</v>
      </c>
      <c r="K142" s="4" t="str">
        <f t="shared" si="2"/>
        <v>High</v>
      </c>
      <c r="L142" t="s">
        <v>217</v>
      </c>
      <c r="M142" s="4" t="s">
        <v>59</v>
      </c>
      <c r="N142" t="s">
        <v>3566</v>
      </c>
      <c r="O142">
        <v>7</v>
      </c>
      <c r="P142" s="4" t="s">
        <v>3573</v>
      </c>
      <c r="Q142" t="s">
        <v>3573</v>
      </c>
      <c r="R142" t="s">
        <v>53</v>
      </c>
    </row>
    <row r="143" spans="1:18">
      <c r="A143" t="s">
        <v>836</v>
      </c>
      <c r="B143" t="s">
        <v>9</v>
      </c>
      <c r="C143" t="s">
        <v>2394</v>
      </c>
      <c r="D143" t="s">
        <v>3551</v>
      </c>
      <c r="E143">
        <v>45</v>
      </c>
      <c r="F143" s="4" t="s">
        <v>3557</v>
      </c>
      <c r="G143" s="4">
        <v>1</v>
      </c>
      <c r="H143">
        <v>0</v>
      </c>
      <c r="I143" t="s">
        <v>216</v>
      </c>
      <c r="J143" s="6">
        <v>63.3583</v>
      </c>
      <c r="K143" s="4" t="str">
        <f t="shared" si="2"/>
        <v>High</v>
      </c>
      <c r="L143" t="s">
        <v>217</v>
      </c>
      <c r="M143" s="4" t="s">
        <v>59</v>
      </c>
      <c r="N143" t="s">
        <v>3566</v>
      </c>
      <c r="O143">
        <v>7</v>
      </c>
      <c r="P143" s="4" t="s">
        <v>3573</v>
      </c>
      <c r="Q143" t="s">
        <v>3573</v>
      </c>
      <c r="R143" t="s">
        <v>53</v>
      </c>
    </row>
    <row r="144" spans="1:18">
      <c r="A144" t="s">
        <v>836</v>
      </c>
      <c r="B144" t="s">
        <v>840</v>
      </c>
      <c r="C144" t="s">
        <v>2395</v>
      </c>
      <c r="D144" t="s">
        <v>3552</v>
      </c>
      <c r="E144">
        <v>46</v>
      </c>
      <c r="F144" s="4" t="s">
        <v>3557</v>
      </c>
      <c r="G144" s="4">
        <v>0</v>
      </c>
      <c r="H144">
        <v>0</v>
      </c>
      <c r="I144" t="s">
        <v>204</v>
      </c>
      <c r="J144" s="6">
        <v>79.2</v>
      </c>
      <c r="K144" s="4" t="str">
        <f t="shared" si="2"/>
        <v>High</v>
      </c>
      <c r="L144" t="s">
        <v>218</v>
      </c>
      <c r="M144" s="4" t="s">
        <v>70</v>
      </c>
      <c r="N144" t="s">
        <v>3566</v>
      </c>
      <c r="O144" t="s">
        <v>3569</v>
      </c>
      <c r="P144" s="4" t="s">
        <v>3573</v>
      </c>
      <c r="Q144" t="s">
        <v>3573</v>
      </c>
      <c r="R144" t="s">
        <v>53</v>
      </c>
    </row>
    <row r="145" spans="1:18">
      <c r="A145" t="s">
        <v>836</v>
      </c>
      <c r="B145" t="s">
        <v>9</v>
      </c>
      <c r="C145" t="s">
        <v>2396</v>
      </c>
      <c r="D145" t="s">
        <v>3552</v>
      </c>
      <c r="E145">
        <v>25</v>
      </c>
      <c r="F145" s="4" t="s">
        <v>3555</v>
      </c>
      <c r="G145" s="4">
        <v>0</v>
      </c>
      <c r="H145">
        <v>1</v>
      </c>
      <c r="I145">
        <v>11765</v>
      </c>
      <c r="J145" s="6">
        <v>55.441699999999997</v>
      </c>
      <c r="K145" s="4" t="str">
        <f t="shared" si="2"/>
        <v>High</v>
      </c>
      <c r="L145" t="s">
        <v>219</v>
      </c>
      <c r="M145" s="4" t="s">
        <v>3564</v>
      </c>
      <c r="N145" t="s">
        <v>3566</v>
      </c>
      <c r="O145">
        <v>5</v>
      </c>
      <c r="P145" s="4" t="s">
        <v>3573</v>
      </c>
      <c r="Q145" t="s">
        <v>3573</v>
      </c>
      <c r="R145" t="s">
        <v>186</v>
      </c>
    </row>
    <row r="146" spans="1:18">
      <c r="A146" t="s">
        <v>836</v>
      </c>
      <c r="B146" t="s">
        <v>9</v>
      </c>
      <c r="C146" t="s">
        <v>2397</v>
      </c>
      <c r="D146" t="s">
        <v>3551</v>
      </c>
      <c r="E146">
        <v>25</v>
      </c>
      <c r="F146" s="4" t="s">
        <v>3555</v>
      </c>
      <c r="G146" s="4">
        <v>0</v>
      </c>
      <c r="H146">
        <v>1</v>
      </c>
      <c r="I146">
        <v>11765</v>
      </c>
      <c r="J146" s="6">
        <v>55.441699999999997</v>
      </c>
      <c r="K146" s="4" t="str">
        <f t="shared" si="2"/>
        <v>High</v>
      </c>
      <c r="L146" t="s">
        <v>219</v>
      </c>
      <c r="M146" s="4" t="s">
        <v>3564</v>
      </c>
      <c r="N146" t="s">
        <v>3566</v>
      </c>
      <c r="O146">
        <v>5</v>
      </c>
      <c r="P146" s="4" t="s">
        <v>3573</v>
      </c>
      <c r="Q146" t="s">
        <v>3573</v>
      </c>
      <c r="R146" t="s">
        <v>186</v>
      </c>
    </row>
    <row r="147" spans="1:18">
      <c r="A147" t="s">
        <v>836</v>
      </c>
      <c r="B147" t="s">
        <v>9</v>
      </c>
      <c r="C147" t="s">
        <v>2398</v>
      </c>
      <c r="D147" t="s">
        <v>3552</v>
      </c>
      <c r="E147">
        <v>48</v>
      </c>
      <c r="F147" s="4" t="s">
        <v>3557</v>
      </c>
      <c r="G147" s="4">
        <v>0</v>
      </c>
      <c r="H147">
        <v>1</v>
      </c>
      <c r="I147" t="s">
        <v>220</v>
      </c>
      <c r="J147" s="6">
        <v>76.729200000000006</v>
      </c>
      <c r="K147" s="4" t="str">
        <f t="shared" si="2"/>
        <v>High</v>
      </c>
      <c r="L147" t="s">
        <v>221</v>
      </c>
      <c r="M147" s="4" t="s">
        <v>59</v>
      </c>
      <c r="N147" t="s">
        <v>3566</v>
      </c>
      <c r="O147">
        <v>3</v>
      </c>
      <c r="P147" s="4" t="s">
        <v>3573</v>
      </c>
      <c r="Q147" t="s">
        <v>3573</v>
      </c>
      <c r="R147" t="s">
        <v>53</v>
      </c>
    </row>
    <row r="148" spans="1:18">
      <c r="A148" t="s">
        <v>836</v>
      </c>
      <c r="B148" t="s">
        <v>9</v>
      </c>
      <c r="C148" t="s">
        <v>2399</v>
      </c>
      <c r="D148" t="s">
        <v>3551</v>
      </c>
      <c r="E148">
        <v>49</v>
      </c>
      <c r="F148" s="4" t="s">
        <v>3557</v>
      </c>
      <c r="G148" s="4">
        <v>0</v>
      </c>
      <c r="H148">
        <v>1</v>
      </c>
      <c r="I148" t="s">
        <v>220</v>
      </c>
      <c r="J148" s="6">
        <v>76.729200000000006</v>
      </c>
      <c r="K148" s="4" t="str">
        <f t="shared" si="2"/>
        <v>High</v>
      </c>
      <c r="L148" t="s">
        <v>221</v>
      </c>
      <c r="M148" s="4" t="s">
        <v>59</v>
      </c>
      <c r="N148" t="s">
        <v>3566</v>
      </c>
      <c r="O148">
        <v>3</v>
      </c>
      <c r="P148" s="4" t="s">
        <v>3573</v>
      </c>
      <c r="Q148" t="s">
        <v>3573</v>
      </c>
      <c r="R148" t="s">
        <v>53</v>
      </c>
    </row>
    <row r="149" spans="1:18">
      <c r="A149" t="s">
        <v>836</v>
      </c>
      <c r="B149" t="s">
        <v>840</v>
      </c>
      <c r="C149" t="s">
        <v>2400</v>
      </c>
      <c r="D149" t="s">
        <v>3552</v>
      </c>
      <c r="E149">
        <v>28</v>
      </c>
      <c r="F149" s="4" t="s">
        <v>3555</v>
      </c>
      <c r="G149" s="4">
        <v>0</v>
      </c>
      <c r="H149">
        <v>0</v>
      </c>
      <c r="I149">
        <v>113796</v>
      </c>
      <c r="J149" s="6">
        <v>42.4</v>
      </c>
      <c r="K149" s="4" t="str">
        <f t="shared" si="2"/>
        <v>Mid</v>
      </c>
      <c r="L149" t="s">
        <v>3561</v>
      </c>
      <c r="M149" s="4" t="s">
        <v>3561</v>
      </c>
      <c r="N149" t="s">
        <v>457</v>
      </c>
      <c r="O149" t="s">
        <v>3569</v>
      </c>
      <c r="P149" s="4" t="s">
        <v>3573</v>
      </c>
      <c r="Q149" t="s">
        <v>3573</v>
      </c>
    </row>
    <row r="150" spans="1:18">
      <c r="A150" t="s">
        <v>836</v>
      </c>
      <c r="B150" t="s">
        <v>840</v>
      </c>
      <c r="C150" t="s">
        <v>2401</v>
      </c>
      <c r="D150" t="s">
        <v>3552</v>
      </c>
      <c r="E150">
        <v>45</v>
      </c>
      <c r="F150" s="4" t="s">
        <v>3557</v>
      </c>
      <c r="G150" s="4">
        <v>0</v>
      </c>
      <c r="H150">
        <v>1</v>
      </c>
      <c r="I150">
        <v>36973</v>
      </c>
      <c r="J150" s="6">
        <v>83.474999999999994</v>
      </c>
      <c r="K150" s="4" t="str">
        <f t="shared" si="2"/>
        <v>High</v>
      </c>
      <c r="L150" t="s">
        <v>222</v>
      </c>
      <c r="M150" s="4" t="s">
        <v>62</v>
      </c>
      <c r="N150" t="s">
        <v>457</v>
      </c>
      <c r="O150" t="s">
        <v>3569</v>
      </c>
      <c r="P150" s="4" t="s">
        <v>3573</v>
      </c>
      <c r="Q150" t="s">
        <v>3573</v>
      </c>
      <c r="R150" t="s">
        <v>53</v>
      </c>
    </row>
    <row r="151" spans="1:18">
      <c r="A151" t="s">
        <v>836</v>
      </c>
      <c r="B151" t="s">
        <v>9</v>
      </c>
      <c r="C151" t="s">
        <v>2402</v>
      </c>
      <c r="D151" t="s">
        <v>3551</v>
      </c>
      <c r="E151">
        <v>35</v>
      </c>
      <c r="F151" s="4" t="s">
        <v>3557</v>
      </c>
      <c r="G151" s="4">
        <v>0</v>
      </c>
      <c r="H151">
        <v>1</v>
      </c>
      <c r="I151">
        <v>36973</v>
      </c>
      <c r="J151" s="6">
        <v>83.474999999999994</v>
      </c>
      <c r="K151" s="4" t="str">
        <f t="shared" si="2"/>
        <v>High</v>
      </c>
      <c r="L151" t="s">
        <v>222</v>
      </c>
      <c r="M151" s="4" t="s">
        <v>62</v>
      </c>
      <c r="N151" t="s">
        <v>457</v>
      </c>
      <c r="O151" t="s">
        <v>59</v>
      </c>
      <c r="P151" s="4" t="s">
        <v>3573</v>
      </c>
      <c r="Q151" t="s">
        <v>3573</v>
      </c>
      <c r="R151" t="s">
        <v>53</v>
      </c>
    </row>
    <row r="152" spans="1:18">
      <c r="A152" t="s">
        <v>836</v>
      </c>
      <c r="B152" t="s">
        <v>840</v>
      </c>
      <c r="C152" t="s">
        <v>2403</v>
      </c>
      <c r="D152" t="s">
        <v>3552</v>
      </c>
      <c r="E152">
        <v>40</v>
      </c>
      <c r="F152" s="4" t="s">
        <v>3557</v>
      </c>
      <c r="G152" s="4">
        <v>0</v>
      </c>
      <c r="H152">
        <v>0</v>
      </c>
      <c r="I152">
        <v>112059</v>
      </c>
      <c r="J152" s="6">
        <v>0</v>
      </c>
      <c r="K152" s="4" t="str">
        <f t="shared" si="2"/>
        <v>Low</v>
      </c>
      <c r="L152" t="s">
        <v>223</v>
      </c>
      <c r="M152" s="4" t="s">
        <v>70</v>
      </c>
      <c r="N152" t="s">
        <v>457</v>
      </c>
      <c r="O152" t="s">
        <v>3569</v>
      </c>
      <c r="P152" s="4">
        <v>110</v>
      </c>
      <c r="Q152" t="s">
        <v>3574</v>
      </c>
    </row>
    <row r="153" spans="1:18">
      <c r="A153" t="s">
        <v>836</v>
      </c>
      <c r="B153" t="s">
        <v>9</v>
      </c>
      <c r="C153" t="s">
        <v>2404</v>
      </c>
      <c r="D153" t="s">
        <v>3552</v>
      </c>
      <c r="E153">
        <v>27</v>
      </c>
      <c r="F153" s="4" t="s">
        <v>3555</v>
      </c>
      <c r="G153" s="4">
        <v>0</v>
      </c>
      <c r="H153">
        <v>0</v>
      </c>
      <c r="I153" t="s">
        <v>220</v>
      </c>
      <c r="J153" s="6">
        <v>76.729200000000006</v>
      </c>
      <c r="K153" s="4" t="str">
        <f t="shared" si="2"/>
        <v>High</v>
      </c>
      <c r="L153" t="s">
        <v>224</v>
      </c>
      <c r="M153" s="4" t="s">
        <v>59</v>
      </c>
      <c r="N153" t="s">
        <v>3566</v>
      </c>
      <c r="O153">
        <v>3</v>
      </c>
      <c r="P153" s="4" t="s">
        <v>3573</v>
      </c>
      <c r="Q153" t="s">
        <v>3573</v>
      </c>
    </row>
    <row r="154" spans="1:18">
      <c r="A154" t="s">
        <v>836</v>
      </c>
      <c r="B154" t="s">
        <v>9</v>
      </c>
      <c r="C154" t="s">
        <v>2405</v>
      </c>
      <c r="D154" t="s">
        <v>3552</v>
      </c>
      <c r="E154">
        <v>28</v>
      </c>
      <c r="F154" s="4" t="s">
        <v>3555</v>
      </c>
      <c r="G154" s="4">
        <v>0</v>
      </c>
      <c r="H154">
        <v>0</v>
      </c>
      <c r="I154">
        <v>16988</v>
      </c>
      <c r="J154" s="6">
        <v>30</v>
      </c>
      <c r="K154" s="4" t="str">
        <f t="shared" si="2"/>
        <v>Mid</v>
      </c>
      <c r="L154" t="s">
        <v>225</v>
      </c>
      <c r="M154" s="4" t="s">
        <v>59</v>
      </c>
      <c r="N154" t="s">
        <v>457</v>
      </c>
      <c r="O154">
        <v>3</v>
      </c>
      <c r="P154" s="4" t="s">
        <v>3573</v>
      </c>
      <c r="Q154" t="s">
        <v>3573</v>
      </c>
      <c r="R154" t="s">
        <v>226</v>
      </c>
    </row>
    <row r="155" spans="1:18">
      <c r="A155" t="s">
        <v>836</v>
      </c>
      <c r="B155" t="s">
        <v>9</v>
      </c>
      <c r="C155" t="s">
        <v>2406</v>
      </c>
      <c r="D155" t="s">
        <v>3551</v>
      </c>
      <c r="E155">
        <v>24</v>
      </c>
      <c r="F155" s="4" t="s">
        <v>3555</v>
      </c>
      <c r="G155" s="4">
        <v>0</v>
      </c>
      <c r="H155">
        <v>0</v>
      </c>
      <c r="I155">
        <v>11767</v>
      </c>
      <c r="J155" s="6">
        <v>83.158299999999997</v>
      </c>
      <c r="K155" s="4" t="str">
        <f t="shared" si="2"/>
        <v>High</v>
      </c>
      <c r="L155" t="s">
        <v>175</v>
      </c>
      <c r="M155" s="4" t="s">
        <v>62</v>
      </c>
      <c r="N155" t="s">
        <v>3566</v>
      </c>
      <c r="O155">
        <v>7</v>
      </c>
      <c r="P155" s="4" t="s">
        <v>3573</v>
      </c>
      <c r="Q155" t="s">
        <v>3573</v>
      </c>
      <c r="R155" t="s">
        <v>53</v>
      </c>
    </row>
    <row r="156" spans="1:18">
      <c r="A156" t="s">
        <v>836</v>
      </c>
      <c r="B156" t="s">
        <v>840</v>
      </c>
      <c r="C156" t="s">
        <v>2407</v>
      </c>
      <c r="D156" t="s">
        <v>3552</v>
      </c>
      <c r="E156">
        <v>55</v>
      </c>
      <c r="F156" s="4" t="s">
        <v>3557</v>
      </c>
      <c r="G156" s="4">
        <v>1</v>
      </c>
      <c r="H156">
        <v>1</v>
      </c>
      <c r="I156">
        <v>12749</v>
      </c>
      <c r="J156" s="6">
        <v>93.5</v>
      </c>
      <c r="K156" s="4" t="str">
        <f t="shared" si="2"/>
        <v>High</v>
      </c>
      <c r="L156" t="s">
        <v>227</v>
      </c>
      <c r="M156" s="4" t="s">
        <v>70</v>
      </c>
      <c r="N156" t="s">
        <v>457</v>
      </c>
      <c r="O156" t="s">
        <v>3569</v>
      </c>
      <c r="P156" s="4">
        <v>307</v>
      </c>
      <c r="Q156" t="s">
        <v>3574</v>
      </c>
      <c r="R156" t="s">
        <v>75</v>
      </c>
    </row>
    <row r="157" spans="1:18">
      <c r="A157" t="s">
        <v>836</v>
      </c>
      <c r="B157" t="s">
        <v>9</v>
      </c>
      <c r="C157" t="s">
        <v>2408</v>
      </c>
      <c r="D157" t="s">
        <v>3551</v>
      </c>
      <c r="E157">
        <v>52</v>
      </c>
      <c r="F157" s="4" t="s">
        <v>3557</v>
      </c>
      <c r="G157" s="4">
        <v>1</v>
      </c>
      <c r="H157">
        <v>1</v>
      </c>
      <c r="I157">
        <v>12749</v>
      </c>
      <c r="J157" s="6">
        <v>93.5</v>
      </c>
      <c r="K157" s="4" t="str">
        <f t="shared" si="2"/>
        <v>High</v>
      </c>
      <c r="L157" t="s">
        <v>227</v>
      </c>
      <c r="M157" s="4" t="s">
        <v>70</v>
      </c>
      <c r="N157" t="s">
        <v>457</v>
      </c>
      <c r="O157">
        <v>3</v>
      </c>
      <c r="P157" s="4" t="s">
        <v>3573</v>
      </c>
      <c r="Q157" t="s">
        <v>3573</v>
      </c>
      <c r="R157" t="s">
        <v>75</v>
      </c>
    </row>
    <row r="158" spans="1:18">
      <c r="A158" t="s">
        <v>836</v>
      </c>
      <c r="B158" t="s">
        <v>840</v>
      </c>
      <c r="C158" t="s">
        <v>2409</v>
      </c>
      <c r="D158" t="s">
        <v>3552</v>
      </c>
      <c r="E158">
        <v>42</v>
      </c>
      <c r="F158" s="4" t="s">
        <v>3557</v>
      </c>
      <c r="G158" s="4">
        <v>0</v>
      </c>
      <c r="H158">
        <v>0</v>
      </c>
      <c r="I158">
        <v>113038</v>
      </c>
      <c r="J158" s="6">
        <v>42.5</v>
      </c>
      <c r="K158" s="4" t="str">
        <f t="shared" si="2"/>
        <v>Mid</v>
      </c>
      <c r="L158" t="s">
        <v>228</v>
      </c>
      <c r="M158" s="4" t="s">
        <v>70</v>
      </c>
      <c r="N158" t="s">
        <v>457</v>
      </c>
      <c r="O158" t="s">
        <v>3569</v>
      </c>
      <c r="P158" s="4" t="s">
        <v>3573</v>
      </c>
      <c r="Q158" t="s">
        <v>3573</v>
      </c>
      <c r="R158" t="s">
        <v>229</v>
      </c>
    </row>
    <row r="159" spans="1:18">
      <c r="A159" t="s">
        <v>836</v>
      </c>
      <c r="B159" t="s">
        <v>840</v>
      </c>
      <c r="C159" t="s">
        <v>2410</v>
      </c>
      <c r="D159" t="s">
        <v>3552</v>
      </c>
      <c r="E159">
        <v>28</v>
      </c>
      <c r="F159" s="4" t="s">
        <v>3555</v>
      </c>
      <c r="G159" s="4">
        <v>0</v>
      </c>
      <c r="H159">
        <v>0</v>
      </c>
      <c r="I159">
        <v>17463</v>
      </c>
      <c r="J159" s="6">
        <v>51.862499999999997</v>
      </c>
      <c r="K159" s="4" t="str">
        <f t="shared" si="2"/>
        <v>High</v>
      </c>
      <c r="L159" t="s">
        <v>230</v>
      </c>
      <c r="M159" s="4" t="s">
        <v>3564</v>
      </c>
      <c r="N159" t="s">
        <v>457</v>
      </c>
      <c r="O159" t="s">
        <v>3569</v>
      </c>
      <c r="P159" s="4" t="s">
        <v>3573</v>
      </c>
      <c r="Q159" t="s">
        <v>3573</v>
      </c>
      <c r="R159" t="s">
        <v>231</v>
      </c>
    </row>
    <row r="160" spans="1:18">
      <c r="A160" t="s">
        <v>836</v>
      </c>
      <c r="B160" t="s">
        <v>840</v>
      </c>
      <c r="C160" t="s">
        <v>2411</v>
      </c>
      <c r="D160" t="s">
        <v>3552</v>
      </c>
      <c r="E160">
        <v>55</v>
      </c>
      <c r="F160" s="4" t="s">
        <v>3557</v>
      </c>
      <c r="G160" s="4">
        <v>0</v>
      </c>
      <c r="H160">
        <v>0</v>
      </c>
      <c r="I160">
        <v>680</v>
      </c>
      <c r="J160" s="6">
        <v>50</v>
      </c>
      <c r="K160" s="4" t="str">
        <f t="shared" si="2"/>
        <v>Mid</v>
      </c>
      <c r="L160" t="s">
        <v>232</v>
      </c>
      <c r="M160" s="4" t="s">
        <v>62</v>
      </c>
      <c r="N160" t="s">
        <v>457</v>
      </c>
      <c r="O160" t="s">
        <v>3569</v>
      </c>
      <c r="P160" s="4" t="s">
        <v>3573</v>
      </c>
      <c r="Q160" t="s">
        <v>3573</v>
      </c>
      <c r="R160" t="s">
        <v>233</v>
      </c>
    </row>
    <row r="161" spans="1:18">
      <c r="A161" t="s">
        <v>836</v>
      </c>
      <c r="B161" t="s">
        <v>9</v>
      </c>
      <c r="C161" t="s">
        <v>2412</v>
      </c>
      <c r="D161" t="s">
        <v>3551</v>
      </c>
      <c r="E161">
        <v>16</v>
      </c>
      <c r="F161" s="4" t="s">
        <v>3560</v>
      </c>
      <c r="G161" s="4">
        <v>1</v>
      </c>
      <c r="H161">
        <v>0</v>
      </c>
      <c r="I161">
        <v>111361</v>
      </c>
      <c r="J161" s="6">
        <v>57.979199999999999</v>
      </c>
      <c r="K161" s="4" t="str">
        <f t="shared" si="2"/>
        <v>High</v>
      </c>
      <c r="L161" t="s">
        <v>234</v>
      </c>
      <c r="M161" s="4" t="s">
        <v>70</v>
      </c>
      <c r="N161" t="s">
        <v>3566</v>
      </c>
      <c r="O161">
        <v>4</v>
      </c>
      <c r="P161" s="4" t="s">
        <v>3573</v>
      </c>
      <c r="Q161" t="s">
        <v>3573</v>
      </c>
      <c r="R161" t="s">
        <v>235</v>
      </c>
    </row>
    <row r="162" spans="1:18">
      <c r="A162" t="s">
        <v>836</v>
      </c>
      <c r="B162" t="s">
        <v>9</v>
      </c>
      <c r="C162" t="s">
        <v>2413</v>
      </c>
      <c r="D162" t="s">
        <v>3551</v>
      </c>
      <c r="E162">
        <v>44</v>
      </c>
      <c r="F162" s="4" t="s">
        <v>3557</v>
      </c>
      <c r="G162" s="4">
        <v>1</v>
      </c>
      <c r="H162">
        <v>0</v>
      </c>
      <c r="I162">
        <v>111361</v>
      </c>
      <c r="J162" s="6">
        <v>57.979199999999999</v>
      </c>
      <c r="K162" s="4" t="str">
        <f t="shared" si="2"/>
        <v>High</v>
      </c>
      <c r="L162" t="s">
        <v>234</v>
      </c>
      <c r="M162" s="4" t="s">
        <v>70</v>
      </c>
      <c r="N162" t="s">
        <v>3566</v>
      </c>
      <c r="O162">
        <v>4</v>
      </c>
      <c r="P162" s="4" t="s">
        <v>3573</v>
      </c>
      <c r="Q162" t="s">
        <v>3573</v>
      </c>
      <c r="R162" t="s">
        <v>235</v>
      </c>
    </row>
    <row r="163" spans="1:18">
      <c r="A163" t="s">
        <v>836</v>
      </c>
      <c r="B163" t="s">
        <v>9</v>
      </c>
      <c r="C163" t="s">
        <v>2414</v>
      </c>
      <c r="D163" t="s">
        <v>3551</v>
      </c>
      <c r="E163">
        <v>51</v>
      </c>
      <c r="F163" s="4" t="s">
        <v>3557</v>
      </c>
      <c r="G163" s="4">
        <v>0</v>
      </c>
      <c r="H163">
        <v>1</v>
      </c>
      <c r="I163">
        <v>13502</v>
      </c>
      <c r="J163" s="6">
        <v>77.958299999999994</v>
      </c>
      <c r="K163" s="4" t="str">
        <f t="shared" si="2"/>
        <v>High</v>
      </c>
      <c r="L163" t="s">
        <v>236</v>
      </c>
      <c r="M163" s="4" t="s">
        <v>59</v>
      </c>
      <c r="N163" t="s">
        <v>457</v>
      </c>
      <c r="O163">
        <v>10</v>
      </c>
      <c r="P163" s="4" t="s">
        <v>3573</v>
      </c>
      <c r="Q163" t="s">
        <v>3573</v>
      </c>
      <c r="R163" t="s">
        <v>55</v>
      </c>
    </row>
    <row r="164" spans="1:18">
      <c r="A164" t="s">
        <v>836</v>
      </c>
      <c r="B164" t="s">
        <v>840</v>
      </c>
      <c r="C164" t="s">
        <v>2415</v>
      </c>
      <c r="D164" t="s">
        <v>3552</v>
      </c>
      <c r="E164">
        <v>42</v>
      </c>
      <c r="F164" s="4" t="s">
        <v>3557</v>
      </c>
      <c r="G164" s="4">
        <v>0</v>
      </c>
      <c r="H164">
        <v>1</v>
      </c>
      <c r="I164">
        <v>113789</v>
      </c>
      <c r="J164" s="6">
        <v>52</v>
      </c>
      <c r="K164" s="4" t="str">
        <f t="shared" si="2"/>
        <v>High</v>
      </c>
      <c r="L164" t="s">
        <v>3561</v>
      </c>
      <c r="M164" s="4" t="s">
        <v>3561</v>
      </c>
      <c r="N164" t="s">
        <v>457</v>
      </c>
      <c r="O164" t="s">
        <v>3569</v>
      </c>
      <c r="P164" s="4">
        <v>38</v>
      </c>
      <c r="Q164" t="s">
        <v>3574</v>
      </c>
      <c r="R164" t="s">
        <v>53</v>
      </c>
    </row>
    <row r="165" spans="1:18">
      <c r="A165" t="s">
        <v>836</v>
      </c>
      <c r="B165" t="s">
        <v>9</v>
      </c>
      <c r="C165" t="s">
        <v>2416</v>
      </c>
      <c r="D165" t="s">
        <v>3551</v>
      </c>
      <c r="E165">
        <v>35</v>
      </c>
      <c r="F165" s="4" t="s">
        <v>3557</v>
      </c>
      <c r="G165" s="4">
        <v>0</v>
      </c>
      <c r="H165">
        <v>1</v>
      </c>
      <c r="I165">
        <v>113789</v>
      </c>
      <c r="J165" s="6">
        <v>52</v>
      </c>
      <c r="K165" s="4" t="str">
        <f t="shared" si="2"/>
        <v>High</v>
      </c>
      <c r="L165" t="s">
        <v>3561</v>
      </c>
      <c r="M165" s="4" t="s">
        <v>3561</v>
      </c>
      <c r="N165" t="s">
        <v>457</v>
      </c>
      <c r="O165">
        <v>8</v>
      </c>
      <c r="P165" s="4" t="s">
        <v>3573</v>
      </c>
      <c r="Q165" t="s">
        <v>3573</v>
      </c>
      <c r="R165" t="s">
        <v>53</v>
      </c>
    </row>
    <row r="166" spans="1:18">
      <c r="A166" t="s">
        <v>836</v>
      </c>
      <c r="B166" t="s">
        <v>9</v>
      </c>
      <c r="C166" t="s">
        <v>2417</v>
      </c>
      <c r="D166" t="s">
        <v>3552</v>
      </c>
      <c r="E166">
        <v>35</v>
      </c>
      <c r="F166" s="4" t="s">
        <v>3557</v>
      </c>
      <c r="G166" s="4">
        <v>0</v>
      </c>
      <c r="H166">
        <v>0</v>
      </c>
      <c r="I166">
        <v>111426</v>
      </c>
      <c r="J166" s="6">
        <v>26.55</v>
      </c>
      <c r="K166" s="4" t="str">
        <f t="shared" si="2"/>
        <v>Mid</v>
      </c>
      <c r="L166" t="s">
        <v>3561</v>
      </c>
      <c r="M166" s="4" t="s">
        <v>3561</v>
      </c>
      <c r="N166" t="s">
        <v>3566</v>
      </c>
      <c r="O166">
        <v>15</v>
      </c>
      <c r="P166" s="4" t="s">
        <v>3573</v>
      </c>
      <c r="Q166" t="s">
        <v>3573</v>
      </c>
      <c r="R166" t="s">
        <v>237</v>
      </c>
    </row>
    <row r="167" spans="1:18">
      <c r="A167" t="s">
        <v>836</v>
      </c>
      <c r="B167" t="s">
        <v>9</v>
      </c>
      <c r="C167" t="s">
        <v>2418</v>
      </c>
      <c r="D167" t="s">
        <v>3552</v>
      </c>
      <c r="E167">
        <v>38</v>
      </c>
      <c r="F167" s="4" t="s">
        <v>3557</v>
      </c>
      <c r="G167" s="4">
        <v>0</v>
      </c>
      <c r="H167">
        <v>1</v>
      </c>
      <c r="I167">
        <v>19943</v>
      </c>
      <c r="J167" s="6">
        <v>90</v>
      </c>
      <c r="K167" s="4" t="str">
        <f t="shared" si="2"/>
        <v>High</v>
      </c>
      <c r="L167" t="s">
        <v>238</v>
      </c>
      <c r="M167" s="4" t="s">
        <v>62</v>
      </c>
      <c r="N167" t="s">
        <v>457</v>
      </c>
      <c r="O167" t="s">
        <v>59</v>
      </c>
      <c r="P167" s="4" t="s">
        <v>3573</v>
      </c>
      <c r="Q167" t="s">
        <v>3573</v>
      </c>
      <c r="R167" t="s">
        <v>239</v>
      </c>
    </row>
    <row r="168" spans="1:18">
      <c r="A168" t="s">
        <v>836</v>
      </c>
      <c r="B168" t="s">
        <v>840</v>
      </c>
      <c r="C168" t="s">
        <v>2419</v>
      </c>
      <c r="D168" t="s">
        <v>3552</v>
      </c>
      <c r="E168">
        <v>28</v>
      </c>
      <c r="F168" s="4" t="s">
        <v>3555</v>
      </c>
      <c r="G168" s="4">
        <v>0</v>
      </c>
      <c r="H168">
        <v>0</v>
      </c>
      <c r="I168" t="s">
        <v>240</v>
      </c>
      <c r="J168" s="6">
        <v>30.695799999999998</v>
      </c>
      <c r="K168" s="4" t="str">
        <f t="shared" si="2"/>
        <v>Mid</v>
      </c>
      <c r="L168" t="s">
        <v>3561</v>
      </c>
      <c r="M168" s="4" t="s">
        <v>3561</v>
      </c>
      <c r="N168" t="s">
        <v>3566</v>
      </c>
      <c r="O168">
        <v>14</v>
      </c>
      <c r="P168" s="4" t="s">
        <v>3573</v>
      </c>
      <c r="Q168" t="s">
        <v>3573</v>
      </c>
      <c r="R168" t="s">
        <v>53</v>
      </c>
    </row>
    <row r="169" spans="1:18">
      <c r="A169" t="s">
        <v>836</v>
      </c>
      <c r="B169" t="s">
        <v>9</v>
      </c>
      <c r="C169" t="s">
        <v>2420</v>
      </c>
      <c r="D169" t="s">
        <v>3551</v>
      </c>
      <c r="E169">
        <v>35</v>
      </c>
      <c r="F169" s="4" t="s">
        <v>3557</v>
      </c>
      <c r="G169" s="4">
        <v>0</v>
      </c>
      <c r="H169">
        <v>1</v>
      </c>
      <c r="I169">
        <v>19943</v>
      </c>
      <c r="J169" s="6">
        <v>90</v>
      </c>
      <c r="K169" s="4" t="str">
        <f t="shared" si="2"/>
        <v>High</v>
      </c>
      <c r="L169" t="s">
        <v>238</v>
      </c>
      <c r="M169" s="4" t="s">
        <v>62</v>
      </c>
      <c r="N169" t="s">
        <v>457</v>
      </c>
      <c r="O169" t="s">
        <v>59</v>
      </c>
      <c r="P169" s="4" t="s">
        <v>3573</v>
      </c>
      <c r="Q169" t="s">
        <v>3573</v>
      </c>
      <c r="R169" t="s">
        <v>239</v>
      </c>
    </row>
    <row r="170" spans="1:18">
      <c r="A170" t="s">
        <v>836</v>
      </c>
      <c r="B170" t="s">
        <v>9</v>
      </c>
      <c r="C170" t="s">
        <v>2421</v>
      </c>
      <c r="D170" t="s">
        <v>3551</v>
      </c>
      <c r="E170">
        <v>38</v>
      </c>
      <c r="F170" s="4" t="s">
        <v>3557</v>
      </c>
      <c r="G170" s="4">
        <v>0</v>
      </c>
      <c r="H170">
        <v>0</v>
      </c>
      <c r="I170">
        <v>113572</v>
      </c>
      <c r="J170" s="6">
        <v>80</v>
      </c>
      <c r="K170" s="4" t="str">
        <f t="shared" si="2"/>
        <v>High</v>
      </c>
      <c r="L170" t="s">
        <v>241</v>
      </c>
      <c r="M170" s="4" t="s">
        <v>70</v>
      </c>
      <c r="N170" t="s">
        <v>3561</v>
      </c>
      <c r="O170">
        <v>6</v>
      </c>
      <c r="P170" s="4" t="s">
        <v>3573</v>
      </c>
      <c r="Q170" t="s">
        <v>3573</v>
      </c>
    </row>
    <row r="171" spans="1:18">
      <c r="A171" t="s">
        <v>836</v>
      </c>
      <c r="B171" t="s">
        <v>840</v>
      </c>
      <c r="C171" t="s">
        <v>2422</v>
      </c>
      <c r="D171" t="s">
        <v>3551</v>
      </c>
      <c r="E171">
        <v>50</v>
      </c>
      <c r="F171" s="4" t="s">
        <v>3557</v>
      </c>
      <c r="G171" s="4">
        <v>0</v>
      </c>
      <c r="H171">
        <v>0</v>
      </c>
      <c r="I171" t="s">
        <v>242</v>
      </c>
      <c r="J171" s="6">
        <v>28.712499999999999</v>
      </c>
      <c r="K171" s="4" t="str">
        <f t="shared" si="2"/>
        <v>Mid</v>
      </c>
      <c r="L171" t="s">
        <v>243</v>
      </c>
      <c r="M171" s="4" t="s">
        <v>62</v>
      </c>
      <c r="N171" t="s">
        <v>3566</v>
      </c>
      <c r="O171" t="s">
        <v>3569</v>
      </c>
      <c r="P171" s="4" t="s">
        <v>3573</v>
      </c>
      <c r="Q171" t="s">
        <v>3573</v>
      </c>
      <c r="R171" t="s">
        <v>244</v>
      </c>
    </row>
    <row r="172" spans="1:18">
      <c r="A172" t="s">
        <v>836</v>
      </c>
      <c r="B172" t="s">
        <v>9</v>
      </c>
      <c r="C172" t="s">
        <v>2423</v>
      </c>
      <c r="D172" t="s">
        <v>3552</v>
      </c>
      <c r="E172">
        <v>49</v>
      </c>
      <c r="F172" s="4" t="s">
        <v>3557</v>
      </c>
      <c r="G172" s="4">
        <v>0</v>
      </c>
      <c r="H172">
        <v>0</v>
      </c>
      <c r="I172">
        <v>112058</v>
      </c>
      <c r="J172" s="6">
        <v>0</v>
      </c>
      <c r="K172" s="4" t="str">
        <f t="shared" si="2"/>
        <v>Low</v>
      </c>
      <c r="L172" t="s">
        <v>245</v>
      </c>
      <c r="M172" s="4" t="s">
        <v>70</v>
      </c>
      <c r="N172" t="s">
        <v>457</v>
      </c>
      <c r="O172" t="s">
        <v>62</v>
      </c>
      <c r="P172" s="4" t="s">
        <v>3573</v>
      </c>
      <c r="Q172" t="s">
        <v>3573</v>
      </c>
      <c r="R172" t="s">
        <v>246</v>
      </c>
    </row>
    <row r="173" spans="1:18">
      <c r="A173" t="s">
        <v>836</v>
      </c>
      <c r="B173" t="s">
        <v>840</v>
      </c>
      <c r="C173" t="s">
        <v>2424</v>
      </c>
      <c r="D173" t="s">
        <v>3552</v>
      </c>
      <c r="E173">
        <v>46</v>
      </c>
      <c r="F173" s="4" t="s">
        <v>3557</v>
      </c>
      <c r="G173" s="4">
        <v>0</v>
      </c>
      <c r="H173">
        <v>0</v>
      </c>
      <c r="I173">
        <v>694</v>
      </c>
      <c r="J173" s="6">
        <v>26</v>
      </c>
      <c r="K173" s="4" t="str">
        <f t="shared" si="2"/>
        <v>Mid</v>
      </c>
      <c r="L173" t="s">
        <v>3561</v>
      </c>
      <c r="M173" s="4" t="s">
        <v>3561</v>
      </c>
      <c r="N173" t="s">
        <v>457</v>
      </c>
      <c r="O173" t="s">
        <v>3569</v>
      </c>
      <c r="P173" s="4">
        <v>80</v>
      </c>
      <c r="Q173" t="s">
        <v>3574</v>
      </c>
      <c r="R173" t="s">
        <v>247</v>
      </c>
    </row>
    <row r="174" spans="1:18">
      <c r="A174" t="s">
        <v>836</v>
      </c>
      <c r="B174" t="s">
        <v>840</v>
      </c>
      <c r="C174" t="s">
        <v>2425</v>
      </c>
      <c r="D174" t="s">
        <v>3552</v>
      </c>
      <c r="E174">
        <v>50</v>
      </c>
      <c r="F174" s="4" t="s">
        <v>3557</v>
      </c>
      <c r="G174" s="4">
        <v>0</v>
      </c>
      <c r="H174">
        <v>0</v>
      </c>
      <c r="I174">
        <v>113044</v>
      </c>
      <c r="J174" s="6">
        <v>26</v>
      </c>
      <c r="K174" s="4" t="str">
        <f t="shared" si="2"/>
        <v>Mid</v>
      </c>
      <c r="L174" t="s">
        <v>248</v>
      </c>
      <c r="M174" s="4" t="s">
        <v>3564</v>
      </c>
      <c r="N174" t="s">
        <v>457</v>
      </c>
      <c r="O174" t="s">
        <v>3569</v>
      </c>
      <c r="P174" s="4" t="s">
        <v>3573</v>
      </c>
      <c r="Q174" t="s">
        <v>3573</v>
      </c>
      <c r="R174" t="s">
        <v>249</v>
      </c>
    </row>
    <row r="175" spans="1:18">
      <c r="A175" t="s">
        <v>836</v>
      </c>
      <c r="B175" t="s">
        <v>840</v>
      </c>
      <c r="C175" t="s">
        <v>2426</v>
      </c>
      <c r="D175" t="s">
        <v>3552</v>
      </c>
      <c r="E175">
        <v>33</v>
      </c>
      <c r="F175" s="4" t="s">
        <v>3557</v>
      </c>
      <c r="G175" s="4">
        <v>0</v>
      </c>
      <c r="H175">
        <v>0</v>
      </c>
      <c r="I175">
        <v>113503</v>
      </c>
      <c r="J175" s="6">
        <v>211.5</v>
      </c>
      <c r="K175" s="4" t="str">
        <f t="shared" si="2"/>
        <v>High</v>
      </c>
      <c r="L175" t="s">
        <v>250</v>
      </c>
      <c r="M175" s="4" t="s">
        <v>62</v>
      </c>
      <c r="N175" t="s">
        <v>3566</v>
      </c>
      <c r="O175" t="s">
        <v>3569</v>
      </c>
      <c r="P175" s="4">
        <v>45</v>
      </c>
      <c r="Q175" t="s">
        <v>3574</v>
      </c>
    </row>
    <row r="176" spans="1:18">
      <c r="A176" t="s">
        <v>836</v>
      </c>
      <c r="B176" t="s">
        <v>840</v>
      </c>
      <c r="C176" t="s">
        <v>2427</v>
      </c>
      <c r="D176" t="s">
        <v>3552</v>
      </c>
      <c r="E176">
        <v>58</v>
      </c>
      <c r="F176" s="4" t="s">
        <v>3557</v>
      </c>
      <c r="G176" s="4">
        <v>0</v>
      </c>
      <c r="H176">
        <v>0</v>
      </c>
      <c r="I176">
        <v>11771</v>
      </c>
      <c r="J176" s="6">
        <v>29.7</v>
      </c>
      <c r="K176" s="4" t="str">
        <f t="shared" si="2"/>
        <v>Mid</v>
      </c>
      <c r="L176" t="s">
        <v>251</v>
      </c>
      <c r="M176" s="4" t="s">
        <v>70</v>
      </c>
      <c r="N176" t="s">
        <v>3566</v>
      </c>
      <c r="O176" t="s">
        <v>3569</v>
      </c>
      <c r="P176" s="4">
        <v>258</v>
      </c>
      <c r="Q176" t="s">
        <v>3574</v>
      </c>
      <c r="R176" t="s">
        <v>252</v>
      </c>
    </row>
    <row r="177" spans="1:18">
      <c r="A177" t="s">
        <v>836</v>
      </c>
      <c r="B177" t="s">
        <v>840</v>
      </c>
      <c r="C177" t="s">
        <v>2428</v>
      </c>
      <c r="D177" t="s">
        <v>3552</v>
      </c>
      <c r="E177">
        <v>41</v>
      </c>
      <c r="F177" s="4" t="s">
        <v>3557</v>
      </c>
      <c r="G177" s="4">
        <v>0</v>
      </c>
      <c r="H177">
        <v>1</v>
      </c>
      <c r="I177">
        <v>17464</v>
      </c>
      <c r="J177" s="6">
        <v>51.862499999999997</v>
      </c>
      <c r="K177" s="4" t="str">
        <f t="shared" si="2"/>
        <v>High</v>
      </c>
      <c r="L177" t="s">
        <v>253</v>
      </c>
      <c r="M177" s="4" t="s">
        <v>59</v>
      </c>
      <c r="N177" t="s">
        <v>457</v>
      </c>
      <c r="O177" t="s">
        <v>3569</v>
      </c>
      <c r="P177" s="4" t="s">
        <v>3573</v>
      </c>
      <c r="Q177" t="s">
        <v>3573</v>
      </c>
      <c r="R177" t="s">
        <v>254</v>
      </c>
    </row>
    <row r="178" spans="1:18">
      <c r="A178" t="s">
        <v>836</v>
      </c>
      <c r="B178" t="s">
        <v>9</v>
      </c>
      <c r="C178" t="s">
        <v>2429</v>
      </c>
      <c r="D178" t="s">
        <v>3551</v>
      </c>
      <c r="E178">
        <v>28</v>
      </c>
      <c r="F178" s="4" t="s">
        <v>3555</v>
      </c>
      <c r="G178" s="4">
        <v>0</v>
      </c>
      <c r="H178">
        <v>1</v>
      </c>
      <c r="I178">
        <v>17464</v>
      </c>
      <c r="J178" s="6">
        <v>51.862499999999997</v>
      </c>
      <c r="K178" s="4" t="str">
        <f t="shared" si="2"/>
        <v>High</v>
      </c>
      <c r="L178" t="s">
        <v>253</v>
      </c>
      <c r="M178" s="4" t="s">
        <v>59</v>
      </c>
      <c r="N178" t="s">
        <v>457</v>
      </c>
      <c r="O178">
        <v>8</v>
      </c>
      <c r="P178" s="4" t="s">
        <v>3573</v>
      </c>
      <c r="Q178" t="s">
        <v>3573</v>
      </c>
      <c r="R178" t="s">
        <v>254</v>
      </c>
    </row>
    <row r="179" spans="1:18">
      <c r="A179" t="s">
        <v>836</v>
      </c>
      <c r="B179" t="s">
        <v>9</v>
      </c>
      <c r="C179" t="s">
        <v>2430</v>
      </c>
      <c r="D179" t="s">
        <v>3552</v>
      </c>
      <c r="E179">
        <v>42</v>
      </c>
      <c r="F179" s="4" t="s">
        <v>3557</v>
      </c>
      <c r="G179" s="4">
        <v>0</v>
      </c>
      <c r="H179">
        <v>1</v>
      </c>
      <c r="I179">
        <v>11753</v>
      </c>
      <c r="J179" s="6">
        <v>52.554200000000002</v>
      </c>
      <c r="K179" s="4" t="str">
        <f t="shared" si="2"/>
        <v>High</v>
      </c>
      <c r="L179" t="s">
        <v>255</v>
      </c>
      <c r="M179" s="4" t="s">
        <v>59</v>
      </c>
      <c r="N179" t="s">
        <v>457</v>
      </c>
      <c r="O179">
        <v>5</v>
      </c>
      <c r="P179" s="4" t="s">
        <v>3573</v>
      </c>
      <c r="Q179" t="s">
        <v>3573</v>
      </c>
      <c r="R179" t="s">
        <v>256</v>
      </c>
    </row>
    <row r="180" spans="1:18">
      <c r="A180" t="s">
        <v>836</v>
      </c>
      <c r="B180" t="s">
        <v>9</v>
      </c>
      <c r="C180" t="s">
        <v>2431</v>
      </c>
      <c r="D180" t="s">
        <v>3551</v>
      </c>
      <c r="E180">
        <v>45</v>
      </c>
      <c r="F180" s="4" t="s">
        <v>3557</v>
      </c>
      <c r="G180" s="4">
        <v>0</v>
      </c>
      <c r="H180">
        <v>1</v>
      </c>
      <c r="I180">
        <v>11753</v>
      </c>
      <c r="J180" s="6">
        <v>52.554200000000002</v>
      </c>
      <c r="K180" s="4" t="str">
        <f t="shared" si="2"/>
        <v>High</v>
      </c>
      <c r="L180" t="s">
        <v>255</v>
      </c>
      <c r="M180" s="4" t="s">
        <v>59</v>
      </c>
      <c r="N180" t="s">
        <v>457</v>
      </c>
      <c r="O180">
        <v>5</v>
      </c>
      <c r="P180" s="4" t="s">
        <v>3573</v>
      </c>
      <c r="Q180" t="s">
        <v>3573</v>
      </c>
      <c r="R180" t="s">
        <v>256</v>
      </c>
    </row>
    <row r="181" spans="1:18">
      <c r="A181" t="s">
        <v>836</v>
      </c>
      <c r="B181" t="s">
        <v>840</v>
      </c>
      <c r="C181" t="s">
        <v>2432</v>
      </c>
      <c r="D181" t="s">
        <v>3552</v>
      </c>
      <c r="E181">
        <v>28</v>
      </c>
      <c r="F181" s="4" t="s">
        <v>3555</v>
      </c>
      <c r="G181" s="4">
        <v>0</v>
      </c>
      <c r="H181">
        <v>0</v>
      </c>
      <c r="I181">
        <v>113028</v>
      </c>
      <c r="J181" s="6">
        <v>26.55</v>
      </c>
      <c r="K181" s="4" t="str">
        <f t="shared" si="2"/>
        <v>Mid</v>
      </c>
      <c r="L181" t="s">
        <v>257</v>
      </c>
      <c r="M181" s="4" t="s">
        <v>62</v>
      </c>
      <c r="N181" t="s">
        <v>457</v>
      </c>
      <c r="O181" t="s">
        <v>3569</v>
      </c>
      <c r="P181" s="4" t="s">
        <v>3573</v>
      </c>
      <c r="Q181" t="s">
        <v>3573</v>
      </c>
      <c r="R181" t="s">
        <v>258</v>
      </c>
    </row>
    <row r="182" spans="1:18">
      <c r="A182" t="s">
        <v>836</v>
      </c>
      <c r="B182" t="s">
        <v>9</v>
      </c>
      <c r="C182" t="s">
        <v>2433</v>
      </c>
      <c r="D182" t="s">
        <v>3551</v>
      </c>
      <c r="E182">
        <v>39</v>
      </c>
      <c r="F182" s="4" t="s">
        <v>3557</v>
      </c>
      <c r="G182" s="4">
        <v>0</v>
      </c>
      <c r="H182">
        <v>0</v>
      </c>
      <c r="I182">
        <v>24160</v>
      </c>
      <c r="J182" s="6">
        <v>211.33750000000001</v>
      </c>
      <c r="K182" s="4" t="str">
        <f t="shared" si="2"/>
        <v>High</v>
      </c>
      <c r="L182" t="s">
        <v>3561</v>
      </c>
      <c r="M182" s="4" t="s">
        <v>3561</v>
      </c>
      <c r="N182" t="s">
        <v>457</v>
      </c>
      <c r="O182">
        <v>2</v>
      </c>
      <c r="P182" s="4" t="s">
        <v>3573</v>
      </c>
      <c r="Q182" t="s">
        <v>3573</v>
      </c>
    </row>
    <row r="183" spans="1:18">
      <c r="A183" t="s">
        <v>836</v>
      </c>
      <c r="B183" t="s">
        <v>9</v>
      </c>
      <c r="C183" t="s">
        <v>2434</v>
      </c>
      <c r="D183" t="s">
        <v>3551</v>
      </c>
      <c r="E183">
        <v>49</v>
      </c>
      <c r="F183" s="4" t="s">
        <v>3557</v>
      </c>
      <c r="G183" s="4">
        <v>0</v>
      </c>
      <c r="H183">
        <v>0</v>
      </c>
      <c r="I183">
        <v>17465</v>
      </c>
      <c r="J183" s="6">
        <v>25.929200000000002</v>
      </c>
      <c r="K183" s="4" t="str">
        <f t="shared" si="2"/>
        <v>Mid</v>
      </c>
      <c r="L183" t="s">
        <v>259</v>
      </c>
      <c r="M183" s="4" t="s">
        <v>59</v>
      </c>
      <c r="N183" t="s">
        <v>457</v>
      </c>
      <c r="O183">
        <v>8</v>
      </c>
      <c r="P183" s="4" t="s">
        <v>3573</v>
      </c>
      <c r="Q183" t="s">
        <v>3573</v>
      </c>
      <c r="R183" t="s">
        <v>53</v>
      </c>
    </row>
    <row r="184" spans="1:18">
      <c r="A184" t="s">
        <v>836</v>
      </c>
      <c r="B184" t="s">
        <v>9</v>
      </c>
      <c r="C184" t="s">
        <v>2435</v>
      </c>
      <c r="D184" t="s">
        <v>3551</v>
      </c>
      <c r="E184">
        <v>30</v>
      </c>
      <c r="F184" s="4" t="s">
        <v>3557</v>
      </c>
      <c r="G184" s="4">
        <v>0</v>
      </c>
      <c r="H184">
        <v>0</v>
      </c>
      <c r="I184" t="s">
        <v>166</v>
      </c>
      <c r="J184" s="6">
        <v>106.425</v>
      </c>
      <c r="K184" s="4" t="str">
        <f t="shared" si="2"/>
        <v>High</v>
      </c>
      <c r="L184" t="s">
        <v>3561</v>
      </c>
      <c r="M184" s="4" t="s">
        <v>3561</v>
      </c>
      <c r="N184" t="s">
        <v>3566</v>
      </c>
      <c r="O184">
        <v>2</v>
      </c>
      <c r="P184" s="4" t="s">
        <v>3573</v>
      </c>
      <c r="Q184" t="s">
        <v>3573</v>
      </c>
    </row>
    <row r="185" spans="1:18">
      <c r="A185" t="s">
        <v>836</v>
      </c>
      <c r="B185" t="s">
        <v>9</v>
      </c>
      <c r="C185" t="s">
        <v>2436</v>
      </c>
      <c r="D185" t="s">
        <v>3552</v>
      </c>
      <c r="E185">
        <v>35</v>
      </c>
      <c r="F185" s="4" t="s">
        <v>3557</v>
      </c>
      <c r="G185" s="4">
        <v>0</v>
      </c>
      <c r="H185">
        <v>0</v>
      </c>
      <c r="I185" t="s">
        <v>122</v>
      </c>
      <c r="J185" s="6">
        <v>512.32920000000001</v>
      </c>
      <c r="K185" s="4" t="str">
        <f t="shared" si="2"/>
        <v>High</v>
      </c>
      <c r="L185" t="s">
        <v>260</v>
      </c>
      <c r="M185" s="4" t="s">
        <v>70</v>
      </c>
      <c r="N185" t="s">
        <v>3566</v>
      </c>
      <c r="O185">
        <v>3</v>
      </c>
      <c r="P185" s="4" t="s">
        <v>3573</v>
      </c>
      <c r="Q185" t="s">
        <v>3573</v>
      </c>
    </row>
    <row r="186" spans="1:18">
      <c r="A186" t="s">
        <v>836</v>
      </c>
      <c r="B186" t="s">
        <v>840</v>
      </c>
      <c r="C186" t="s">
        <v>2437</v>
      </c>
      <c r="D186" t="s">
        <v>3552</v>
      </c>
      <c r="E186">
        <v>28</v>
      </c>
      <c r="F186" s="4" t="s">
        <v>3555</v>
      </c>
      <c r="G186" s="4">
        <v>0</v>
      </c>
      <c r="H186">
        <v>0</v>
      </c>
      <c r="I186" t="s">
        <v>261</v>
      </c>
      <c r="J186" s="6">
        <v>27.720800000000001</v>
      </c>
      <c r="K186" s="4" t="str">
        <f t="shared" si="2"/>
        <v>Mid</v>
      </c>
      <c r="L186" t="s">
        <v>3561</v>
      </c>
      <c r="M186" s="4" t="s">
        <v>3561</v>
      </c>
      <c r="N186" t="s">
        <v>3566</v>
      </c>
      <c r="O186" t="s">
        <v>3569</v>
      </c>
      <c r="P186" s="4" t="s">
        <v>3573</v>
      </c>
      <c r="Q186" t="s">
        <v>3573</v>
      </c>
      <c r="R186" t="s">
        <v>235</v>
      </c>
    </row>
    <row r="187" spans="1:18">
      <c r="A187" t="s">
        <v>836</v>
      </c>
      <c r="B187" t="s">
        <v>840</v>
      </c>
      <c r="C187" t="s">
        <v>2438</v>
      </c>
      <c r="D187" t="s">
        <v>3552</v>
      </c>
      <c r="E187">
        <v>42</v>
      </c>
      <c r="F187" s="4" t="s">
        <v>3557</v>
      </c>
      <c r="G187" s="4">
        <v>0</v>
      </c>
      <c r="H187">
        <v>0</v>
      </c>
      <c r="I187">
        <v>17475</v>
      </c>
      <c r="J187" s="6">
        <v>26.55</v>
      </c>
      <c r="K187" s="4" t="str">
        <f t="shared" si="2"/>
        <v>Mid</v>
      </c>
      <c r="L187" t="s">
        <v>3561</v>
      </c>
      <c r="M187" s="4" t="s">
        <v>3561</v>
      </c>
      <c r="N187" t="s">
        <v>457</v>
      </c>
      <c r="O187" t="s">
        <v>3569</v>
      </c>
      <c r="P187" s="4" t="s">
        <v>3573</v>
      </c>
      <c r="Q187" t="s">
        <v>3573</v>
      </c>
      <c r="R187" t="s">
        <v>262</v>
      </c>
    </row>
    <row r="188" spans="1:18">
      <c r="A188" t="s">
        <v>836</v>
      </c>
      <c r="B188" t="s">
        <v>9</v>
      </c>
      <c r="C188" t="s">
        <v>2439</v>
      </c>
      <c r="D188" t="s">
        <v>3551</v>
      </c>
      <c r="E188">
        <v>55</v>
      </c>
      <c r="F188" s="4" t="s">
        <v>3557</v>
      </c>
      <c r="G188" s="4">
        <v>0</v>
      </c>
      <c r="H188">
        <v>0</v>
      </c>
      <c r="I188">
        <v>112377</v>
      </c>
      <c r="J188" s="6">
        <v>27.720800000000001</v>
      </c>
      <c r="K188" s="4" t="str">
        <f t="shared" si="2"/>
        <v>Mid</v>
      </c>
      <c r="L188" t="s">
        <v>3561</v>
      </c>
      <c r="M188" s="4" t="s">
        <v>3561</v>
      </c>
      <c r="N188" t="s">
        <v>3566</v>
      </c>
      <c r="O188">
        <v>6</v>
      </c>
      <c r="P188" s="4" t="s">
        <v>3573</v>
      </c>
      <c r="Q188" t="s">
        <v>3573</v>
      </c>
      <c r="R188" t="s">
        <v>262</v>
      </c>
    </row>
    <row r="189" spans="1:18">
      <c r="A189" t="s">
        <v>836</v>
      </c>
      <c r="B189" t="s">
        <v>9</v>
      </c>
      <c r="C189" t="s">
        <v>2440</v>
      </c>
      <c r="D189" t="s">
        <v>3551</v>
      </c>
      <c r="E189">
        <v>16</v>
      </c>
      <c r="F189" s="4" t="s">
        <v>3560</v>
      </c>
      <c r="G189" s="4">
        <v>1</v>
      </c>
      <c r="H189">
        <v>0</v>
      </c>
      <c r="I189" t="s">
        <v>263</v>
      </c>
      <c r="J189" s="6">
        <v>39.4</v>
      </c>
      <c r="K189" s="4" t="str">
        <f t="shared" si="2"/>
        <v>Mid</v>
      </c>
      <c r="L189" t="s">
        <v>264</v>
      </c>
      <c r="M189" s="4" t="s">
        <v>59</v>
      </c>
      <c r="N189" t="s">
        <v>457</v>
      </c>
      <c r="O189">
        <v>9</v>
      </c>
      <c r="P189" s="4" t="s">
        <v>3573</v>
      </c>
      <c r="Q189" t="s">
        <v>3573</v>
      </c>
      <c r="R189" t="s">
        <v>68</v>
      </c>
    </row>
    <row r="190" spans="1:18">
      <c r="A190" t="s">
        <v>836</v>
      </c>
      <c r="B190" t="s">
        <v>9</v>
      </c>
      <c r="C190" t="s">
        <v>2441</v>
      </c>
      <c r="D190" t="s">
        <v>3551</v>
      </c>
      <c r="E190">
        <v>51</v>
      </c>
      <c r="F190" s="4" t="s">
        <v>3557</v>
      </c>
      <c r="G190" s="4">
        <v>1</v>
      </c>
      <c r="H190">
        <v>0</v>
      </c>
      <c r="I190" t="s">
        <v>263</v>
      </c>
      <c r="J190" s="6">
        <v>39.4</v>
      </c>
      <c r="K190" s="4" t="str">
        <f t="shared" si="2"/>
        <v>Mid</v>
      </c>
      <c r="L190" t="s">
        <v>264</v>
      </c>
      <c r="M190" s="4" t="s">
        <v>59</v>
      </c>
      <c r="N190" t="s">
        <v>457</v>
      </c>
      <c r="O190">
        <v>9</v>
      </c>
      <c r="P190" s="4" t="s">
        <v>3573</v>
      </c>
      <c r="Q190" t="s">
        <v>3573</v>
      </c>
      <c r="R190" t="s">
        <v>68</v>
      </c>
    </row>
    <row r="191" spans="1:18">
      <c r="A191" t="s">
        <v>836</v>
      </c>
      <c r="B191" t="s">
        <v>840</v>
      </c>
      <c r="C191" t="s">
        <v>2442</v>
      </c>
      <c r="D191" t="s">
        <v>3552</v>
      </c>
      <c r="E191">
        <v>29</v>
      </c>
      <c r="F191" s="4" t="s">
        <v>3555</v>
      </c>
      <c r="G191" s="4">
        <v>0</v>
      </c>
      <c r="H191">
        <v>0</v>
      </c>
      <c r="I191">
        <v>113501</v>
      </c>
      <c r="J191" s="6">
        <v>30</v>
      </c>
      <c r="K191" s="4" t="str">
        <f t="shared" si="2"/>
        <v>Mid</v>
      </c>
      <c r="L191" t="s">
        <v>265</v>
      </c>
      <c r="M191" s="4" t="s">
        <v>59</v>
      </c>
      <c r="N191" t="s">
        <v>457</v>
      </c>
      <c r="O191" t="s">
        <v>3569</v>
      </c>
      <c r="P191" s="4">
        <v>126</v>
      </c>
      <c r="Q191" t="s">
        <v>3574</v>
      </c>
      <c r="R191" t="s">
        <v>266</v>
      </c>
    </row>
    <row r="192" spans="1:18">
      <c r="A192" t="s">
        <v>836</v>
      </c>
      <c r="B192" t="s">
        <v>9</v>
      </c>
      <c r="C192" t="s">
        <v>2443</v>
      </c>
      <c r="D192" t="s">
        <v>3551</v>
      </c>
      <c r="E192">
        <v>21</v>
      </c>
      <c r="F192" s="4" t="s">
        <v>3555</v>
      </c>
      <c r="G192" s="4">
        <v>0</v>
      </c>
      <c r="H192">
        <v>0</v>
      </c>
      <c r="I192">
        <v>13502</v>
      </c>
      <c r="J192" s="6">
        <v>77.958299999999994</v>
      </c>
      <c r="K192" s="4" t="str">
        <f t="shared" si="2"/>
        <v>High</v>
      </c>
      <c r="L192" t="s">
        <v>267</v>
      </c>
      <c r="M192" s="4" t="s">
        <v>59</v>
      </c>
      <c r="N192" t="s">
        <v>457</v>
      </c>
      <c r="O192">
        <v>10</v>
      </c>
      <c r="P192" s="4" t="s">
        <v>3573</v>
      </c>
      <c r="Q192" t="s">
        <v>3573</v>
      </c>
      <c r="R192" t="s">
        <v>55</v>
      </c>
    </row>
    <row r="193" spans="1:18">
      <c r="A193" t="s">
        <v>836</v>
      </c>
      <c r="B193" t="s">
        <v>840</v>
      </c>
      <c r="C193" t="s">
        <v>2444</v>
      </c>
      <c r="D193" t="s">
        <v>3552</v>
      </c>
      <c r="E193">
        <v>30</v>
      </c>
      <c r="F193" s="4" t="s">
        <v>3557</v>
      </c>
      <c r="G193" s="4">
        <v>0</v>
      </c>
      <c r="H193">
        <v>0</v>
      </c>
      <c r="I193">
        <v>113801</v>
      </c>
      <c r="J193" s="6">
        <v>45.5</v>
      </c>
      <c r="K193" s="4" t="str">
        <f t="shared" si="2"/>
        <v>Mid</v>
      </c>
      <c r="L193" t="s">
        <v>3561</v>
      </c>
      <c r="M193" s="4" t="s">
        <v>3561</v>
      </c>
      <c r="N193" t="s">
        <v>457</v>
      </c>
      <c r="O193" t="s">
        <v>3569</v>
      </c>
      <c r="P193" s="4" t="s">
        <v>3573</v>
      </c>
      <c r="Q193" t="s">
        <v>3573</v>
      </c>
      <c r="R193" t="s">
        <v>268</v>
      </c>
    </row>
    <row r="194" spans="1:18">
      <c r="A194" t="s">
        <v>836</v>
      </c>
      <c r="B194" t="s">
        <v>9</v>
      </c>
      <c r="C194" t="s">
        <v>2445</v>
      </c>
      <c r="D194" t="s">
        <v>3551</v>
      </c>
      <c r="E194">
        <v>58</v>
      </c>
      <c r="F194" s="4" t="s">
        <v>3557</v>
      </c>
      <c r="G194" s="4">
        <v>0</v>
      </c>
      <c r="H194">
        <v>0</v>
      </c>
      <c r="I194" t="s">
        <v>269</v>
      </c>
      <c r="J194" s="6">
        <v>146.52080000000001</v>
      </c>
      <c r="K194" s="4" t="str">
        <f t="shared" si="2"/>
        <v>High</v>
      </c>
      <c r="L194" t="s">
        <v>270</v>
      </c>
      <c r="M194" s="4" t="s">
        <v>70</v>
      </c>
      <c r="N194" t="s">
        <v>3566</v>
      </c>
      <c r="O194" t="s">
        <v>3569</v>
      </c>
      <c r="P194" s="4" t="s">
        <v>3573</v>
      </c>
      <c r="Q194" t="s">
        <v>3573</v>
      </c>
    </row>
    <row r="195" spans="1:18">
      <c r="A195" t="s">
        <v>836</v>
      </c>
      <c r="B195" t="s">
        <v>9</v>
      </c>
      <c r="C195" t="s">
        <v>2446</v>
      </c>
      <c r="D195" t="s">
        <v>3551</v>
      </c>
      <c r="E195">
        <v>15</v>
      </c>
      <c r="F195" s="4" t="s">
        <v>3560</v>
      </c>
      <c r="G195" s="4">
        <v>1</v>
      </c>
      <c r="H195">
        <v>0</v>
      </c>
      <c r="I195">
        <v>24160</v>
      </c>
      <c r="J195" s="6">
        <v>211.33750000000001</v>
      </c>
      <c r="K195" s="4" t="str">
        <f t="shared" ref="K195:K258" si="3">IF(J195&lt;=10,"Low",IF(J195&lt;=50,"Mid","High"))</f>
        <v>High</v>
      </c>
      <c r="L195" t="s">
        <v>48</v>
      </c>
      <c r="M195" s="4" t="s">
        <v>70</v>
      </c>
      <c r="N195" t="s">
        <v>457</v>
      </c>
      <c r="O195">
        <v>2</v>
      </c>
      <c r="P195" s="4" t="s">
        <v>3573</v>
      </c>
      <c r="Q195" t="s">
        <v>3573</v>
      </c>
      <c r="R195" t="s">
        <v>49</v>
      </c>
    </row>
    <row r="196" spans="1:18">
      <c r="A196" t="s">
        <v>836</v>
      </c>
      <c r="B196" t="s">
        <v>840</v>
      </c>
      <c r="C196" t="s">
        <v>2447</v>
      </c>
      <c r="D196" t="s">
        <v>3552</v>
      </c>
      <c r="E196">
        <v>30</v>
      </c>
      <c r="F196" s="4" t="s">
        <v>3557</v>
      </c>
      <c r="G196" s="4">
        <v>0</v>
      </c>
      <c r="H196">
        <v>0</v>
      </c>
      <c r="I196">
        <v>110469</v>
      </c>
      <c r="J196" s="6">
        <v>26</v>
      </c>
      <c r="K196" s="4" t="str">
        <f t="shared" si="3"/>
        <v>Mid</v>
      </c>
      <c r="L196" t="s">
        <v>271</v>
      </c>
      <c r="M196" s="4" t="s">
        <v>62</v>
      </c>
      <c r="N196" t="s">
        <v>457</v>
      </c>
      <c r="O196" t="s">
        <v>3569</v>
      </c>
      <c r="P196" s="4" t="s">
        <v>3573</v>
      </c>
      <c r="Q196" t="s">
        <v>3573</v>
      </c>
      <c r="R196" t="s">
        <v>272</v>
      </c>
    </row>
    <row r="197" spans="1:18">
      <c r="A197" t="s">
        <v>836</v>
      </c>
      <c r="B197" t="s">
        <v>9</v>
      </c>
      <c r="C197" t="s">
        <v>2448</v>
      </c>
      <c r="D197" t="s">
        <v>3551</v>
      </c>
      <c r="E197">
        <v>16</v>
      </c>
      <c r="F197" s="4" t="s">
        <v>3560</v>
      </c>
      <c r="G197" s="4">
        <v>0</v>
      </c>
      <c r="H197">
        <v>0</v>
      </c>
      <c r="I197">
        <v>110152</v>
      </c>
      <c r="J197" s="6">
        <v>86.5</v>
      </c>
      <c r="K197" s="4" t="str">
        <f t="shared" si="3"/>
        <v>High</v>
      </c>
      <c r="L197" t="s">
        <v>273</v>
      </c>
      <c r="M197" s="4" t="s">
        <v>70</v>
      </c>
      <c r="N197" t="s">
        <v>457</v>
      </c>
      <c r="O197">
        <v>8</v>
      </c>
      <c r="P197" s="4" t="s">
        <v>3573</v>
      </c>
      <c r="Q197" t="s">
        <v>3573</v>
      </c>
    </row>
    <row r="198" spans="1:18">
      <c r="A198" t="s">
        <v>836</v>
      </c>
      <c r="B198" t="s">
        <v>9</v>
      </c>
      <c r="C198" t="s">
        <v>2449</v>
      </c>
      <c r="D198" t="s">
        <v>3552</v>
      </c>
      <c r="E198">
        <v>28</v>
      </c>
      <c r="F198" s="4" t="s">
        <v>3555</v>
      </c>
      <c r="G198" s="4">
        <v>0</v>
      </c>
      <c r="H198">
        <v>0</v>
      </c>
      <c r="I198">
        <v>11774</v>
      </c>
      <c r="J198" s="6">
        <v>29.7</v>
      </c>
      <c r="K198" s="4" t="str">
        <f t="shared" si="3"/>
        <v>Mid</v>
      </c>
      <c r="L198" t="s">
        <v>274</v>
      </c>
      <c r="M198" s="4" t="s">
        <v>62</v>
      </c>
      <c r="N198" t="s">
        <v>3566</v>
      </c>
      <c r="O198">
        <v>7</v>
      </c>
      <c r="P198" s="4" t="s">
        <v>3573</v>
      </c>
      <c r="Q198" t="s">
        <v>3573</v>
      </c>
      <c r="R198" t="s">
        <v>68</v>
      </c>
    </row>
    <row r="199" spans="1:18">
      <c r="A199" t="s">
        <v>836</v>
      </c>
      <c r="B199" t="s">
        <v>840</v>
      </c>
      <c r="C199" t="s">
        <v>2450</v>
      </c>
      <c r="D199" t="s">
        <v>3552</v>
      </c>
      <c r="E199">
        <v>19</v>
      </c>
      <c r="F199" s="4" t="s">
        <v>3555</v>
      </c>
      <c r="G199" s="4">
        <v>0</v>
      </c>
      <c r="H199">
        <v>1</v>
      </c>
      <c r="I199">
        <v>113773</v>
      </c>
      <c r="J199" s="6">
        <v>53.1</v>
      </c>
      <c r="K199" s="4" t="str">
        <f t="shared" si="3"/>
        <v>High</v>
      </c>
      <c r="L199" t="s">
        <v>275</v>
      </c>
      <c r="M199" s="4" t="s">
        <v>59</v>
      </c>
      <c r="N199" t="s">
        <v>457</v>
      </c>
      <c r="O199" t="s">
        <v>3569</v>
      </c>
      <c r="P199" s="4" t="s">
        <v>3573</v>
      </c>
      <c r="Q199" t="s">
        <v>3573</v>
      </c>
      <c r="R199" t="s">
        <v>53</v>
      </c>
    </row>
    <row r="200" spans="1:18">
      <c r="A200" t="s">
        <v>836</v>
      </c>
      <c r="B200" t="s">
        <v>9</v>
      </c>
      <c r="C200" t="s">
        <v>2451</v>
      </c>
      <c r="D200" t="s">
        <v>3551</v>
      </c>
      <c r="E200">
        <v>18</v>
      </c>
      <c r="F200" s="4" t="s">
        <v>3555</v>
      </c>
      <c r="G200" s="4">
        <v>0</v>
      </c>
      <c r="H200">
        <v>1</v>
      </c>
      <c r="I200">
        <v>113773</v>
      </c>
      <c r="J200" s="6">
        <v>53.1</v>
      </c>
      <c r="K200" s="4" t="str">
        <f t="shared" si="3"/>
        <v>High</v>
      </c>
      <c r="L200" t="s">
        <v>275</v>
      </c>
      <c r="M200" s="4" t="s">
        <v>59</v>
      </c>
      <c r="N200" t="s">
        <v>457</v>
      </c>
      <c r="O200">
        <v>10</v>
      </c>
      <c r="P200" s="4" t="s">
        <v>3573</v>
      </c>
      <c r="Q200" t="s">
        <v>3573</v>
      </c>
      <c r="R200" t="s">
        <v>53</v>
      </c>
    </row>
    <row r="201" spans="1:18">
      <c r="A201" t="s">
        <v>836</v>
      </c>
      <c r="B201" t="s">
        <v>9</v>
      </c>
      <c r="C201" t="s">
        <v>2452</v>
      </c>
      <c r="D201" t="s">
        <v>3551</v>
      </c>
      <c r="E201">
        <v>24</v>
      </c>
      <c r="F201" s="4" t="s">
        <v>3555</v>
      </c>
      <c r="G201" s="4">
        <v>0</v>
      </c>
      <c r="H201">
        <v>0</v>
      </c>
      <c r="I201" t="s">
        <v>276</v>
      </c>
      <c r="J201" s="6">
        <v>49.504199999999997</v>
      </c>
      <c r="K201" s="4" t="str">
        <f t="shared" si="3"/>
        <v>Mid</v>
      </c>
      <c r="L201" t="s">
        <v>277</v>
      </c>
      <c r="M201" s="4" t="s">
        <v>62</v>
      </c>
      <c r="N201" t="s">
        <v>3566</v>
      </c>
      <c r="O201">
        <v>6</v>
      </c>
      <c r="P201" s="4" t="s">
        <v>3573</v>
      </c>
      <c r="Q201" t="s">
        <v>3573</v>
      </c>
      <c r="R201" t="s">
        <v>278</v>
      </c>
    </row>
    <row r="202" spans="1:18">
      <c r="A202" t="s">
        <v>836</v>
      </c>
      <c r="B202" t="s">
        <v>840</v>
      </c>
      <c r="C202" t="s">
        <v>2453</v>
      </c>
      <c r="D202" t="s">
        <v>3552</v>
      </c>
      <c r="E202">
        <v>46</v>
      </c>
      <c r="F202" s="4" t="s">
        <v>3557</v>
      </c>
      <c r="G202" s="4">
        <v>0</v>
      </c>
      <c r="H202">
        <v>0</v>
      </c>
      <c r="I202">
        <v>13050</v>
      </c>
      <c r="J202" s="6">
        <v>75.241699999999994</v>
      </c>
      <c r="K202" s="4" t="str">
        <f t="shared" si="3"/>
        <v>High</v>
      </c>
      <c r="L202" t="s">
        <v>77</v>
      </c>
      <c r="M202" s="4" t="s">
        <v>62</v>
      </c>
      <c r="N202" t="s">
        <v>3566</v>
      </c>
      <c r="O202" t="s">
        <v>3569</v>
      </c>
      <c r="P202" s="4">
        <v>292</v>
      </c>
      <c r="Q202" t="s">
        <v>3574</v>
      </c>
      <c r="R202" t="s">
        <v>279</v>
      </c>
    </row>
    <row r="203" spans="1:18">
      <c r="A203" t="s">
        <v>836</v>
      </c>
      <c r="B203" t="s">
        <v>840</v>
      </c>
      <c r="C203" t="s">
        <v>2454</v>
      </c>
      <c r="D203" t="s">
        <v>3552</v>
      </c>
      <c r="E203">
        <v>54</v>
      </c>
      <c r="F203" s="4" t="s">
        <v>3557</v>
      </c>
      <c r="G203" s="4">
        <v>0</v>
      </c>
      <c r="H203">
        <v>0</v>
      </c>
      <c r="I203">
        <v>17463</v>
      </c>
      <c r="J203" s="6">
        <v>51.862499999999997</v>
      </c>
      <c r="K203" s="4" t="str">
        <f t="shared" si="3"/>
        <v>High</v>
      </c>
      <c r="L203" t="s">
        <v>230</v>
      </c>
      <c r="M203" s="4" t="s">
        <v>3564</v>
      </c>
      <c r="N203" t="s">
        <v>457</v>
      </c>
      <c r="O203" t="s">
        <v>3569</v>
      </c>
      <c r="P203" s="4">
        <v>175</v>
      </c>
      <c r="Q203" t="s">
        <v>3574</v>
      </c>
      <c r="R203" t="s">
        <v>280</v>
      </c>
    </row>
    <row r="204" spans="1:18">
      <c r="A204" t="s">
        <v>836</v>
      </c>
      <c r="B204" t="s">
        <v>9</v>
      </c>
      <c r="C204" t="s">
        <v>2455</v>
      </c>
      <c r="D204" t="s">
        <v>3552</v>
      </c>
      <c r="E204">
        <v>36</v>
      </c>
      <c r="F204" s="4" t="s">
        <v>3557</v>
      </c>
      <c r="G204" s="4">
        <v>0</v>
      </c>
      <c r="H204">
        <v>0</v>
      </c>
      <c r="I204" t="s">
        <v>281</v>
      </c>
      <c r="J204" s="6">
        <v>26.287500000000001</v>
      </c>
      <c r="K204" s="4" t="str">
        <f t="shared" si="3"/>
        <v>Mid</v>
      </c>
      <c r="L204" t="s">
        <v>185</v>
      </c>
      <c r="M204" s="4" t="s">
        <v>3564</v>
      </c>
      <c r="N204" t="s">
        <v>457</v>
      </c>
      <c r="O204">
        <v>7</v>
      </c>
      <c r="P204" s="4" t="s">
        <v>3573</v>
      </c>
      <c r="Q204" t="s">
        <v>3573</v>
      </c>
      <c r="R204" t="s">
        <v>111</v>
      </c>
    </row>
    <row r="205" spans="1:18">
      <c r="A205" t="s">
        <v>836</v>
      </c>
      <c r="B205" t="s">
        <v>840</v>
      </c>
      <c r="C205" t="s">
        <v>2456</v>
      </c>
      <c r="D205" t="s">
        <v>3552</v>
      </c>
      <c r="E205">
        <v>28</v>
      </c>
      <c r="F205" s="4" t="s">
        <v>3555</v>
      </c>
      <c r="G205" s="4">
        <v>0</v>
      </c>
      <c r="H205">
        <v>1</v>
      </c>
      <c r="I205" t="s">
        <v>282</v>
      </c>
      <c r="J205" s="6">
        <v>82.1708</v>
      </c>
      <c r="K205" s="4" t="str">
        <f t="shared" si="3"/>
        <v>High</v>
      </c>
      <c r="L205" t="s">
        <v>3561</v>
      </c>
      <c r="M205" s="4" t="s">
        <v>3561</v>
      </c>
      <c r="N205" t="s">
        <v>3566</v>
      </c>
      <c r="O205" t="s">
        <v>3569</v>
      </c>
      <c r="P205" s="4" t="s">
        <v>3573</v>
      </c>
      <c r="Q205" t="s">
        <v>3573</v>
      </c>
      <c r="R205" t="s">
        <v>53</v>
      </c>
    </row>
    <row r="206" spans="1:18">
      <c r="A206" t="s">
        <v>836</v>
      </c>
      <c r="B206" t="s">
        <v>9</v>
      </c>
      <c r="C206" t="s">
        <v>2457</v>
      </c>
      <c r="D206" t="s">
        <v>3551</v>
      </c>
      <c r="E206">
        <v>28</v>
      </c>
      <c r="F206" s="4" t="s">
        <v>3555</v>
      </c>
      <c r="G206" s="4">
        <v>0</v>
      </c>
      <c r="H206">
        <v>1</v>
      </c>
      <c r="I206" t="s">
        <v>282</v>
      </c>
      <c r="J206" s="6">
        <v>82.1708</v>
      </c>
      <c r="K206" s="4" t="str">
        <f t="shared" si="3"/>
        <v>High</v>
      </c>
      <c r="L206" t="s">
        <v>3561</v>
      </c>
      <c r="M206" s="4" t="s">
        <v>3561</v>
      </c>
      <c r="N206" t="s">
        <v>3566</v>
      </c>
      <c r="O206">
        <v>6</v>
      </c>
      <c r="P206" s="4" t="s">
        <v>3573</v>
      </c>
      <c r="Q206" t="s">
        <v>3573</v>
      </c>
      <c r="R206" t="s">
        <v>53</v>
      </c>
    </row>
    <row r="207" spans="1:18">
      <c r="A207" t="s">
        <v>836</v>
      </c>
      <c r="B207" t="s">
        <v>840</v>
      </c>
      <c r="C207" t="s">
        <v>2458</v>
      </c>
      <c r="D207" t="s">
        <v>3552</v>
      </c>
      <c r="E207">
        <v>65</v>
      </c>
      <c r="F207" s="4" t="s">
        <v>3559</v>
      </c>
      <c r="G207" s="4">
        <v>0</v>
      </c>
      <c r="H207">
        <v>0</v>
      </c>
      <c r="I207">
        <v>13509</v>
      </c>
      <c r="J207" s="6">
        <v>26.55</v>
      </c>
      <c r="K207" s="4" t="str">
        <f t="shared" si="3"/>
        <v>Mid</v>
      </c>
      <c r="L207" t="s">
        <v>283</v>
      </c>
      <c r="M207" s="4" t="s">
        <v>3564</v>
      </c>
      <c r="N207" t="s">
        <v>457</v>
      </c>
      <c r="O207" t="s">
        <v>3569</v>
      </c>
      <c r="P207" s="4">
        <v>249</v>
      </c>
      <c r="Q207" t="s">
        <v>3574</v>
      </c>
      <c r="R207" t="s">
        <v>284</v>
      </c>
    </row>
    <row r="208" spans="1:18">
      <c r="A208" t="s">
        <v>836</v>
      </c>
      <c r="B208" t="s">
        <v>840</v>
      </c>
      <c r="C208" t="s">
        <v>2459</v>
      </c>
      <c r="D208" t="s">
        <v>3552</v>
      </c>
      <c r="E208">
        <v>44</v>
      </c>
      <c r="F208" s="4" t="s">
        <v>3557</v>
      </c>
      <c r="G208" s="4">
        <v>0</v>
      </c>
      <c r="H208">
        <v>2</v>
      </c>
      <c r="I208">
        <v>19928</v>
      </c>
      <c r="J208" s="6">
        <v>90</v>
      </c>
      <c r="K208" s="4" t="str">
        <f t="shared" si="3"/>
        <v>High</v>
      </c>
      <c r="L208" t="s">
        <v>285</v>
      </c>
      <c r="M208" s="4" t="s">
        <v>62</v>
      </c>
      <c r="N208" t="s">
        <v>3567</v>
      </c>
      <c r="O208" t="s">
        <v>3569</v>
      </c>
      <c r="P208" s="4">
        <v>230</v>
      </c>
      <c r="Q208" t="s">
        <v>3574</v>
      </c>
      <c r="R208" t="s">
        <v>286</v>
      </c>
    </row>
    <row r="209" spans="1:18">
      <c r="A209" t="s">
        <v>836</v>
      </c>
      <c r="B209" t="s">
        <v>9</v>
      </c>
      <c r="C209" t="s">
        <v>2460</v>
      </c>
      <c r="D209" t="s">
        <v>3551</v>
      </c>
      <c r="E209">
        <v>33</v>
      </c>
      <c r="F209" s="4" t="s">
        <v>3557</v>
      </c>
      <c r="G209" s="4">
        <v>0</v>
      </c>
      <c r="H209">
        <v>1</v>
      </c>
      <c r="I209">
        <v>19928</v>
      </c>
      <c r="J209" s="6">
        <v>90</v>
      </c>
      <c r="K209" s="4" t="str">
        <f t="shared" si="3"/>
        <v>High</v>
      </c>
      <c r="L209" t="s">
        <v>285</v>
      </c>
      <c r="M209" s="4" t="s">
        <v>62</v>
      </c>
      <c r="N209" t="s">
        <v>3567</v>
      </c>
      <c r="O209">
        <v>14</v>
      </c>
      <c r="P209" s="4" t="s">
        <v>3573</v>
      </c>
      <c r="Q209" t="s">
        <v>3573</v>
      </c>
      <c r="R209" t="s">
        <v>287</v>
      </c>
    </row>
    <row r="210" spans="1:18">
      <c r="A210" t="s">
        <v>836</v>
      </c>
      <c r="B210" t="s">
        <v>9</v>
      </c>
      <c r="C210" t="s">
        <v>2461</v>
      </c>
      <c r="D210" t="s">
        <v>3551</v>
      </c>
      <c r="E210">
        <v>37</v>
      </c>
      <c r="F210" s="4" t="s">
        <v>3557</v>
      </c>
      <c r="G210" s="4">
        <v>0</v>
      </c>
      <c r="H210">
        <v>1</v>
      </c>
      <c r="I210">
        <v>19928</v>
      </c>
      <c r="J210" s="6">
        <v>90</v>
      </c>
      <c r="K210" s="4" t="str">
        <f t="shared" si="3"/>
        <v>High</v>
      </c>
      <c r="L210" t="s">
        <v>285</v>
      </c>
      <c r="M210" s="4" t="s">
        <v>62</v>
      </c>
      <c r="N210" t="s">
        <v>3567</v>
      </c>
      <c r="O210">
        <v>14</v>
      </c>
      <c r="P210" s="4" t="s">
        <v>3573</v>
      </c>
      <c r="Q210" t="s">
        <v>3573</v>
      </c>
      <c r="R210" t="s">
        <v>286</v>
      </c>
    </row>
    <row r="211" spans="1:18">
      <c r="A211" t="s">
        <v>836</v>
      </c>
      <c r="B211" t="s">
        <v>9</v>
      </c>
      <c r="C211" t="s">
        <v>2462</v>
      </c>
      <c r="D211" t="s">
        <v>3552</v>
      </c>
      <c r="E211">
        <v>30</v>
      </c>
      <c r="F211" s="4" t="s">
        <v>3557</v>
      </c>
      <c r="G211" s="4">
        <v>0</v>
      </c>
      <c r="H211">
        <v>1</v>
      </c>
      <c r="I211">
        <v>13236</v>
      </c>
      <c r="J211" s="6">
        <v>57.75</v>
      </c>
      <c r="K211" s="4" t="str">
        <f t="shared" si="3"/>
        <v>High</v>
      </c>
      <c r="L211" t="s">
        <v>285</v>
      </c>
      <c r="M211" s="4" t="s">
        <v>62</v>
      </c>
      <c r="N211" t="s">
        <v>3566</v>
      </c>
      <c r="O211">
        <v>11</v>
      </c>
      <c r="P211" s="4" t="s">
        <v>3573</v>
      </c>
      <c r="Q211" t="s">
        <v>3573</v>
      </c>
      <c r="R211" t="s">
        <v>53</v>
      </c>
    </row>
    <row r="212" spans="1:18">
      <c r="A212" t="s">
        <v>836</v>
      </c>
      <c r="B212" t="s">
        <v>840</v>
      </c>
      <c r="C212" t="s">
        <v>2463</v>
      </c>
      <c r="D212" t="s">
        <v>3552</v>
      </c>
      <c r="E212">
        <v>55</v>
      </c>
      <c r="F212" s="4" t="s">
        <v>3557</v>
      </c>
      <c r="G212" s="4">
        <v>0</v>
      </c>
      <c r="H212">
        <v>0</v>
      </c>
      <c r="I212">
        <v>113787</v>
      </c>
      <c r="J212" s="6">
        <v>30.5</v>
      </c>
      <c r="K212" s="4" t="str">
        <f t="shared" si="3"/>
        <v>Mid</v>
      </c>
      <c r="L212" t="s">
        <v>288</v>
      </c>
      <c r="M212" s="4" t="s">
        <v>62</v>
      </c>
      <c r="N212" t="s">
        <v>457</v>
      </c>
      <c r="O212" t="s">
        <v>3569</v>
      </c>
      <c r="P212" s="4" t="s">
        <v>3573</v>
      </c>
      <c r="Q212" t="s">
        <v>3573</v>
      </c>
      <c r="R212" t="s">
        <v>75</v>
      </c>
    </row>
    <row r="213" spans="1:18">
      <c r="A213" t="s">
        <v>836</v>
      </c>
      <c r="B213" t="s">
        <v>840</v>
      </c>
      <c r="C213" t="s">
        <v>2464</v>
      </c>
      <c r="D213" t="s">
        <v>3552</v>
      </c>
      <c r="E213">
        <v>47</v>
      </c>
      <c r="F213" s="4" t="s">
        <v>3557</v>
      </c>
      <c r="G213" s="4">
        <v>0</v>
      </c>
      <c r="H213">
        <v>0</v>
      </c>
      <c r="I213">
        <v>113796</v>
      </c>
      <c r="J213" s="6">
        <v>42.4</v>
      </c>
      <c r="K213" s="4" t="str">
        <f t="shared" si="3"/>
        <v>Mid</v>
      </c>
      <c r="L213" t="s">
        <v>3561</v>
      </c>
      <c r="M213" s="4" t="s">
        <v>3561</v>
      </c>
      <c r="N213" t="s">
        <v>457</v>
      </c>
      <c r="O213" t="s">
        <v>3569</v>
      </c>
      <c r="P213" s="4" t="s">
        <v>3573</v>
      </c>
      <c r="Q213" t="s">
        <v>3573</v>
      </c>
      <c r="R213" t="s">
        <v>118</v>
      </c>
    </row>
    <row r="214" spans="1:18">
      <c r="A214" t="s">
        <v>836</v>
      </c>
      <c r="B214" t="s">
        <v>840</v>
      </c>
      <c r="C214" t="s">
        <v>2465</v>
      </c>
      <c r="D214" t="s">
        <v>3552</v>
      </c>
      <c r="E214">
        <v>37</v>
      </c>
      <c r="F214" s="4" t="s">
        <v>3557</v>
      </c>
      <c r="G214" s="4">
        <v>1</v>
      </c>
      <c r="H214">
        <v>0</v>
      </c>
      <c r="I214" t="s">
        <v>289</v>
      </c>
      <c r="J214" s="6">
        <v>29.7</v>
      </c>
      <c r="K214" s="4" t="str">
        <f t="shared" si="3"/>
        <v>Mid</v>
      </c>
      <c r="L214" t="s">
        <v>290</v>
      </c>
      <c r="M214" s="4" t="s">
        <v>62</v>
      </c>
      <c r="N214" t="s">
        <v>3566</v>
      </c>
      <c r="O214" t="s">
        <v>3569</v>
      </c>
      <c r="P214" s="4" t="s">
        <v>3573</v>
      </c>
      <c r="Q214" t="s">
        <v>3573</v>
      </c>
      <c r="R214" t="s">
        <v>186</v>
      </c>
    </row>
    <row r="215" spans="1:18">
      <c r="A215" t="s">
        <v>836</v>
      </c>
      <c r="B215" t="s">
        <v>9</v>
      </c>
      <c r="C215" t="s">
        <v>2466</v>
      </c>
      <c r="D215" t="s">
        <v>3551</v>
      </c>
      <c r="E215">
        <v>31</v>
      </c>
      <c r="F215" s="4" t="s">
        <v>3557</v>
      </c>
      <c r="G215" s="4">
        <v>0</v>
      </c>
      <c r="H215">
        <v>1</v>
      </c>
      <c r="I215">
        <v>35273</v>
      </c>
      <c r="J215" s="6">
        <v>113.27500000000001</v>
      </c>
      <c r="K215" s="4" t="str">
        <f t="shared" si="3"/>
        <v>High</v>
      </c>
      <c r="L215" t="s">
        <v>291</v>
      </c>
      <c r="M215" s="4" t="s">
        <v>59</v>
      </c>
      <c r="N215" t="s">
        <v>3566</v>
      </c>
      <c r="O215">
        <v>6</v>
      </c>
      <c r="P215" s="4" t="s">
        <v>3573</v>
      </c>
      <c r="Q215" t="s">
        <v>3573</v>
      </c>
      <c r="R215" t="s">
        <v>292</v>
      </c>
    </row>
    <row r="216" spans="1:18">
      <c r="A216" t="s">
        <v>836</v>
      </c>
      <c r="B216" t="s">
        <v>9</v>
      </c>
      <c r="C216" t="s">
        <v>2467</v>
      </c>
      <c r="D216" t="s">
        <v>3551</v>
      </c>
      <c r="E216">
        <v>23</v>
      </c>
      <c r="F216" s="4" t="s">
        <v>3555</v>
      </c>
      <c r="G216" s="4">
        <v>0</v>
      </c>
      <c r="H216">
        <v>1</v>
      </c>
      <c r="I216">
        <v>35273</v>
      </c>
      <c r="J216" s="6">
        <v>113.27500000000001</v>
      </c>
      <c r="K216" s="4" t="str">
        <f t="shared" si="3"/>
        <v>High</v>
      </c>
      <c r="L216" t="s">
        <v>291</v>
      </c>
      <c r="M216" s="4" t="s">
        <v>59</v>
      </c>
      <c r="N216" t="s">
        <v>3566</v>
      </c>
      <c r="O216">
        <v>6</v>
      </c>
      <c r="P216" s="4" t="s">
        <v>3573</v>
      </c>
      <c r="Q216" t="s">
        <v>3573</v>
      </c>
      <c r="R216" t="s">
        <v>292</v>
      </c>
    </row>
    <row r="217" spans="1:18">
      <c r="A217" t="s">
        <v>836</v>
      </c>
      <c r="B217" t="s">
        <v>840</v>
      </c>
      <c r="C217" t="s">
        <v>2468</v>
      </c>
      <c r="D217" t="s">
        <v>3552</v>
      </c>
      <c r="E217">
        <v>58</v>
      </c>
      <c r="F217" s="4" t="s">
        <v>3557</v>
      </c>
      <c r="G217" s="4">
        <v>2</v>
      </c>
      <c r="H217">
        <v>0</v>
      </c>
      <c r="I217">
        <v>35273</v>
      </c>
      <c r="J217" s="6">
        <v>113.27500000000001</v>
      </c>
      <c r="K217" s="4" t="str">
        <f t="shared" si="3"/>
        <v>High</v>
      </c>
      <c r="L217" t="s">
        <v>293</v>
      </c>
      <c r="M217" s="4" t="s">
        <v>59</v>
      </c>
      <c r="N217" t="s">
        <v>3566</v>
      </c>
      <c r="O217" t="s">
        <v>3569</v>
      </c>
      <c r="P217" s="4">
        <v>122</v>
      </c>
      <c r="Q217" t="s">
        <v>3574</v>
      </c>
      <c r="R217" t="s">
        <v>292</v>
      </c>
    </row>
    <row r="218" spans="1:18">
      <c r="A218" t="s">
        <v>836</v>
      </c>
      <c r="B218" t="s">
        <v>9</v>
      </c>
      <c r="C218" t="s">
        <v>2469</v>
      </c>
      <c r="D218" t="s">
        <v>3551</v>
      </c>
      <c r="E218">
        <v>19</v>
      </c>
      <c r="F218" s="4" t="s">
        <v>3555</v>
      </c>
      <c r="G218" s="4">
        <v>2</v>
      </c>
      <c r="H218">
        <v>0</v>
      </c>
      <c r="I218">
        <v>11752</v>
      </c>
      <c r="J218" s="6">
        <v>26.283300000000001</v>
      </c>
      <c r="K218" s="4" t="str">
        <f t="shared" si="3"/>
        <v>Mid</v>
      </c>
      <c r="L218" t="s">
        <v>294</v>
      </c>
      <c r="M218" s="4" t="s">
        <v>59</v>
      </c>
      <c r="N218" t="s">
        <v>457</v>
      </c>
      <c r="O218">
        <v>5</v>
      </c>
      <c r="P218" s="4" t="s">
        <v>3573</v>
      </c>
      <c r="Q218" t="s">
        <v>3573</v>
      </c>
      <c r="R218" t="s">
        <v>53</v>
      </c>
    </row>
    <row r="219" spans="1:18">
      <c r="A219" t="s">
        <v>836</v>
      </c>
      <c r="B219" t="s">
        <v>840</v>
      </c>
      <c r="C219" t="s">
        <v>2470</v>
      </c>
      <c r="D219" t="s">
        <v>3552</v>
      </c>
      <c r="E219">
        <v>64</v>
      </c>
      <c r="F219" s="4" t="s">
        <v>3559</v>
      </c>
      <c r="G219" s="4">
        <v>0</v>
      </c>
      <c r="H219">
        <v>0</v>
      </c>
      <c r="I219">
        <v>693</v>
      </c>
      <c r="J219" s="6">
        <v>26</v>
      </c>
      <c r="K219" s="4" t="str">
        <f t="shared" si="3"/>
        <v>Mid</v>
      </c>
      <c r="L219" t="s">
        <v>3561</v>
      </c>
      <c r="M219" s="4" t="s">
        <v>3561</v>
      </c>
      <c r="N219" t="s">
        <v>457</v>
      </c>
      <c r="O219" t="s">
        <v>3569</v>
      </c>
      <c r="P219" s="4">
        <v>263</v>
      </c>
      <c r="Q219" t="s">
        <v>3574</v>
      </c>
      <c r="R219" t="s">
        <v>295</v>
      </c>
    </row>
    <row r="220" spans="1:18">
      <c r="A220" t="s">
        <v>836</v>
      </c>
      <c r="B220" t="s">
        <v>9</v>
      </c>
      <c r="C220" t="s">
        <v>2471</v>
      </c>
      <c r="D220" t="s">
        <v>3551</v>
      </c>
      <c r="E220">
        <v>39</v>
      </c>
      <c r="F220" s="4" t="s">
        <v>3557</v>
      </c>
      <c r="G220" s="4">
        <v>0</v>
      </c>
      <c r="H220">
        <v>0</v>
      </c>
      <c r="I220" t="s">
        <v>296</v>
      </c>
      <c r="J220" s="6">
        <v>108.9</v>
      </c>
      <c r="K220" s="4" t="str">
        <f t="shared" si="3"/>
        <v>High</v>
      </c>
      <c r="L220" t="s">
        <v>297</v>
      </c>
      <c r="M220" s="4" t="s">
        <v>62</v>
      </c>
      <c r="N220" t="s">
        <v>3566</v>
      </c>
      <c r="O220">
        <v>8</v>
      </c>
      <c r="P220" s="4" t="s">
        <v>3573</v>
      </c>
      <c r="Q220" t="s">
        <v>3573</v>
      </c>
    </row>
    <row r="221" spans="1:18">
      <c r="A221" t="s">
        <v>836</v>
      </c>
      <c r="B221" t="s">
        <v>9</v>
      </c>
      <c r="C221" t="s">
        <v>2472</v>
      </c>
      <c r="D221" t="s">
        <v>3552</v>
      </c>
      <c r="E221">
        <v>28</v>
      </c>
      <c r="F221" s="4" t="s">
        <v>3555</v>
      </c>
      <c r="G221" s="4">
        <v>0</v>
      </c>
      <c r="H221">
        <v>0</v>
      </c>
      <c r="I221" t="s">
        <v>298</v>
      </c>
      <c r="J221" s="6">
        <v>25.741700000000002</v>
      </c>
      <c r="K221" s="4" t="str">
        <f t="shared" si="3"/>
        <v>Mid</v>
      </c>
      <c r="L221" t="s">
        <v>3561</v>
      </c>
      <c r="M221" s="4" t="s">
        <v>3561</v>
      </c>
      <c r="N221" t="s">
        <v>3566</v>
      </c>
      <c r="O221">
        <v>7</v>
      </c>
      <c r="P221" s="4" t="s">
        <v>3573</v>
      </c>
      <c r="Q221" t="s">
        <v>3573</v>
      </c>
      <c r="R221" t="s">
        <v>68</v>
      </c>
    </row>
    <row r="222" spans="1:18">
      <c r="A222" t="s">
        <v>836</v>
      </c>
      <c r="B222" t="s">
        <v>9</v>
      </c>
      <c r="C222" t="s">
        <v>2473</v>
      </c>
      <c r="D222" t="s">
        <v>3551</v>
      </c>
      <c r="E222">
        <v>22</v>
      </c>
      <c r="F222" s="4" t="s">
        <v>3555</v>
      </c>
      <c r="G222" s="4">
        <v>1</v>
      </c>
      <c r="H222">
        <v>0</v>
      </c>
      <c r="I222">
        <v>113509</v>
      </c>
      <c r="J222" s="6">
        <v>61.979199999999999</v>
      </c>
      <c r="K222" s="4" t="str">
        <f t="shared" si="3"/>
        <v>High</v>
      </c>
      <c r="L222" t="s">
        <v>299</v>
      </c>
      <c r="M222" s="4" t="s">
        <v>70</v>
      </c>
      <c r="N222" t="s">
        <v>3566</v>
      </c>
      <c r="O222">
        <v>5</v>
      </c>
      <c r="P222" s="4" t="s">
        <v>3573</v>
      </c>
      <c r="Q222" t="s">
        <v>3573</v>
      </c>
      <c r="R222" t="s">
        <v>300</v>
      </c>
    </row>
    <row r="223" spans="1:18">
      <c r="A223" t="s">
        <v>836</v>
      </c>
      <c r="B223" t="s">
        <v>840</v>
      </c>
      <c r="C223" t="s">
        <v>2474</v>
      </c>
      <c r="D223" t="s">
        <v>3552</v>
      </c>
      <c r="E223">
        <v>65</v>
      </c>
      <c r="F223" s="4" t="s">
        <v>3559</v>
      </c>
      <c r="G223" s="4">
        <v>1</v>
      </c>
      <c r="H223">
        <v>0</v>
      </c>
      <c r="I223">
        <v>113509</v>
      </c>
      <c r="J223" s="6">
        <v>61.979199999999999</v>
      </c>
      <c r="K223" s="4" t="str">
        <f t="shared" si="3"/>
        <v>High</v>
      </c>
      <c r="L223" t="s">
        <v>301</v>
      </c>
      <c r="M223" s="4" t="s">
        <v>70</v>
      </c>
      <c r="N223" t="s">
        <v>3566</v>
      </c>
      <c r="O223" t="s">
        <v>3569</v>
      </c>
      <c r="P223" s="4">
        <v>234</v>
      </c>
      <c r="Q223" t="s">
        <v>3574</v>
      </c>
      <c r="R223" t="s">
        <v>300</v>
      </c>
    </row>
    <row r="224" spans="1:18">
      <c r="A224" t="s">
        <v>836</v>
      </c>
      <c r="B224" t="s">
        <v>840</v>
      </c>
      <c r="C224" t="s">
        <v>2475</v>
      </c>
      <c r="D224" t="s">
        <v>3552</v>
      </c>
      <c r="E224">
        <v>29</v>
      </c>
      <c r="F224" s="4" t="s">
        <v>3555</v>
      </c>
      <c r="G224" s="4">
        <v>0</v>
      </c>
      <c r="H224">
        <v>0</v>
      </c>
      <c r="I224" t="s">
        <v>302</v>
      </c>
      <c r="J224" s="6">
        <v>27.720800000000001</v>
      </c>
      <c r="K224" s="4" t="str">
        <f t="shared" si="3"/>
        <v>Mid</v>
      </c>
      <c r="L224" t="s">
        <v>303</v>
      </c>
      <c r="M224" s="4" t="s">
        <v>59</v>
      </c>
      <c r="N224" t="s">
        <v>3566</v>
      </c>
      <c r="O224" t="s">
        <v>3569</v>
      </c>
      <c r="P224" s="4">
        <v>189</v>
      </c>
      <c r="Q224" t="s">
        <v>3574</v>
      </c>
      <c r="R224" t="s">
        <v>304</v>
      </c>
    </row>
    <row r="225" spans="1:18">
      <c r="A225" t="s">
        <v>836</v>
      </c>
      <c r="B225" t="s">
        <v>840</v>
      </c>
      <c r="C225" t="s">
        <v>2476</v>
      </c>
      <c r="D225" t="s">
        <v>3552</v>
      </c>
      <c r="E225">
        <v>28</v>
      </c>
      <c r="F225" s="4" t="s">
        <v>3555</v>
      </c>
      <c r="G225" s="4">
        <v>0</v>
      </c>
      <c r="H225">
        <v>0</v>
      </c>
      <c r="I225">
        <v>112052</v>
      </c>
      <c r="J225" s="6">
        <v>0</v>
      </c>
      <c r="K225" s="4" t="str">
        <f t="shared" si="3"/>
        <v>Low</v>
      </c>
      <c r="L225" t="s">
        <v>3561</v>
      </c>
      <c r="M225" s="4" t="s">
        <v>3561</v>
      </c>
      <c r="N225" t="s">
        <v>457</v>
      </c>
      <c r="O225" t="s">
        <v>3569</v>
      </c>
      <c r="P225" s="4" t="s">
        <v>3573</v>
      </c>
      <c r="Q225" t="s">
        <v>3573</v>
      </c>
      <c r="R225" t="s">
        <v>305</v>
      </c>
    </row>
    <row r="226" spans="1:18">
      <c r="A226" t="s">
        <v>836</v>
      </c>
      <c r="B226" t="s">
        <v>840</v>
      </c>
      <c r="C226" t="s">
        <v>2477</v>
      </c>
      <c r="D226" t="s">
        <v>3552</v>
      </c>
      <c r="E226">
        <v>46</v>
      </c>
      <c r="F226" s="4" t="s">
        <v>3557</v>
      </c>
      <c r="G226" s="4">
        <v>0</v>
      </c>
      <c r="H226">
        <v>0</v>
      </c>
      <c r="I226">
        <v>113043</v>
      </c>
      <c r="J226" s="6">
        <v>28.5</v>
      </c>
      <c r="K226" s="4" t="str">
        <f t="shared" si="3"/>
        <v>Mid</v>
      </c>
      <c r="L226" t="s">
        <v>257</v>
      </c>
      <c r="M226" s="4" t="s">
        <v>62</v>
      </c>
      <c r="N226" t="s">
        <v>457</v>
      </c>
      <c r="O226" t="s">
        <v>3569</v>
      </c>
      <c r="P226" s="4">
        <v>166</v>
      </c>
      <c r="Q226" t="s">
        <v>3574</v>
      </c>
      <c r="R226" t="s">
        <v>306</v>
      </c>
    </row>
    <row r="227" spans="1:18">
      <c r="A227" t="s">
        <v>836</v>
      </c>
      <c r="B227" t="s">
        <v>840</v>
      </c>
      <c r="C227" t="s">
        <v>2478</v>
      </c>
      <c r="D227" t="s">
        <v>3552</v>
      </c>
      <c r="E227">
        <v>23</v>
      </c>
      <c r="F227" s="4" t="s">
        <v>3555</v>
      </c>
      <c r="G227" s="4">
        <v>0</v>
      </c>
      <c r="H227">
        <v>0</v>
      </c>
      <c r="I227">
        <v>12749</v>
      </c>
      <c r="J227" s="6">
        <v>93.5</v>
      </c>
      <c r="K227" s="4" t="str">
        <f t="shared" si="3"/>
        <v>High</v>
      </c>
      <c r="L227" t="s">
        <v>307</v>
      </c>
      <c r="M227" s="4" t="s">
        <v>70</v>
      </c>
      <c r="N227" t="s">
        <v>457</v>
      </c>
      <c r="O227" t="s">
        <v>3569</v>
      </c>
      <c r="P227" s="4" t="s">
        <v>3573</v>
      </c>
      <c r="Q227" t="s">
        <v>3573</v>
      </c>
      <c r="R227" t="s">
        <v>75</v>
      </c>
    </row>
    <row r="228" spans="1:18">
      <c r="A228" t="s">
        <v>836</v>
      </c>
      <c r="B228" t="s">
        <v>840</v>
      </c>
      <c r="C228" t="s">
        <v>2479</v>
      </c>
      <c r="D228" t="s">
        <v>3552</v>
      </c>
      <c r="E228">
        <v>29</v>
      </c>
      <c r="F228" s="4" t="s">
        <v>3555</v>
      </c>
      <c r="G228" s="4">
        <v>0</v>
      </c>
      <c r="H228">
        <v>1</v>
      </c>
      <c r="I228">
        <v>113776</v>
      </c>
      <c r="J228" s="6">
        <v>66.599999999999994</v>
      </c>
      <c r="K228" s="4" t="str">
        <f t="shared" si="3"/>
        <v>High</v>
      </c>
      <c r="L228" t="s">
        <v>308</v>
      </c>
      <c r="M228" s="4" t="s">
        <v>62</v>
      </c>
      <c r="N228" t="s">
        <v>457</v>
      </c>
      <c r="O228" t="s">
        <v>3569</v>
      </c>
      <c r="P228" s="4" t="s">
        <v>3573</v>
      </c>
      <c r="Q228" t="s">
        <v>3573</v>
      </c>
      <c r="R228" t="s">
        <v>309</v>
      </c>
    </row>
    <row r="229" spans="1:18">
      <c r="A229" t="s">
        <v>836</v>
      </c>
      <c r="B229" t="s">
        <v>9</v>
      </c>
      <c r="C229" t="s">
        <v>2480</v>
      </c>
      <c r="D229" t="s">
        <v>3551</v>
      </c>
      <c r="E229">
        <v>22</v>
      </c>
      <c r="F229" s="4" t="s">
        <v>3555</v>
      </c>
      <c r="G229" s="4">
        <v>0</v>
      </c>
      <c r="H229">
        <v>1</v>
      </c>
      <c r="I229">
        <v>113776</v>
      </c>
      <c r="J229" s="6">
        <v>66.599999999999994</v>
      </c>
      <c r="K229" s="4" t="str">
        <f t="shared" si="3"/>
        <v>High</v>
      </c>
      <c r="L229" t="s">
        <v>308</v>
      </c>
      <c r="M229" s="4" t="s">
        <v>62</v>
      </c>
      <c r="N229" t="s">
        <v>457</v>
      </c>
      <c r="O229">
        <v>8</v>
      </c>
      <c r="P229" s="4" t="s">
        <v>3573</v>
      </c>
      <c r="Q229" t="s">
        <v>3573</v>
      </c>
      <c r="R229" t="s">
        <v>309</v>
      </c>
    </row>
    <row r="230" spans="1:18">
      <c r="A230" t="s">
        <v>836</v>
      </c>
      <c r="B230" t="s">
        <v>840</v>
      </c>
      <c r="C230" t="s">
        <v>2481</v>
      </c>
      <c r="D230" t="s">
        <v>3552</v>
      </c>
      <c r="E230">
        <v>18</v>
      </c>
      <c r="F230" s="4" t="s">
        <v>3555</v>
      </c>
      <c r="G230" s="4">
        <v>0</v>
      </c>
      <c r="H230">
        <v>1</v>
      </c>
      <c r="I230" t="s">
        <v>296</v>
      </c>
      <c r="J230" s="6">
        <v>108.9</v>
      </c>
      <c r="K230" s="4" t="str">
        <f t="shared" si="3"/>
        <v>High</v>
      </c>
      <c r="L230" t="s">
        <v>310</v>
      </c>
      <c r="M230" s="4" t="s">
        <v>62</v>
      </c>
      <c r="N230" t="s">
        <v>3566</v>
      </c>
      <c r="O230" t="s">
        <v>3569</v>
      </c>
      <c r="P230" s="4" t="s">
        <v>3573</v>
      </c>
      <c r="Q230" t="s">
        <v>3573</v>
      </c>
      <c r="R230" t="s">
        <v>311</v>
      </c>
    </row>
    <row r="231" spans="1:18">
      <c r="A231" t="s">
        <v>836</v>
      </c>
      <c r="B231" t="s">
        <v>9</v>
      </c>
      <c r="C231" t="s">
        <v>2481</v>
      </c>
      <c r="D231" t="s">
        <v>3551</v>
      </c>
      <c r="E231">
        <v>17</v>
      </c>
      <c r="F231" s="4" t="s">
        <v>3560</v>
      </c>
      <c r="G231" s="4">
        <v>0</v>
      </c>
      <c r="H231">
        <v>1</v>
      </c>
      <c r="I231" t="s">
        <v>296</v>
      </c>
      <c r="J231" s="6">
        <v>108.9</v>
      </c>
      <c r="K231" s="4" t="str">
        <f t="shared" si="3"/>
        <v>High</v>
      </c>
      <c r="L231" t="s">
        <v>310</v>
      </c>
      <c r="M231" s="4" t="s">
        <v>62</v>
      </c>
      <c r="N231" t="s">
        <v>3566</v>
      </c>
      <c r="O231">
        <v>8</v>
      </c>
      <c r="P231" s="4" t="s">
        <v>3573</v>
      </c>
      <c r="Q231" t="s">
        <v>3573</v>
      </c>
      <c r="R231" t="s">
        <v>311</v>
      </c>
    </row>
    <row r="232" spans="1:18">
      <c r="A232" t="s">
        <v>836</v>
      </c>
      <c r="B232" t="s">
        <v>9</v>
      </c>
      <c r="C232" t="s">
        <v>2482</v>
      </c>
      <c r="D232" t="s">
        <v>3551</v>
      </c>
      <c r="E232">
        <v>30</v>
      </c>
      <c r="F232" s="4" t="s">
        <v>3557</v>
      </c>
      <c r="G232" s="4">
        <v>0</v>
      </c>
      <c r="H232">
        <v>0</v>
      </c>
      <c r="I232">
        <v>12749</v>
      </c>
      <c r="J232" s="6">
        <v>93.5</v>
      </c>
      <c r="K232" s="4" t="str">
        <f t="shared" si="3"/>
        <v>High</v>
      </c>
      <c r="L232" t="s">
        <v>312</v>
      </c>
      <c r="M232" s="4" t="s">
        <v>70</v>
      </c>
      <c r="N232" t="s">
        <v>457</v>
      </c>
      <c r="O232">
        <v>3</v>
      </c>
      <c r="P232" s="4" t="s">
        <v>3573</v>
      </c>
      <c r="Q232" t="s">
        <v>3573</v>
      </c>
    </row>
    <row r="233" spans="1:18">
      <c r="A233" t="s">
        <v>836</v>
      </c>
      <c r="B233" t="s">
        <v>9</v>
      </c>
      <c r="C233" t="s">
        <v>2483</v>
      </c>
      <c r="D233" t="s">
        <v>3552</v>
      </c>
      <c r="E233">
        <v>52</v>
      </c>
      <c r="F233" s="4" t="s">
        <v>3557</v>
      </c>
      <c r="G233" s="4">
        <v>0</v>
      </c>
      <c r="H233">
        <v>0</v>
      </c>
      <c r="I233">
        <v>113786</v>
      </c>
      <c r="J233" s="6">
        <v>30.5</v>
      </c>
      <c r="K233" s="4" t="str">
        <f t="shared" si="3"/>
        <v>Mid</v>
      </c>
      <c r="L233" t="s">
        <v>313</v>
      </c>
      <c r="M233" s="4" t="s">
        <v>62</v>
      </c>
      <c r="N233" t="s">
        <v>457</v>
      </c>
      <c r="O233">
        <v>6</v>
      </c>
      <c r="P233" s="4" t="s">
        <v>3573</v>
      </c>
      <c r="Q233" t="s">
        <v>3573</v>
      </c>
      <c r="R233" t="s">
        <v>314</v>
      </c>
    </row>
    <row r="234" spans="1:18">
      <c r="A234" t="s">
        <v>836</v>
      </c>
      <c r="B234" t="s">
        <v>840</v>
      </c>
      <c r="C234" t="s">
        <v>2484</v>
      </c>
      <c r="D234" t="s">
        <v>3552</v>
      </c>
      <c r="E234">
        <v>47</v>
      </c>
      <c r="F234" s="4" t="s">
        <v>3557</v>
      </c>
      <c r="G234" s="4">
        <v>0</v>
      </c>
      <c r="H234">
        <v>0</v>
      </c>
      <c r="I234">
        <v>110465</v>
      </c>
      <c r="J234" s="6">
        <v>52</v>
      </c>
      <c r="K234" s="4" t="str">
        <f t="shared" si="3"/>
        <v>High</v>
      </c>
      <c r="L234" t="s">
        <v>315</v>
      </c>
      <c r="M234" s="4" t="s">
        <v>62</v>
      </c>
      <c r="N234" t="s">
        <v>457</v>
      </c>
      <c r="O234" t="s">
        <v>3569</v>
      </c>
      <c r="P234" s="4">
        <v>207</v>
      </c>
      <c r="Q234" t="s">
        <v>3574</v>
      </c>
      <c r="R234" t="s">
        <v>316</v>
      </c>
    </row>
    <row r="235" spans="1:18">
      <c r="A235" t="s">
        <v>836</v>
      </c>
      <c r="B235" t="s">
        <v>9</v>
      </c>
      <c r="C235" t="s">
        <v>2485</v>
      </c>
      <c r="D235" t="s">
        <v>3551</v>
      </c>
      <c r="E235">
        <v>56</v>
      </c>
      <c r="F235" s="4" t="s">
        <v>3557</v>
      </c>
      <c r="G235" s="4">
        <v>1</v>
      </c>
      <c r="H235">
        <v>0</v>
      </c>
      <c r="I235">
        <v>11767</v>
      </c>
      <c r="J235" s="6">
        <v>83.158299999999997</v>
      </c>
      <c r="K235" s="4" t="str">
        <f t="shared" si="3"/>
        <v>High</v>
      </c>
      <c r="L235" t="s">
        <v>317</v>
      </c>
      <c r="M235" s="4" t="s">
        <v>62</v>
      </c>
      <c r="N235" t="s">
        <v>3566</v>
      </c>
      <c r="O235">
        <v>7</v>
      </c>
      <c r="P235" s="4" t="s">
        <v>3573</v>
      </c>
      <c r="Q235" t="s">
        <v>3573</v>
      </c>
      <c r="R235" t="s">
        <v>176</v>
      </c>
    </row>
    <row r="236" spans="1:18">
      <c r="A236" t="s">
        <v>836</v>
      </c>
      <c r="B236" t="s">
        <v>840</v>
      </c>
      <c r="C236" t="s">
        <v>2486</v>
      </c>
      <c r="D236" t="s">
        <v>3552</v>
      </c>
      <c r="E236">
        <v>38</v>
      </c>
      <c r="F236" s="4" t="s">
        <v>3557</v>
      </c>
      <c r="G236" s="4">
        <v>0</v>
      </c>
      <c r="H236">
        <v>0</v>
      </c>
      <c r="I236">
        <v>19972</v>
      </c>
      <c r="J236" s="6">
        <v>0</v>
      </c>
      <c r="K236" s="4" t="str">
        <f t="shared" si="3"/>
        <v>Low</v>
      </c>
      <c r="L236" t="s">
        <v>3561</v>
      </c>
      <c r="M236" s="4" t="s">
        <v>3561</v>
      </c>
      <c r="N236" t="s">
        <v>457</v>
      </c>
      <c r="O236" t="s">
        <v>3569</v>
      </c>
      <c r="P236" s="4" t="s">
        <v>3573</v>
      </c>
      <c r="Q236" t="s">
        <v>3573</v>
      </c>
      <c r="R236" t="s">
        <v>318</v>
      </c>
    </row>
    <row r="237" spans="1:18">
      <c r="A237" t="s">
        <v>836</v>
      </c>
      <c r="B237" t="s">
        <v>9</v>
      </c>
      <c r="C237" t="s">
        <v>2487</v>
      </c>
      <c r="D237" t="s">
        <v>3552</v>
      </c>
      <c r="E237">
        <v>28</v>
      </c>
      <c r="F237" s="4" t="s">
        <v>3555</v>
      </c>
      <c r="G237" s="4">
        <v>0</v>
      </c>
      <c r="H237">
        <v>0</v>
      </c>
      <c r="I237" t="s">
        <v>319</v>
      </c>
      <c r="J237" s="6">
        <v>39.6</v>
      </c>
      <c r="K237" s="4" t="str">
        <f t="shared" si="3"/>
        <v>Mid</v>
      </c>
      <c r="L237" t="s">
        <v>3561</v>
      </c>
      <c r="M237" s="4" t="s">
        <v>3561</v>
      </c>
      <c r="N237" t="s">
        <v>457</v>
      </c>
      <c r="O237" t="s">
        <v>78</v>
      </c>
      <c r="P237" s="4" t="s">
        <v>3573</v>
      </c>
      <c r="Q237" t="s">
        <v>3573</v>
      </c>
      <c r="R237" t="s">
        <v>320</v>
      </c>
    </row>
    <row r="238" spans="1:18">
      <c r="A238" t="s">
        <v>836</v>
      </c>
      <c r="B238" t="s">
        <v>840</v>
      </c>
      <c r="C238" t="s">
        <v>2488</v>
      </c>
      <c r="D238" t="s">
        <v>3552</v>
      </c>
      <c r="E238">
        <v>22</v>
      </c>
      <c r="F238" s="4" t="s">
        <v>3555</v>
      </c>
      <c r="G238" s="4">
        <v>0</v>
      </c>
      <c r="H238">
        <v>0</v>
      </c>
      <c r="I238" t="s">
        <v>87</v>
      </c>
      <c r="J238" s="6">
        <v>135.63329999999999</v>
      </c>
      <c r="K238" s="4" t="str">
        <f t="shared" si="3"/>
        <v>High</v>
      </c>
      <c r="L238" t="s">
        <v>3561</v>
      </c>
      <c r="M238" s="4" t="s">
        <v>3561</v>
      </c>
      <c r="N238" t="s">
        <v>3566</v>
      </c>
      <c r="O238" t="s">
        <v>3569</v>
      </c>
      <c r="P238" s="4">
        <v>232</v>
      </c>
      <c r="Q238" t="s">
        <v>3574</v>
      </c>
    </row>
    <row r="239" spans="1:18">
      <c r="A239" t="s">
        <v>836</v>
      </c>
      <c r="B239" t="s">
        <v>840</v>
      </c>
      <c r="C239" t="s">
        <v>2489</v>
      </c>
      <c r="D239" t="s">
        <v>3552</v>
      </c>
      <c r="E239">
        <v>28</v>
      </c>
      <c r="F239" s="4" t="s">
        <v>3555</v>
      </c>
      <c r="G239" s="4">
        <v>0</v>
      </c>
      <c r="H239">
        <v>0</v>
      </c>
      <c r="I239" t="s">
        <v>64</v>
      </c>
      <c r="J239" s="6">
        <v>227.52500000000001</v>
      </c>
      <c r="K239" s="4" t="str">
        <f t="shared" si="3"/>
        <v>High</v>
      </c>
      <c r="L239" t="s">
        <v>3561</v>
      </c>
      <c r="M239" s="4" t="s">
        <v>3561</v>
      </c>
      <c r="N239" t="s">
        <v>3566</v>
      </c>
      <c r="O239" t="s">
        <v>3569</v>
      </c>
      <c r="P239" s="4" t="s">
        <v>3573</v>
      </c>
      <c r="Q239" t="s">
        <v>3573</v>
      </c>
    </row>
    <row r="240" spans="1:18">
      <c r="A240" t="s">
        <v>836</v>
      </c>
      <c r="B240" t="s">
        <v>9</v>
      </c>
      <c r="C240" t="s">
        <v>2490</v>
      </c>
      <c r="D240" t="s">
        <v>3551</v>
      </c>
      <c r="E240">
        <v>43</v>
      </c>
      <c r="F240" s="4" t="s">
        <v>3557</v>
      </c>
      <c r="G240" s="4">
        <v>1</v>
      </c>
      <c r="H240">
        <v>0</v>
      </c>
      <c r="I240">
        <v>24160</v>
      </c>
      <c r="J240" s="6">
        <v>211.33750000000001</v>
      </c>
      <c r="K240" s="4" t="str">
        <f t="shared" si="3"/>
        <v>High</v>
      </c>
      <c r="L240" t="s">
        <v>321</v>
      </c>
      <c r="M240" s="4" t="s">
        <v>70</v>
      </c>
      <c r="N240" t="s">
        <v>457</v>
      </c>
      <c r="O240">
        <v>2</v>
      </c>
      <c r="P240" s="4" t="s">
        <v>3573</v>
      </c>
      <c r="Q240" t="s">
        <v>3573</v>
      </c>
      <c r="R240" t="s">
        <v>49</v>
      </c>
    </row>
    <row r="241" spans="1:18">
      <c r="A241" t="s">
        <v>836</v>
      </c>
      <c r="B241" t="s">
        <v>840</v>
      </c>
      <c r="C241" t="s">
        <v>2491</v>
      </c>
      <c r="D241" t="s">
        <v>3552</v>
      </c>
      <c r="E241">
        <v>31</v>
      </c>
      <c r="F241" s="4" t="s">
        <v>3557</v>
      </c>
      <c r="G241" s="4">
        <v>0</v>
      </c>
      <c r="H241">
        <v>0</v>
      </c>
      <c r="I241" t="s">
        <v>322</v>
      </c>
      <c r="J241" s="6">
        <v>50.495800000000003</v>
      </c>
      <c r="K241" s="4" t="str">
        <f t="shared" si="3"/>
        <v>High</v>
      </c>
      <c r="L241" t="s">
        <v>323</v>
      </c>
      <c r="M241" s="4" t="s">
        <v>78</v>
      </c>
      <c r="N241" t="s">
        <v>457</v>
      </c>
      <c r="O241" t="s">
        <v>3569</v>
      </c>
      <c r="P241" s="4" t="s">
        <v>3573</v>
      </c>
      <c r="Q241" t="s">
        <v>3573</v>
      </c>
      <c r="R241" t="s">
        <v>92</v>
      </c>
    </row>
    <row r="242" spans="1:18">
      <c r="A242" t="s">
        <v>836</v>
      </c>
      <c r="B242" t="s">
        <v>9</v>
      </c>
      <c r="C242" t="s">
        <v>2492</v>
      </c>
      <c r="D242" t="s">
        <v>3552</v>
      </c>
      <c r="E242">
        <v>45</v>
      </c>
      <c r="F242" s="4" t="s">
        <v>3557</v>
      </c>
      <c r="G242" s="4">
        <v>0</v>
      </c>
      <c r="H242">
        <v>0</v>
      </c>
      <c r="I242">
        <v>111428</v>
      </c>
      <c r="J242" s="6">
        <v>26.55</v>
      </c>
      <c r="K242" s="4" t="str">
        <f t="shared" si="3"/>
        <v>Mid</v>
      </c>
      <c r="L242" t="s">
        <v>3561</v>
      </c>
      <c r="M242" s="4" t="s">
        <v>3561</v>
      </c>
      <c r="N242" t="s">
        <v>457</v>
      </c>
      <c r="O242">
        <v>9</v>
      </c>
      <c r="P242" s="4" t="s">
        <v>3573</v>
      </c>
      <c r="Q242" t="s">
        <v>3573</v>
      </c>
      <c r="R242" t="s">
        <v>53</v>
      </c>
    </row>
    <row r="243" spans="1:18">
      <c r="A243" t="s">
        <v>836</v>
      </c>
      <c r="B243" t="s">
        <v>840</v>
      </c>
      <c r="C243" t="s">
        <v>2493</v>
      </c>
      <c r="D243" t="s">
        <v>3552</v>
      </c>
      <c r="E243">
        <v>28</v>
      </c>
      <c r="F243" s="4" t="s">
        <v>3555</v>
      </c>
      <c r="G243" s="4">
        <v>0</v>
      </c>
      <c r="H243">
        <v>0</v>
      </c>
      <c r="I243">
        <v>113767</v>
      </c>
      <c r="J243" s="6">
        <v>50</v>
      </c>
      <c r="K243" s="4" t="str">
        <f t="shared" si="3"/>
        <v>Mid</v>
      </c>
      <c r="L243" t="s">
        <v>324</v>
      </c>
      <c r="M243" s="4" t="s">
        <v>78</v>
      </c>
      <c r="N243" t="s">
        <v>457</v>
      </c>
      <c r="O243" t="s">
        <v>3569</v>
      </c>
      <c r="P243" s="4" t="s">
        <v>3573</v>
      </c>
      <c r="Q243" t="s">
        <v>3573</v>
      </c>
      <c r="R243" t="s">
        <v>325</v>
      </c>
    </row>
    <row r="244" spans="1:18">
      <c r="A244" t="s">
        <v>836</v>
      </c>
      <c r="B244" t="s">
        <v>9</v>
      </c>
      <c r="C244" t="s">
        <v>2494</v>
      </c>
      <c r="D244" t="s">
        <v>3551</v>
      </c>
      <c r="E244">
        <v>33</v>
      </c>
      <c r="F244" s="4" t="s">
        <v>3557</v>
      </c>
      <c r="G244" s="4">
        <v>0</v>
      </c>
      <c r="H244">
        <v>0</v>
      </c>
      <c r="I244" t="s">
        <v>326</v>
      </c>
      <c r="J244" s="6">
        <v>27.720800000000001</v>
      </c>
      <c r="K244" s="4" t="str">
        <f t="shared" si="3"/>
        <v>Mid</v>
      </c>
      <c r="L244" t="s">
        <v>327</v>
      </c>
      <c r="M244" s="4" t="s">
        <v>78</v>
      </c>
      <c r="N244" t="s">
        <v>3566</v>
      </c>
      <c r="O244">
        <v>11</v>
      </c>
      <c r="P244" s="4" t="s">
        <v>3573</v>
      </c>
      <c r="Q244" t="s">
        <v>3573</v>
      </c>
      <c r="R244" t="s">
        <v>68</v>
      </c>
    </row>
    <row r="245" spans="1:18">
      <c r="A245" t="s">
        <v>836</v>
      </c>
      <c r="B245" t="s">
        <v>840</v>
      </c>
      <c r="C245" t="s">
        <v>2495</v>
      </c>
      <c r="D245" t="s">
        <v>3552</v>
      </c>
      <c r="E245">
        <v>46</v>
      </c>
      <c r="F245" s="4" t="s">
        <v>3557</v>
      </c>
      <c r="G245" s="4">
        <v>0</v>
      </c>
      <c r="H245">
        <v>0</v>
      </c>
      <c r="I245" t="s">
        <v>328</v>
      </c>
      <c r="J245" s="6">
        <v>79.2</v>
      </c>
      <c r="K245" s="4" t="str">
        <f t="shared" si="3"/>
        <v>High</v>
      </c>
      <c r="L245" t="s">
        <v>3561</v>
      </c>
      <c r="M245" s="4" t="s">
        <v>3561</v>
      </c>
      <c r="N245" t="s">
        <v>3566</v>
      </c>
      <c r="O245" t="s">
        <v>3569</v>
      </c>
      <c r="P245" s="4">
        <v>16</v>
      </c>
      <c r="Q245" t="s">
        <v>3574</v>
      </c>
      <c r="R245" t="s">
        <v>53</v>
      </c>
    </row>
    <row r="246" spans="1:18">
      <c r="A246" t="s">
        <v>836</v>
      </c>
      <c r="B246" t="s">
        <v>840</v>
      </c>
      <c r="C246" t="s">
        <v>2496</v>
      </c>
      <c r="D246" t="s">
        <v>3552</v>
      </c>
      <c r="E246">
        <v>36</v>
      </c>
      <c r="F246" s="4" t="s">
        <v>3557</v>
      </c>
      <c r="G246" s="4">
        <v>0</v>
      </c>
      <c r="H246">
        <v>0</v>
      </c>
      <c r="I246">
        <v>13049</v>
      </c>
      <c r="J246" s="6">
        <v>40.125</v>
      </c>
      <c r="K246" s="4" t="str">
        <f t="shared" si="3"/>
        <v>Mid</v>
      </c>
      <c r="L246" t="s">
        <v>329</v>
      </c>
      <c r="M246" s="4" t="s">
        <v>78</v>
      </c>
      <c r="N246" t="s">
        <v>3566</v>
      </c>
      <c r="O246" t="s">
        <v>3569</v>
      </c>
      <c r="P246" s="4" t="s">
        <v>3573</v>
      </c>
      <c r="Q246" t="s">
        <v>3573</v>
      </c>
      <c r="R246" t="s">
        <v>189</v>
      </c>
    </row>
    <row r="247" spans="1:18">
      <c r="A247" t="s">
        <v>836</v>
      </c>
      <c r="B247" t="s">
        <v>9</v>
      </c>
      <c r="C247" t="s">
        <v>2497</v>
      </c>
      <c r="D247" t="s">
        <v>3551</v>
      </c>
      <c r="E247">
        <v>33</v>
      </c>
      <c r="F247" s="4" t="s">
        <v>3557</v>
      </c>
      <c r="G247" s="4">
        <v>0</v>
      </c>
      <c r="H247">
        <v>0</v>
      </c>
      <c r="I247">
        <v>110152</v>
      </c>
      <c r="J247" s="6">
        <v>86.5</v>
      </c>
      <c r="K247" s="4" t="str">
        <f t="shared" si="3"/>
        <v>High</v>
      </c>
      <c r="L247" t="s">
        <v>137</v>
      </c>
      <c r="M247" s="4" t="s">
        <v>70</v>
      </c>
      <c r="N247" t="s">
        <v>457</v>
      </c>
      <c r="O247">
        <v>8</v>
      </c>
      <c r="P247" s="4" t="s">
        <v>3573</v>
      </c>
      <c r="Q247" t="s">
        <v>3573</v>
      </c>
      <c r="R247" t="s">
        <v>330</v>
      </c>
    </row>
    <row r="248" spans="1:18">
      <c r="A248" t="s">
        <v>836</v>
      </c>
      <c r="B248" t="s">
        <v>840</v>
      </c>
      <c r="C248" t="s">
        <v>2498</v>
      </c>
      <c r="D248" t="s">
        <v>3552</v>
      </c>
      <c r="E248">
        <v>55</v>
      </c>
      <c r="F248" s="4" t="s">
        <v>3557</v>
      </c>
      <c r="G248" s="4">
        <v>0</v>
      </c>
      <c r="H248">
        <v>1</v>
      </c>
      <c r="I248" t="s">
        <v>331</v>
      </c>
      <c r="J248" s="6">
        <v>59.4</v>
      </c>
      <c r="K248" s="4" t="str">
        <f t="shared" si="3"/>
        <v>High</v>
      </c>
      <c r="L248" t="s">
        <v>3561</v>
      </c>
      <c r="M248" s="4" t="s">
        <v>3561</v>
      </c>
      <c r="N248" t="s">
        <v>3566</v>
      </c>
      <c r="O248" t="s">
        <v>3569</v>
      </c>
      <c r="P248" s="4" t="s">
        <v>3573</v>
      </c>
      <c r="Q248" t="s">
        <v>3573</v>
      </c>
      <c r="R248" t="s">
        <v>53</v>
      </c>
    </row>
    <row r="249" spans="1:18">
      <c r="A249" t="s">
        <v>836</v>
      </c>
      <c r="B249" t="s">
        <v>9</v>
      </c>
      <c r="C249" t="s">
        <v>2499</v>
      </c>
      <c r="D249" t="s">
        <v>3551</v>
      </c>
      <c r="E249">
        <v>54</v>
      </c>
      <c r="F249" s="4" t="s">
        <v>3557</v>
      </c>
      <c r="G249" s="4">
        <v>0</v>
      </c>
      <c r="H249">
        <v>1</v>
      </c>
      <c r="I249" t="s">
        <v>331</v>
      </c>
      <c r="J249" s="6">
        <v>59.4</v>
      </c>
      <c r="K249" s="4" t="str">
        <f t="shared" si="3"/>
        <v>High</v>
      </c>
      <c r="L249" t="s">
        <v>3561</v>
      </c>
      <c r="M249" s="4" t="s">
        <v>3561</v>
      </c>
      <c r="N249" t="s">
        <v>3566</v>
      </c>
      <c r="O249">
        <v>6</v>
      </c>
      <c r="P249" s="4" t="s">
        <v>3573</v>
      </c>
      <c r="Q249" t="s">
        <v>3573</v>
      </c>
      <c r="R249" t="s">
        <v>53</v>
      </c>
    </row>
    <row r="250" spans="1:18">
      <c r="A250" t="s">
        <v>836</v>
      </c>
      <c r="B250" t="s">
        <v>840</v>
      </c>
      <c r="C250" t="s">
        <v>2500</v>
      </c>
      <c r="D250" t="s">
        <v>3552</v>
      </c>
      <c r="E250">
        <v>33</v>
      </c>
      <c r="F250" s="4" t="s">
        <v>3557</v>
      </c>
      <c r="G250" s="4">
        <v>0</v>
      </c>
      <c r="H250">
        <v>0</v>
      </c>
      <c r="I250">
        <v>113790</v>
      </c>
      <c r="J250" s="6">
        <v>26.55</v>
      </c>
      <c r="K250" s="4" t="str">
        <f t="shared" si="3"/>
        <v>Mid</v>
      </c>
      <c r="L250" t="s">
        <v>3561</v>
      </c>
      <c r="M250" s="4" t="s">
        <v>3561</v>
      </c>
      <c r="N250" t="s">
        <v>457</v>
      </c>
      <c r="O250" t="s">
        <v>3569</v>
      </c>
      <c r="P250" s="4">
        <v>109</v>
      </c>
      <c r="Q250" t="s">
        <v>3574</v>
      </c>
      <c r="R250" t="s">
        <v>249</v>
      </c>
    </row>
    <row r="251" spans="1:18">
      <c r="A251" t="s">
        <v>836</v>
      </c>
      <c r="B251" t="s">
        <v>9</v>
      </c>
      <c r="C251" t="s">
        <v>2501</v>
      </c>
      <c r="D251" t="s">
        <v>3552</v>
      </c>
      <c r="E251">
        <v>13</v>
      </c>
      <c r="F251" s="4" t="s">
        <v>3560</v>
      </c>
      <c r="G251" s="4">
        <v>2</v>
      </c>
      <c r="H251">
        <v>2</v>
      </c>
      <c r="I251" t="s">
        <v>101</v>
      </c>
      <c r="J251" s="6">
        <v>262.375</v>
      </c>
      <c r="K251" s="4" t="str">
        <f t="shared" si="3"/>
        <v>High</v>
      </c>
      <c r="L251" t="s">
        <v>332</v>
      </c>
      <c r="M251" s="4" t="s">
        <v>70</v>
      </c>
      <c r="N251" t="s">
        <v>3566</v>
      </c>
      <c r="O251">
        <v>4</v>
      </c>
      <c r="P251" s="4" t="s">
        <v>3573</v>
      </c>
      <c r="Q251" t="s">
        <v>3573</v>
      </c>
      <c r="R251" t="s">
        <v>333</v>
      </c>
    </row>
    <row r="252" spans="1:18">
      <c r="A252" t="s">
        <v>836</v>
      </c>
      <c r="B252" t="s">
        <v>9</v>
      </c>
      <c r="C252" t="s">
        <v>2502</v>
      </c>
      <c r="D252" t="s">
        <v>3551</v>
      </c>
      <c r="E252">
        <v>18</v>
      </c>
      <c r="F252" s="4" t="s">
        <v>3555</v>
      </c>
      <c r="G252" s="4">
        <v>2</v>
      </c>
      <c r="H252">
        <v>2</v>
      </c>
      <c r="I252" t="s">
        <v>101</v>
      </c>
      <c r="J252" s="6">
        <v>262.375</v>
      </c>
      <c r="K252" s="4" t="str">
        <f t="shared" si="3"/>
        <v>High</v>
      </c>
      <c r="L252" t="s">
        <v>332</v>
      </c>
      <c r="M252" s="4" t="s">
        <v>70</v>
      </c>
      <c r="N252" t="s">
        <v>3566</v>
      </c>
      <c r="O252">
        <v>4</v>
      </c>
      <c r="P252" s="4" t="s">
        <v>3573</v>
      </c>
      <c r="Q252" t="s">
        <v>3573</v>
      </c>
      <c r="R252" t="s">
        <v>333</v>
      </c>
    </row>
    <row r="253" spans="1:18">
      <c r="A253" t="s">
        <v>836</v>
      </c>
      <c r="B253" t="s">
        <v>9</v>
      </c>
      <c r="C253" t="s">
        <v>2503</v>
      </c>
      <c r="D253" t="s">
        <v>3551</v>
      </c>
      <c r="E253">
        <v>21</v>
      </c>
      <c r="F253" s="4" t="s">
        <v>3555</v>
      </c>
      <c r="G253" s="4">
        <v>2</v>
      </c>
      <c r="H253">
        <v>2</v>
      </c>
      <c r="I253" t="s">
        <v>101</v>
      </c>
      <c r="J253" s="6">
        <v>262.375</v>
      </c>
      <c r="K253" s="4" t="str">
        <f t="shared" si="3"/>
        <v>High</v>
      </c>
      <c r="L253" t="s">
        <v>332</v>
      </c>
      <c r="M253" s="4" t="s">
        <v>70</v>
      </c>
      <c r="N253" t="s">
        <v>3566</v>
      </c>
      <c r="O253">
        <v>4</v>
      </c>
      <c r="P253" s="4" t="s">
        <v>3573</v>
      </c>
      <c r="Q253" t="s">
        <v>3573</v>
      </c>
      <c r="R253" t="s">
        <v>333</v>
      </c>
    </row>
    <row r="254" spans="1:18">
      <c r="A254" t="s">
        <v>836</v>
      </c>
      <c r="B254" t="s">
        <v>840</v>
      </c>
      <c r="C254" t="s">
        <v>2504</v>
      </c>
      <c r="D254" t="s">
        <v>3552</v>
      </c>
      <c r="E254">
        <v>61</v>
      </c>
      <c r="F254" s="4" t="s">
        <v>3559</v>
      </c>
      <c r="G254" s="4">
        <v>3</v>
      </c>
      <c r="H254">
        <v>1</v>
      </c>
      <c r="I254" t="s">
        <v>101</v>
      </c>
      <c r="J254" s="6">
        <v>262.375</v>
      </c>
      <c r="K254" s="4" t="str">
        <f t="shared" si="3"/>
        <v>High</v>
      </c>
      <c r="L254" t="s">
        <v>332</v>
      </c>
      <c r="M254" s="4" t="s">
        <v>70</v>
      </c>
      <c r="N254" t="s">
        <v>3566</v>
      </c>
      <c r="O254" t="s">
        <v>3569</v>
      </c>
      <c r="P254" s="4" t="s">
        <v>3573</v>
      </c>
      <c r="Q254" t="s">
        <v>3573</v>
      </c>
      <c r="R254" t="s">
        <v>333</v>
      </c>
    </row>
    <row r="255" spans="1:18">
      <c r="A255" t="s">
        <v>836</v>
      </c>
      <c r="B255" t="s">
        <v>9</v>
      </c>
      <c r="C255" t="s">
        <v>2505</v>
      </c>
      <c r="D255" t="s">
        <v>3551</v>
      </c>
      <c r="E255">
        <v>48</v>
      </c>
      <c r="F255" s="4" t="s">
        <v>3557</v>
      </c>
      <c r="G255" s="4">
        <v>3</v>
      </c>
      <c r="H255">
        <v>1</v>
      </c>
      <c r="I255" t="s">
        <v>101</v>
      </c>
      <c r="J255" s="6">
        <v>262.375</v>
      </c>
      <c r="K255" s="4" t="str">
        <f t="shared" si="3"/>
        <v>High</v>
      </c>
      <c r="L255" t="s">
        <v>332</v>
      </c>
      <c r="M255" s="4" t="s">
        <v>70</v>
      </c>
      <c r="N255" t="s">
        <v>3566</v>
      </c>
      <c r="O255">
        <v>4</v>
      </c>
      <c r="P255" s="4" t="s">
        <v>3573</v>
      </c>
      <c r="Q255" t="s">
        <v>3573</v>
      </c>
      <c r="R255" t="s">
        <v>333</v>
      </c>
    </row>
    <row r="256" spans="1:18">
      <c r="A256" t="s">
        <v>836</v>
      </c>
      <c r="B256" t="s">
        <v>9</v>
      </c>
      <c r="C256" t="s">
        <v>2506</v>
      </c>
      <c r="D256" t="s">
        <v>3552</v>
      </c>
      <c r="E256">
        <v>28</v>
      </c>
      <c r="F256" s="4" t="s">
        <v>3555</v>
      </c>
      <c r="G256" s="4">
        <v>0</v>
      </c>
      <c r="H256">
        <v>0</v>
      </c>
      <c r="I256">
        <v>19988</v>
      </c>
      <c r="J256" s="6">
        <v>30.5</v>
      </c>
      <c r="K256" s="4" t="str">
        <f t="shared" si="3"/>
        <v>Mid</v>
      </c>
      <c r="L256" t="s">
        <v>271</v>
      </c>
      <c r="M256" s="4" t="s">
        <v>62</v>
      </c>
      <c r="N256" t="s">
        <v>457</v>
      </c>
      <c r="O256">
        <v>3</v>
      </c>
      <c r="P256" s="4" t="s">
        <v>3573</v>
      </c>
      <c r="Q256" t="s">
        <v>3573</v>
      </c>
      <c r="R256" t="s">
        <v>334</v>
      </c>
    </row>
    <row r="257" spans="1:18">
      <c r="A257" t="s">
        <v>836</v>
      </c>
      <c r="B257" t="s">
        <v>9</v>
      </c>
      <c r="C257" t="s">
        <v>2507</v>
      </c>
      <c r="D257" t="s">
        <v>3551</v>
      </c>
      <c r="E257">
        <v>24</v>
      </c>
      <c r="F257" s="4" t="s">
        <v>3555</v>
      </c>
      <c r="G257" s="4">
        <v>0</v>
      </c>
      <c r="H257">
        <v>0</v>
      </c>
      <c r="I257" t="s">
        <v>66</v>
      </c>
      <c r="J257" s="6">
        <v>69.3</v>
      </c>
      <c r="K257" s="4" t="str">
        <f t="shared" si="3"/>
        <v>High</v>
      </c>
      <c r="L257" t="s">
        <v>67</v>
      </c>
      <c r="M257" s="4" t="s">
        <v>70</v>
      </c>
      <c r="N257" t="s">
        <v>3566</v>
      </c>
      <c r="O257">
        <v>9</v>
      </c>
      <c r="P257" s="4" t="s">
        <v>3573</v>
      </c>
      <c r="Q257" t="s">
        <v>3573</v>
      </c>
    </row>
    <row r="258" spans="1:18">
      <c r="A258" t="s">
        <v>836</v>
      </c>
      <c r="B258" t="s">
        <v>9</v>
      </c>
      <c r="C258" t="s">
        <v>2508</v>
      </c>
      <c r="D258" t="s">
        <v>3552</v>
      </c>
      <c r="E258">
        <v>28</v>
      </c>
      <c r="F258" s="4" t="s">
        <v>3555</v>
      </c>
      <c r="G258" s="4">
        <v>0</v>
      </c>
      <c r="H258">
        <v>0</v>
      </c>
      <c r="I258">
        <v>111163</v>
      </c>
      <c r="J258" s="6">
        <v>26</v>
      </c>
      <c r="K258" s="4" t="str">
        <f t="shared" si="3"/>
        <v>Mid</v>
      </c>
      <c r="L258" t="s">
        <v>3561</v>
      </c>
      <c r="M258" s="4" t="s">
        <v>3561</v>
      </c>
      <c r="N258" t="s">
        <v>457</v>
      </c>
      <c r="O258">
        <v>1</v>
      </c>
      <c r="P258" s="4" t="s">
        <v>3573</v>
      </c>
      <c r="Q258" t="s">
        <v>3573</v>
      </c>
      <c r="R258" t="s">
        <v>53</v>
      </c>
    </row>
    <row r="259" spans="1:18">
      <c r="A259" t="s">
        <v>836</v>
      </c>
      <c r="B259" t="s">
        <v>9</v>
      </c>
      <c r="C259" t="s">
        <v>2509</v>
      </c>
      <c r="D259" t="s">
        <v>3551</v>
      </c>
      <c r="E259">
        <v>35</v>
      </c>
      <c r="F259" s="4" t="s">
        <v>3557</v>
      </c>
      <c r="G259" s="4">
        <v>0</v>
      </c>
      <c r="H259">
        <v>1</v>
      </c>
      <c r="I259">
        <v>13236</v>
      </c>
      <c r="J259" s="6">
        <v>57.75</v>
      </c>
      <c r="K259" s="4" t="str">
        <f t="shared" ref="K259:K322" si="4">IF(J259&lt;=10,"Low",IF(J259&lt;=50,"Mid","High"))</f>
        <v>High</v>
      </c>
      <c r="L259" t="s">
        <v>335</v>
      </c>
      <c r="M259" s="4" t="s">
        <v>62</v>
      </c>
      <c r="N259" t="s">
        <v>3566</v>
      </c>
      <c r="O259">
        <v>11</v>
      </c>
      <c r="P259" s="4" t="s">
        <v>3573</v>
      </c>
      <c r="Q259" t="s">
        <v>3573</v>
      </c>
      <c r="R259" t="s">
        <v>53</v>
      </c>
    </row>
    <row r="260" spans="1:18">
      <c r="A260" t="s">
        <v>836</v>
      </c>
      <c r="B260" t="s">
        <v>9</v>
      </c>
      <c r="C260" t="s">
        <v>2510</v>
      </c>
      <c r="D260" t="s">
        <v>3551</v>
      </c>
      <c r="E260">
        <v>30</v>
      </c>
      <c r="F260" s="4" t="s">
        <v>3557</v>
      </c>
      <c r="G260" s="4">
        <v>0</v>
      </c>
      <c r="H260">
        <v>0</v>
      </c>
      <c r="I260">
        <v>113798</v>
      </c>
      <c r="J260" s="6">
        <v>31</v>
      </c>
      <c r="K260" s="4" t="str">
        <f t="shared" si="4"/>
        <v>Mid</v>
      </c>
      <c r="L260" t="s">
        <v>3561</v>
      </c>
      <c r="M260" s="4" t="s">
        <v>3561</v>
      </c>
      <c r="N260" t="s">
        <v>3566</v>
      </c>
      <c r="O260">
        <v>4</v>
      </c>
      <c r="P260" s="4" t="s">
        <v>3573</v>
      </c>
      <c r="Q260" t="s">
        <v>3573</v>
      </c>
    </row>
    <row r="261" spans="1:18">
      <c r="A261" t="s">
        <v>836</v>
      </c>
      <c r="B261" t="s">
        <v>9</v>
      </c>
      <c r="C261" t="s">
        <v>2511</v>
      </c>
      <c r="D261" t="s">
        <v>3552</v>
      </c>
      <c r="E261">
        <v>34</v>
      </c>
      <c r="F261" s="4" t="s">
        <v>3557</v>
      </c>
      <c r="G261" s="4">
        <v>0</v>
      </c>
      <c r="H261">
        <v>0</v>
      </c>
      <c r="I261">
        <v>113794</v>
      </c>
      <c r="J261" s="6">
        <v>26.55</v>
      </c>
      <c r="K261" s="4" t="str">
        <f t="shared" si="4"/>
        <v>Mid</v>
      </c>
      <c r="L261" t="s">
        <v>3561</v>
      </c>
      <c r="M261" s="4" t="s">
        <v>3561</v>
      </c>
      <c r="N261" t="s">
        <v>457</v>
      </c>
      <c r="O261">
        <v>7</v>
      </c>
      <c r="P261" s="4" t="s">
        <v>3573</v>
      </c>
      <c r="Q261" t="s">
        <v>3573</v>
      </c>
      <c r="R261" t="s">
        <v>53</v>
      </c>
    </row>
    <row r="262" spans="1:18">
      <c r="A262" t="s">
        <v>836</v>
      </c>
      <c r="B262" t="s">
        <v>9</v>
      </c>
      <c r="C262" t="s">
        <v>2512</v>
      </c>
      <c r="D262" t="s">
        <v>3551</v>
      </c>
      <c r="E262">
        <v>40</v>
      </c>
      <c r="F262" s="4" t="s">
        <v>3557</v>
      </c>
      <c r="G262" s="4">
        <v>0</v>
      </c>
      <c r="H262">
        <v>0</v>
      </c>
      <c r="I262" t="s">
        <v>213</v>
      </c>
      <c r="J262" s="6">
        <v>153.46250000000001</v>
      </c>
      <c r="K262" s="4" t="str">
        <f t="shared" si="4"/>
        <v>High</v>
      </c>
      <c r="L262" t="s">
        <v>215</v>
      </c>
      <c r="M262" s="4" t="s">
        <v>62</v>
      </c>
      <c r="N262" t="s">
        <v>457</v>
      </c>
      <c r="O262">
        <v>3</v>
      </c>
      <c r="P262" s="4" t="s">
        <v>3573</v>
      </c>
      <c r="Q262" t="s">
        <v>3573</v>
      </c>
      <c r="R262" t="s">
        <v>336</v>
      </c>
    </row>
    <row r="263" spans="1:18">
      <c r="A263" t="s">
        <v>836</v>
      </c>
      <c r="B263" t="s">
        <v>9</v>
      </c>
      <c r="C263" t="s">
        <v>2513</v>
      </c>
      <c r="D263" t="s">
        <v>3552</v>
      </c>
      <c r="E263">
        <v>35</v>
      </c>
      <c r="F263" s="4" t="s">
        <v>3557</v>
      </c>
      <c r="G263" s="4">
        <v>0</v>
      </c>
      <c r="H263">
        <v>0</v>
      </c>
      <c r="I263" t="s">
        <v>337</v>
      </c>
      <c r="J263" s="6">
        <v>26.287500000000001</v>
      </c>
      <c r="K263" s="4" t="str">
        <f t="shared" si="4"/>
        <v>Mid</v>
      </c>
      <c r="L263" t="s">
        <v>120</v>
      </c>
      <c r="M263" s="4" t="s">
        <v>3564</v>
      </c>
      <c r="N263" t="s">
        <v>457</v>
      </c>
      <c r="O263">
        <v>5</v>
      </c>
      <c r="P263" s="4" t="s">
        <v>3573</v>
      </c>
      <c r="Q263" t="s">
        <v>3573</v>
      </c>
      <c r="R263" t="s">
        <v>49</v>
      </c>
    </row>
    <row r="264" spans="1:18">
      <c r="A264" t="s">
        <v>836</v>
      </c>
      <c r="B264" t="s">
        <v>840</v>
      </c>
      <c r="C264" t="s">
        <v>2514</v>
      </c>
      <c r="D264" t="s">
        <v>3552</v>
      </c>
      <c r="E264">
        <v>50</v>
      </c>
      <c r="F264" s="4" t="s">
        <v>3557</v>
      </c>
      <c r="G264" s="4">
        <v>0</v>
      </c>
      <c r="H264">
        <v>1</v>
      </c>
      <c r="I264">
        <v>13507</v>
      </c>
      <c r="J264" s="6">
        <v>55.9</v>
      </c>
      <c r="K264" s="4" t="str">
        <f t="shared" si="4"/>
        <v>High</v>
      </c>
      <c r="L264" t="s">
        <v>338</v>
      </c>
      <c r="M264" s="4" t="s">
        <v>3564</v>
      </c>
      <c r="N264" t="s">
        <v>457</v>
      </c>
      <c r="O264" t="s">
        <v>3569</v>
      </c>
      <c r="P264" s="4" t="s">
        <v>3573</v>
      </c>
      <c r="Q264" t="s">
        <v>3573</v>
      </c>
      <c r="R264" t="s">
        <v>339</v>
      </c>
    </row>
    <row r="265" spans="1:18">
      <c r="A265" t="s">
        <v>836</v>
      </c>
      <c r="B265" t="s">
        <v>9</v>
      </c>
      <c r="C265" t="s">
        <v>2515</v>
      </c>
      <c r="D265" t="s">
        <v>3551</v>
      </c>
      <c r="E265">
        <v>39</v>
      </c>
      <c r="F265" s="4" t="s">
        <v>3557</v>
      </c>
      <c r="G265" s="4">
        <v>0</v>
      </c>
      <c r="H265">
        <v>1</v>
      </c>
      <c r="I265">
        <v>13507</v>
      </c>
      <c r="J265" s="6">
        <v>55.9</v>
      </c>
      <c r="K265" s="4" t="str">
        <f t="shared" si="4"/>
        <v>High</v>
      </c>
      <c r="L265" t="s">
        <v>338</v>
      </c>
      <c r="M265" s="4" t="s">
        <v>3564</v>
      </c>
      <c r="N265" t="s">
        <v>457</v>
      </c>
      <c r="O265">
        <v>11</v>
      </c>
      <c r="P265" s="4" t="s">
        <v>3573</v>
      </c>
      <c r="Q265" t="s">
        <v>3573</v>
      </c>
      <c r="R265" t="s">
        <v>339</v>
      </c>
    </row>
    <row r="266" spans="1:18">
      <c r="A266" t="s">
        <v>836</v>
      </c>
      <c r="B266" t="s">
        <v>9</v>
      </c>
      <c r="C266" t="s">
        <v>2516</v>
      </c>
      <c r="D266" t="s">
        <v>3552</v>
      </c>
      <c r="E266">
        <v>56</v>
      </c>
      <c r="F266" s="4" t="s">
        <v>3557</v>
      </c>
      <c r="G266" s="4">
        <v>0</v>
      </c>
      <c r="H266">
        <v>0</v>
      </c>
      <c r="I266">
        <v>13213</v>
      </c>
      <c r="J266" s="6">
        <v>35.5</v>
      </c>
      <c r="K266" s="4" t="str">
        <f t="shared" si="4"/>
        <v>Mid</v>
      </c>
      <c r="L266" t="s">
        <v>340</v>
      </c>
      <c r="M266" s="4" t="s">
        <v>78</v>
      </c>
      <c r="N266" t="s">
        <v>3566</v>
      </c>
      <c r="O266">
        <v>3</v>
      </c>
      <c r="P266" s="4" t="s">
        <v>3573</v>
      </c>
      <c r="Q266" t="s">
        <v>3573</v>
      </c>
      <c r="R266" t="s">
        <v>341</v>
      </c>
    </row>
    <row r="267" spans="1:18">
      <c r="A267" t="s">
        <v>836</v>
      </c>
      <c r="B267" t="s">
        <v>9</v>
      </c>
      <c r="C267" t="s">
        <v>2517</v>
      </c>
      <c r="D267" t="s">
        <v>3552</v>
      </c>
      <c r="E267">
        <v>28</v>
      </c>
      <c r="F267" s="4" t="s">
        <v>3555</v>
      </c>
      <c r="G267" s="4">
        <v>0</v>
      </c>
      <c r="H267">
        <v>0</v>
      </c>
      <c r="I267">
        <v>113788</v>
      </c>
      <c r="J267" s="6">
        <v>35.5</v>
      </c>
      <c r="K267" s="4" t="str">
        <f t="shared" si="4"/>
        <v>Mid</v>
      </c>
      <c r="L267" t="s">
        <v>342</v>
      </c>
      <c r="M267" s="4" t="s">
        <v>78</v>
      </c>
      <c r="N267" t="s">
        <v>457</v>
      </c>
      <c r="O267">
        <v>7</v>
      </c>
      <c r="P267" s="4" t="s">
        <v>3573</v>
      </c>
      <c r="Q267" t="s">
        <v>3573</v>
      </c>
      <c r="R267" t="s">
        <v>343</v>
      </c>
    </row>
    <row r="268" spans="1:18">
      <c r="A268" t="s">
        <v>836</v>
      </c>
      <c r="B268" t="s">
        <v>840</v>
      </c>
      <c r="C268" t="s">
        <v>2518</v>
      </c>
      <c r="D268" t="s">
        <v>3552</v>
      </c>
      <c r="E268">
        <v>56</v>
      </c>
      <c r="F268" s="4" t="s">
        <v>3557</v>
      </c>
      <c r="G268" s="4">
        <v>0</v>
      </c>
      <c r="H268">
        <v>0</v>
      </c>
      <c r="I268">
        <v>113792</v>
      </c>
      <c r="J268" s="6">
        <v>26.55</v>
      </c>
      <c r="K268" s="4" t="str">
        <f t="shared" si="4"/>
        <v>Mid</v>
      </c>
      <c r="L268" t="s">
        <v>3561</v>
      </c>
      <c r="M268" s="4" t="s">
        <v>3561</v>
      </c>
      <c r="N268" t="s">
        <v>457</v>
      </c>
      <c r="O268" t="s">
        <v>3569</v>
      </c>
      <c r="P268" s="4" t="s">
        <v>3573</v>
      </c>
      <c r="Q268" t="s">
        <v>3573</v>
      </c>
      <c r="R268" t="s">
        <v>53</v>
      </c>
    </row>
    <row r="269" spans="1:18">
      <c r="A269" t="s">
        <v>836</v>
      </c>
      <c r="B269" t="s">
        <v>840</v>
      </c>
      <c r="C269" t="s">
        <v>2519</v>
      </c>
      <c r="D269" t="s">
        <v>3552</v>
      </c>
      <c r="E269">
        <v>56</v>
      </c>
      <c r="F269" s="4" t="s">
        <v>3557</v>
      </c>
      <c r="G269" s="4">
        <v>0</v>
      </c>
      <c r="H269">
        <v>0</v>
      </c>
      <c r="I269">
        <v>17764</v>
      </c>
      <c r="J269" s="6">
        <v>30.695799999999998</v>
      </c>
      <c r="K269" s="4" t="str">
        <f t="shared" si="4"/>
        <v>Mid</v>
      </c>
      <c r="L269" t="s">
        <v>344</v>
      </c>
      <c r="M269" s="4" t="s">
        <v>78</v>
      </c>
      <c r="N269" t="s">
        <v>3566</v>
      </c>
      <c r="O269" t="s">
        <v>3569</v>
      </c>
      <c r="P269" s="4" t="s">
        <v>3573</v>
      </c>
      <c r="Q269" t="s">
        <v>3573</v>
      </c>
      <c r="R269" t="s">
        <v>345</v>
      </c>
    </row>
    <row r="270" spans="1:18">
      <c r="A270" t="s">
        <v>836</v>
      </c>
      <c r="B270" t="s">
        <v>840</v>
      </c>
      <c r="C270" t="s">
        <v>2520</v>
      </c>
      <c r="D270" t="s">
        <v>3552</v>
      </c>
      <c r="E270">
        <v>24</v>
      </c>
      <c r="F270" s="4" t="s">
        <v>3555</v>
      </c>
      <c r="G270" s="4">
        <v>0</v>
      </c>
      <c r="H270">
        <v>1</v>
      </c>
      <c r="I270">
        <v>13695</v>
      </c>
      <c r="J270" s="6">
        <v>60</v>
      </c>
      <c r="K270" s="4" t="str">
        <f t="shared" si="4"/>
        <v>High</v>
      </c>
      <c r="L270" t="s">
        <v>346</v>
      </c>
      <c r="M270" s="4" t="s">
        <v>62</v>
      </c>
      <c r="N270" t="s">
        <v>457</v>
      </c>
      <c r="O270" t="s">
        <v>3569</v>
      </c>
      <c r="P270" s="4" t="s">
        <v>3573</v>
      </c>
      <c r="Q270" t="s">
        <v>3573</v>
      </c>
      <c r="R270" t="s">
        <v>347</v>
      </c>
    </row>
    <row r="271" spans="1:18">
      <c r="A271" t="s">
        <v>836</v>
      </c>
      <c r="B271" t="s">
        <v>840</v>
      </c>
      <c r="C271" t="s">
        <v>2521</v>
      </c>
      <c r="D271" t="s">
        <v>3552</v>
      </c>
      <c r="E271">
        <v>28</v>
      </c>
      <c r="F271" s="4" t="s">
        <v>3555</v>
      </c>
      <c r="G271" s="4">
        <v>0</v>
      </c>
      <c r="H271">
        <v>0</v>
      </c>
      <c r="I271">
        <v>113056</v>
      </c>
      <c r="J271" s="6">
        <v>26</v>
      </c>
      <c r="K271" s="4" t="str">
        <f t="shared" si="4"/>
        <v>Mid</v>
      </c>
      <c r="L271" t="s">
        <v>348</v>
      </c>
      <c r="M271" s="4" t="s">
        <v>78</v>
      </c>
      <c r="N271" t="s">
        <v>457</v>
      </c>
      <c r="O271" t="s">
        <v>3569</v>
      </c>
      <c r="P271" s="4" t="s">
        <v>3573</v>
      </c>
      <c r="Q271" t="s">
        <v>3573</v>
      </c>
      <c r="R271" t="s">
        <v>349</v>
      </c>
    </row>
    <row r="272" spans="1:18">
      <c r="A272" t="s">
        <v>836</v>
      </c>
      <c r="B272" t="s">
        <v>9</v>
      </c>
      <c r="C272" t="s">
        <v>2522</v>
      </c>
      <c r="D272" t="s">
        <v>3551</v>
      </c>
      <c r="E272">
        <v>18</v>
      </c>
      <c r="F272" s="4" t="s">
        <v>3555</v>
      </c>
      <c r="G272" s="4">
        <v>0</v>
      </c>
      <c r="H272">
        <v>1</v>
      </c>
      <c r="I272">
        <v>13695</v>
      </c>
      <c r="J272" s="6">
        <v>60</v>
      </c>
      <c r="K272" s="4" t="str">
        <f t="shared" si="4"/>
        <v>High</v>
      </c>
      <c r="L272" t="s">
        <v>346</v>
      </c>
      <c r="M272" s="4" t="s">
        <v>62</v>
      </c>
      <c r="N272" t="s">
        <v>457</v>
      </c>
      <c r="O272">
        <v>6</v>
      </c>
      <c r="P272" s="4" t="s">
        <v>3573</v>
      </c>
      <c r="Q272" t="s">
        <v>3573</v>
      </c>
      <c r="R272" t="s">
        <v>347</v>
      </c>
    </row>
    <row r="273" spans="1:18">
      <c r="A273" t="s">
        <v>836</v>
      </c>
      <c r="B273" t="s">
        <v>9</v>
      </c>
      <c r="C273" t="s">
        <v>2523</v>
      </c>
      <c r="D273" t="s">
        <v>3552</v>
      </c>
      <c r="E273">
        <v>24</v>
      </c>
      <c r="F273" s="4" t="s">
        <v>3555</v>
      </c>
      <c r="G273" s="4">
        <v>0</v>
      </c>
      <c r="H273">
        <v>1</v>
      </c>
      <c r="I273">
        <v>21228</v>
      </c>
      <c r="J273" s="6">
        <v>82.2667</v>
      </c>
      <c r="K273" s="4" t="str">
        <f t="shared" si="4"/>
        <v>High</v>
      </c>
      <c r="L273" t="s">
        <v>350</v>
      </c>
      <c r="M273" s="4" t="s">
        <v>70</v>
      </c>
      <c r="N273" t="s">
        <v>457</v>
      </c>
      <c r="O273">
        <v>7</v>
      </c>
      <c r="P273" s="4" t="s">
        <v>3573</v>
      </c>
      <c r="Q273" t="s">
        <v>3573</v>
      </c>
      <c r="R273" t="s">
        <v>351</v>
      </c>
    </row>
    <row r="274" spans="1:18">
      <c r="A274" t="s">
        <v>836</v>
      </c>
      <c r="B274" t="s">
        <v>9</v>
      </c>
      <c r="C274" t="s">
        <v>2524</v>
      </c>
      <c r="D274" t="s">
        <v>3551</v>
      </c>
      <c r="E274">
        <v>23</v>
      </c>
      <c r="F274" s="4" t="s">
        <v>3555</v>
      </c>
      <c r="G274" s="4">
        <v>0</v>
      </c>
      <c r="H274">
        <v>1</v>
      </c>
      <c r="I274">
        <v>21228</v>
      </c>
      <c r="J274" s="6">
        <v>82.2667</v>
      </c>
      <c r="K274" s="4" t="str">
        <f t="shared" si="4"/>
        <v>High</v>
      </c>
      <c r="L274" t="s">
        <v>350</v>
      </c>
      <c r="M274" s="4" t="s">
        <v>70</v>
      </c>
      <c r="N274" t="s">
        <v>457</v>
      </c>
      <c r="O274">
        <v>7</v>
      </c>
      <c r="P274" s="4" t="s">
        <v>3573</v>
      </c>
      <c r="Q274" t="s">
        <v>3573</v>
      </c>
      <c r="R274" t="s">
        <v>351</v>
      </c>
    </row>
    <row r="275" spans="1:18">
      <c r="A275" t="s">
        <v>836</v>
      </c>
      <c r="B275" t="s">
        <v>9</v>
      </c>
      <c r="C275" t="s">
        <v>2525</v>
      </c>
      <c r="D275" t="s">
        <v>3552</v>
      </c>
      <c r="E275">
        <v>6</v>
      </c>
      <c r="F275" s="4" t="s">
        <v>3556</v>
      </c>
      <c r="G275" s="4">
        <v>2</v>
      </c>
      <c r="H275">
        <v>0</v>
      </c>
      <c r="I275">
        <v>16966</v>
      </c>
      <c r="J275" s="6">
        <v>134.5</v>
      </c>
      <c r="K275" s="4" t="str">
        <f t="shared" si="4"/>
        <v>High</v>
      </c>
      <c r="L275" t="s">
        <v>352</v>
      </c>
      <c r="M275" s="4" t="s">
        <v>3564</v>
      </c>
      <c r="N275" t="s">
        <v>3566</v>
      </c>
      <c r="O275">
        <v>3</v>
      </c>
      <c r="P275" s="4" t="s">
        <v>3573</v>
      </c>
      <c r="Q275" t="s">
        <v>3573</v>
      </c>
      <c r="R275" t="s">
        <v>353</v>
      </c>
    </row>
    <row r="276" spans="1:18">
      <c r="A276" t="s">
        <v>836</v>
      </c>
      <c r="B276" t="s">
        <v>9</v>
      </c>
      <c r="C276" t="s">
        <v>2526</v>
      </c>
      <c r="D276" t="s">
        <v>3552</v>
      </c>
      <c r="E276">
        <v>45</v>
      </c>
      <c r="F276" s="4" t="s">
        <v>3557</v>
      </c>
      <c r="G276" s="4">
        <v>1</v>
      </c>
      <c r="H276">
        <v>1</v>
      </c>
      <c r="I276">
        <v>16966</v>
      </c>
      <c r="J276" s="6">
        <v>134.5</v>
      </c>
      <c r="K276" s="4" t="str">
        <f t="shared" si="4"/>
        <v>High</v>
      </c>
      <c r="L276" t="s">
        <v>352</v>
      </c>
      <c r="M276" s="4" t="s">
        <v>3564</v>
      </c>
      <c r="N276" t="s">
        <v>3566</v>
      </c>
      <c r="O276">
        <v>3</v>
      </c>
      <c r="P276" s="4" t="s">
        <v>3573</v>
      </c>
      <c r="Q276" t="s">
        <v>3573</v>
      </c>
      <c r="R276" t="s">
        <v>353</v>
      </c>
    </row>
    <row r="277" spans="1:18">
      <c r="A277" t="s">
        <v>836</v>
      </c>
      <c r="B277" t="s">
        <v>9</v>
      </c>
      <c r="C277" t="s">
        <v>2527</v>
      </c>
      <c r="D277" t="s">
        <v>3551</v>
      </c>
      <c r="E277">
        <v>40</v>
      </c>
      <c r="F277" s="4" t="s">
        <v>3557</v>
      </c>
      <c r="G277" s="4">
        <v>1</v>
      </c>
      <c r="H277">
        <v>1</v>
      </c>
      <c r="I277">
        <v>16966</v>
      </c>
      <c r="J277" s="6">
        <v>134.5</v>
      </c>
      <c r="K277" s="4" t="str">
        <f t="shared" si="4"/>
        <v>High</v>
      </c>
      <c r="L277" t="s">
        <v>352</v>
      </c>
      <c r="M277" s="4" t="s">
        <v>3564</v>
      </c>
      <c r="N277" t="s">
        <v>3566</v>
      </c>
      <c r="O277">
        <v>3</v>
      </c>
      <c r="P277" s="4" t="s">
        <v>3573</v>
      </c>
      <c r="Q277" t="s">
        <v>3573</v>
      </c>
      <c r="R277" t="s">
        <v>353</v>
      </c>
    </row>
    <row r="278" spans="1:18">
      <c r="A278" t="s">
        <v>836</v>
      </c>
      <c r="B278" t="s">
        <v>840</v>
      </c>
      <c r="C278" t="s">
        <v>2528</v>
      </c>
      <c r="D278" t="s">
        <v>3552</v>
      </c>
      <c r="E278">
        <v>57</v>
      </c>
      <c r="F278" s="4" t="s">
        <v>3557</v>
      </c>
      <c r="G278" s="4">
        <v>0</v>
      </c>
      <c r="H278">
        <v>1</v>
      </c>
      <c r="I278" t="s">
        <v>269</v>
      </c>
      <c r="J278" s="6">
        <v>146.52080000000001</v>
      </c>
      <c r="K278" s="4" t="str">
        <f t="shared" si="4"/>
        <v>High</v>
      </c>
      <c r="L278" t="s">
        <v>354</v>
      </c>
      <c r="M278" s="4" t="s">
        <v>70</v>
      </c>
      <c r="N278" t="s">
        <v>3566</v>
      </c>
      <c r="O278" t="s">
        <v>3569</v>
      </c>
      <c r="P278" s="4" t="s">
        <v>3573</v>
      </c>
      <c r="Q278" t="s">
        <v>3573</v>
      </c>
      <c r="R278" t="s">
        <v>68</v>
      </c>
    </row>
    <row r="279" spans="1:18">
      <c r="A279" t="s">
        <v>836</v>
      </c>
      <c r="B279" t="s">
        <v>9</v>
      </c>
      <c r="C279" t="s">
        <v>2529</v>
      </c>
      <c r="D279" t="s">
        <v>3551</v>
      </c>
      <c r="E279">
        <v>28</v>
      </c>
      <c r="F279" s="4" t="s">
        <v>3555</v>
      </c>
      <c r="G279" s="4">
        <v>0</v>
      </c>
      <c r="H279">
        <v>1</v>
      </c>
      <c r="I279" t="s">
        <v>269</v>
      </c>
      <c r="J279" s="6">
        <v>146.52080000000001</v>
      </c>
      <c r="K279" s="4" t="str">
        <f t="shared" si="4"/>
        <v>High</v>
      </c>
      <c r="L279" t="s">
        <v>354</v>
      </c>
      <c r="M279" s="4" t="s">
        <v>70</v>
      </c>
      <c r="N279" t="s">
        <v>3566</v>
      </c>
      <c r="O279">
        <v>6</v>
      </c>
      <c r="P279" s="4" t="s">
        <v>3573</v>
      </c>
      <c r="Q279" t="s">
        <v>3573</v>
      </c>
      <c r="R279" t="s">
        <v>68</v>
      </c>
    </row>
    <row r="280" spans="1:18">
      <c r="A280" t="s">
        <v>836</v>
      </c>
      <c r="B280" t="s">
        <v>9</v>
      </c>
      <c r="C280" t="s">
        <v>2530</v>
      </c>
      <c r="D280" t="s">
        <v>3552</v>
      </c>
      <c r="E280">
        <v>32</v>
      </c>
      <c r="F280" s="4" t="s">
        <v>3557</v>
      </c>
      <c r="G280" s="4">
        <v>0</v>
      </c>
      <c r="H280">
        <v>0</v>
      </c>
      <c r="I280">
        <v>13214</v>
      </c>
      <c r="J280" s="6">
        <v>30.5</v>
      </c>
      <c r="K280" s="4" t="str">
        <f t="shared" si="4"/>
        <v>Mid</v>
      </c>
      <c r="L280" t="s">
        <v>355</v>
      </c>
      <c r="M280" s="4" t="s">
        <v>70</v>
      </c>
      <c r="N280" t="s">
        <v>3566</v>
      </c>
      <c r="O280">
        <v>3</v>
      </c>
      <c r="P280" s="4" t="s">
        <v>3573</v>
      </c>
      <c r="Q280" t="s">
        <v>3573</v>
      </c>
      <c r="R280" t="s">
        <v>341</v>
      </c>
    </row>
    <row r="281" spans="1:18">
      <c r="A281" t="s">
        <v>836</v>
      </c>
      <c r="B281" t="s">
        <v>840</v>
      </c>
      <c r="C281" t="s">
        <v>2531</v>
      </c>
      <c r="D281" t="s">
        <v>3552</v>
      </c>
      <c r="E281">
        <v>62</v>
      </c>
      <c r="F281" s="4" t="s">
        <v>3559</v>
      </c>
      <c r="G281" s="4">
        <v>0</v>
      </c>
      <c r="H281">
        <v>0</v>
      </c>
      <c r="I281">
        <v>113514</v>
      </c>
      <c r="J281" s="6">
        <v>26.55</v>
      </c>
      <c r="K281" s="4" t="str">
        <f t="shared" si="4"/>
        <v>Mid</v>
      </c>
      <c r="L281" t="s">
        <v>356</v>
      </c>
      <c r="M281" s="4" t="s">
        <v>62</v>
      </c>
      <c r="N281" t="s">
        <v>457</v>
      </c>
      <c r="O281" t="s">
        <v>3569</v>
      </c>
      <c r="P281" s="4" t="s">
        <v>3573</v>
      </c>
      <c r="Q281" t="s">
        <v>3573</v>
      </c>
      <c r="R281" t="s">
        <v>357</v>
      </c>
    </row>
    <row r="282" spans="1:18">
      <c r="A282" t="s">
        <v>836</v>
      </c>
      <c r="B282" t="s">
        <v>9</v>
      </c>
      <c r="C282" t="s">
        <v>2532</v>
      </c>
      <c r="D282" t="s">
        <v>3552</v>
      </c>
      <c r="E282">
        <v>54</v>
      </c>
      <c r="F282" s="4" t="s">
        <v>3557</v>
      </c>
      <c r="G282" s="4">
        <v>0</v>
      </c>
      <c r="H282">
        <v>1</v>
      </c>
      <c r="I282">
        <v>11778</v>
      </c>
      <c r="J282" s="6">
        <v>55.441699999999997</v>
      </c>
      <c r="K282" s="4" t="str">
        <f t="shared" si="4"/>
        <v>High</v>
      </c>
      <c r="L282" t="s">
        <v>358</v>
      </c>
      <c r="M282" s="4" t="s">
        <v>62</v>
      </c>
      <c r="N282" t="s">
        <v>3566</v>
      </c>
      <c r="O282">
        <v>1</v>
      </c>
      <c r="P282" s="4" t="s">
        <v>3573</v>
      </c>
      <c r="Q282" t="s">
        <v>3573</v>
      </c>
      <c r="R282" t="s">
        <v>359</v>
      </c>
    </row>
    <row r="283" spans="1:18">
      <c r="A283" t="s">
        <v>836</v>
      </c>
      <c r="B283" t="s">
        <v>9</v>
      </c>
      <c r="C283" t="s">
        <v>2533</v>
      </c>
      <c r="D283" t="s">
        <v>3551</v>
      </c>
      <c r="E283">
        <v>43</v>
      </c>
      <c r="F283" s="4" t="s">
        <v>3557</v>
      </c>
      <c r="G283" s="4">
        <v>0</v>
      </c>
      <c r="H283">
        <v>1</v>
      </c>
      <c r="I283">
        <v>11778</v>
      </c>
      <c r="J283" s="6">
        <v>55.441699999999997</v>
      </c>
      <c r="K283" s="4" t="str">
        <f t="shared" si="4"/>
        <v>High</v>
      </c>
      <c r="L283" t="s">
        <v>358</v>
      </c>
      <c r="M283" s="4" t="s">
        <v>62</v>
      </c>
      <c r="N283" t="s">
        <v>3566</v>
      </c>
      <c r="O283">
        <v>5</v>
      </c>
      <c r="P283" s="4" t="s">
        <v>3573</v>
      </c>
      <c r="Q283" t="s">
        <v>3573</v>
      </c>
      <c r="R283" t="s">
        <v>359</v>
      </c>
    </row>
    <row r="284" spans="1:18">
      <c r="A284" t="s">
        <v>836</v>
      </c>
      <c r="B284" t="s">
        <v>9</v>
      </c>
      <c r="C284" t="s">
        <v>2534</v>
      </c>
      <c r="D284" t="s">
        <v>3551</v>
      </c>
      <c r="E284">
        <v>52</v>
      </c>
      <c r="F284" s="4" t="s">
        <v>3557</v>
      </c>
      <c r="G284" s="4">
        <v>0</v>
      </c>
      <c r="H284">
        <v>1</v>
      </c>
      <c r="I284">
        <v>36947</v>
      </c>
      <c r="J284" s="6">
        <v>78.2667</v>
      </c>
      <c r="K284" s="4" t="str">
        <f t="shared" si="4"/>
        <v>High</v>
      </c>
      <c r="L284" t="s">
        <v>178</v>
      </c>
      <c r="M284" s="4" t="s">
        <v>59</v>
      </c>
      <c r="N284" t="s">
        <v>3566</v>
      </c>
      <c r="O284">
        <v>4</v>
      </c>
      <c r="P284" s="4" t="s">
        <v>3573</v>
      </c>
      <c r="Q284" t="s">
        <v>3573</v>
      </c>
      <c r="R284" t="s">
        <v>360</v>
      </c>
    </row>
    <row r="285" spans="1:18">
      <c r="A285" t="s">
        <v>836</v>
      </c>
      <c r="B285" t="s">
        <v>840</v>
      </c>
      <c r="C285" t="s">
        <v>2535</v>
      </c>
      <c r="D285" t="s">
        <v>3552</v>
      </c>
      <c r="E285">
        <v>28</v>
      </c>
      <c r="F285" s="4" t="s">
        <v>3555</v>
      </c>
      <c r="G285" s="4">
        <v>0</v>
      </c>
      <c r="H285">
        <v>0</v>
      </c>
      <c r="I285" t="s">
        <v>361</v>
      </c>
      <c r="J285" s="6">
        <v>27.720800000000001</v>
      </c>
      <c r="K285" s="4" t="str">
        <f t="shared" si="4"/>
        <v>Mid</v>
      </c>
      <c r="L285" t="s">
        <v>3561</v>
      </c>
      <c r="M285" s="4" t="s">
        <v>3561</v>
      </c>
      <c r="N285" t="s">
        <v>3566</v>
      </c>
      <c r="O285" t="s">
        <v>3569</v>
      </c>
      <c r="P285" s="4" t="s">
        <v>3573</v>
      </c>
      <c r="Q285" t="s">
        <v>3573</v>
      </c>
      <c r="R285" t="s">
        <v>362</v>
      </c>
    </row>
    <row r="286" spans="1:18">
      <c r="A286" t="s">
        <v>836</v>
      </c>
      <c r="B286" t="s">
        <v>9</v>
      </c>
      <c r="C286" t="s">
        <v>2536</v>
      </c>
      <c r="D286" t="s">
        <v>3551</v>
      </c>
      <c r="E286">
        <v>62</v>
      </c>
      <c r="F286" s="4" t="s">
        <v>3559</v>
      </c>
      <c r="G286" s="4">
        <v>0</v>
      </c>
      <c r="H286">
        <v>0</v>
      </c>
      <c r="I286">
        <v>113572</v>
      </c>
      <c r="J286" s="6">
        <v>80</v>
      </c>
      <c r="K286" s="4" t="str">
        <f t="shared" si="4"/>
        <v>High</v>
      </c>
      <c r="L286" t="s">
        <v>241</v>
      </c>
      <c r="M286" s="4" t="s">
        <v>70</v>
      </c>
      <c r="N286" t="s">
        <v>3561</v>
      </c>
      <c r="O286">
        <v>6</v>
      </c>
      <c r="P286" s="4" t="s">
        <v>3573</v>
      </c>
      <c r="Q286" t="s">
        <v>3573</v>
      </c>
      <c r="R286" t="s">
        <v>363</v>
      </c>
    </row>
    <row r="287" spans="1:18">
      <c r="A287" t="s">
        <v>836</v>
      </c>
      <c r="B287" t="s">
        <v>840</v>
      </c>
      <c r="C287" t="s">
        <v>2537</v>
      </c>
      <c r="D287" t="s">
        <v>3552</v>
      </c>
      <c r="E287">
        <v>67</v>
      </c>
      <c r="F287" s="4" t="s">
        <v>3559</v>
      </c>
      <c r="G287" s="4">
        <v>0</v>
      </c>
      <c r="H287">
        <v>1</v>
      </c>
      <c r="I287" t="s">
        <v>82</v>
      </c>
      <c r="J287" s="6">
        <v>221.7792</v>
      </c>
      <c r="K287" s="4" t="str">
        <f t="shared" si="4"/>
        <v>High</v>
      </c>
      <c r="L287" t="s">
        <v>364</v>
      </c>
      <c r="M287" s="4" t="s">
        <v>62</v>
      </c>
      <c r="N287" t="s">
        <v>457</v>
      </c>
      <c r="O287" t="s">
        <v>3569</v>
      </c>
      <c r="P287" s="4">
        <v>96</v>
      </c>
      <c r="Q287" t="s">
        <v>3574</v>
      </c>
      <c r="R287" t="s">
        <v>53</v>
      </c>
    </row>
    <row r="288" spans="1:18">
      <c r="A288" t="s">
        <v>836</v>
      </c>
      <c r="B288" t="s">
        <v>840</v>
      </c>
      <c r="C288" t="s">
        <v>2538</v>
      </c>
      <c r="D288" t="s">
        <v>3551</v>
      </c>
      <c r="E288">
        <v>63</v>
      </c>
      <c r="F288" s="4" t="s">
        <v>3559</v>
      </c>
      <c r="G288" s="4">
        <v>0</v>
      </c>
      <c r="H288">
        <v>1</v>
      </c>
      <c r="I288" t="s">
        <v>82</v>
      </c>
      <c r="J288" s="6">
        <v>221.7792</v>
      </c>
      <c r="K288" s="4" t="str">
        <f t="shared" si="4"/>
        <v>High</v>
      </c>
      <c r="L288" t="s">
        <v>364</v>
      </c>
      <c r="M288" s="4" t="s">
        <v>62</v>
      </c>
      <c r="N288" t="s">
        <v>457</v>
      </c>
      <c r="O288" t="s">
        <v>3569</v>
      </c>
      <c r="P288" s="4" t="s">
        <v>3573</v>
      </c>
      <c r="Q288" t="s">
        <v>3573</v>
      </c>
      <c r="R288" t="s">
        <v>53</v>
      </c>
    </row>
    <row r="289" spans="1:18">
      <c r="A289" t="s">
        <v>836</v>
      </c>
      <c r="B289" t="s">
        <v>840</v>
      </c>
      <c r="C289" t="s">
        <v>2539</v>
      </c>
      <c r="D289" t="s">
        <v>3552</v>
      </c>
      <c r="E289">
        <v>61</v>
      </c>
      <c r="F289" s="4" t="s">
        <v>3559</v>
      </c>
      <c r="G289" s="4">
        <v>0</v>
      </c>
      <c r="H289">
        <v>0</v>
      </c>
      <c r="I289">
        <v>36963</v>
      </c>
      <c r="J289" s="6">
        <v>32.320799999999998</v>
      </c>
      <c r="K289" s="4" t="str">
        <f t="shared" si="4"/>
        <v>Mid</v>
      </c>
      <c r="L289" t="s">
        <v>365</v>
      </c>
      <c r="M289" s="4" t="s">
        <v>59</v>
      </c>
      <c r="N289" t="s">
        <v>457</v>
      </c>
      <c r="O289" t="s">
        <v>3569</v>
      </c>
      <c r="P289" s="4">
        <v>46</v>
      </c>
      <c r="Q289" t="s">
        <v>3574</v>
      </c>
      <c r="R289" t="s">
        <v>366</v>
      </c>
    </row>
    <row r="290" spans="1:18">
      <c r="A290" t="s">
        <v>836</v>
      </c>
      <c r="B290" t="s">
        <v>9</v>
      </c>
      <c r="C290" t="s">
        <v>2540</v>
      </c>
      <c r="D290" t="s">
        <v>3551</v>
      </c>
      <c r="E290">
        <v>48</v>
      </c>
      <c r="F290" s="4" t="s">
        <v>3557</v>
      </c>
      <c r="G290" s="4">
        <v>0</v>
      </c>
      <c r="H290">
        <v>0</v>
      </c>
      <c r="I290">
        <v>17466</v>
      </c>
      <c r="J290" s="6">
        <v>25.929200000000002</v>
      </c>
      <c r="K290" s="4" t="str">
        <f t="shared" si="4"/>
        <v>Mid</v>
      </c>
      <c r="L290" t="s">
        <v>259</v>
      </c>
      <c r="M290" s="4" t="s">
        <v>59</v>
      </c>
      <c r="N290" t="s">
        <v>457</v>
      </c>
      <c r="O290">
        <v>8</v>
      </c>
      <c r="P290" s="4" t="s">
        <v>3573</v>
      </c>
      <c r="Q290" t="s">
        <v>3573</v>
      </c>
      <c r="R290" t="s">
        <v>186</v>
      </c>
    </row>
    <row r="291" spans="1:18">
      <c r="A291" t="s">
        <v>836</v>
      </c>
      <c r="B291" t="s">
        <v>9</v>
      </c>
      <c r="C291" t="s">
        <v>2541</v>
      </c>
      <c r="D291" t="s">
        <v>3551</v>
      </c>
      <c r="E291">
        <v>18</v>
      </c>
      <c r="F291" s="4" t="s">
        <v>3555</v>
      </c>
      <c r="G291" s="4">
        <v>2</v>
      </c>
      <c r="H291">
        <v>0</v>
      </c>
      <c r="I291">
        <v>110413</v>
      </c>
      <c r="J291" s="6">
        <v>79.650000000000006</v>
      </c>
      <c r="K291" s="4" t="str">
        <f t="shared" si="4"/>
        <v>High</v>
      </c>
      <c r="L291" t="s">
        <v>367</v>
      </c>
      <c r="M291" s="4" t="s">
        <v>3564</v>
      </c>
      <c r="N291" t="s">
        <v>457</v>
      </c>
      <c r="O291">
        <v>8</v>
      </c>
      <c r="P291" s="4" t="s">
        <v>3573</v>
      </c>
      <c r="Q291" t="s">
        <v>3573</v>
      </c>
      <c r="R291" t="s">
        <v>53</v>
      </c>
    </row>
    <row r="292" spans="1:18">
      <c r="A292" t="s">
        <v>836</v>
      </c>
      <c r="B292" t="s">
        <v>840</v>
      </c>
      <c r="C292" t="s">
        <v>2542</v>
      </c>
      <c r="D292" t="s">
        <v>3552</v>
      </c>
      <c r="E292">
        <v>52</v>
      </c>
      <c r="F292" s="4" t="s">
        <v>3557</v>
      </c>
      <c r="G292" s="4">
        <v>1</v>
      </c>
      <c r="H292">
        <v>1</v>
      </c>
      <c r="I292">
        <v>110413</v>
      </c>
      <c r="J292" s="6">
        <v>79.650000000000006</v>
      </c>
      <c r="K292" s="4" t="str">
        <f t="shared" si="4"/>
        <v>High</v>
      </c>
      <c r="L292" t="s">
        <v>368</v>
      </c>
      <c r="M292" s="4" t="s">
        <v>3564</v>
      </c>
      <c r="N292" t="s">
        <v>457</v>
      </c>
      <c r="O292" t="s">
        <v>3569</v>
      </c>
      <c r="P292" s="4" t="s">
        <v>3573</v>
      </c>
      <c r="Q292" t="s">
        <v>3573</v>
      </c>
      <c r="R292" t="s">
        <v>53</v>
      </c>
    </row>
    <row r="293" spans="1:18">
      <c r="A293" t="s">
        <v>836</v>
      </c>
      <c r="B293" t="s">
        <v>9</v>
      </c>
      <c r="C293" t="s">
        <v>2543</v>
      </c>
      <c r="D293" t="s">
        <v>3551</v>
      </c>
      <c r="E293">
        <v>39</v>
      </c>
      <c r="F293" s="4" t="s">
        <v>3557</v>
      </c>
      <c r="G293" s="4">
        <v>1</v>
      </c>
      <c r="H293">
        <v>1</v>
      </c>
      <c r="I293">
        <v>110413</v>
      </c>
      <c r="J293" s="6">
        <v>79.650000000000006</v>
      </c>
      <c r="K293" s="4" t="str">
        <f t="shared" si="4"/>
        <v>High</v>
      </c>
      <c r="L293" t="s">
        <v>368</v>
      </c>
      <c r="M293" s="4" t="s">
        <v>3564</v>
      </c>
      <c r="N293" t="s">
        <v>457</v>
      </c>
      <c r="O293">
        <v>8</v>
      </c>
      <c r="P293" s="4" t="s">
        <v>3573</v>
      </c>
      <c r="Q293" t="s">
        <v>3573</v>
      </c>
      <c r="R293" t="s">
        <v>53</v>
      </c>
    </row>
    <row r="294" spans="1:18">
      <c r="A294" t="s">
        <v>836</v>
      </c>
      <c r="B294" t="s">
        <v>9</v>
      </c>
      <c r="C294" t="s">
        <v>2544</v>
      </c>
      <c r="D294" t="s">
        <v>3552</v>
      </c>
      <c r="E294">
        <v>48</v>
      </c>
      <c r="F294" s="4" t="s">
        <v>3557</v>
      </c>
      <c r="G294" s="4">
        <v>0</v>
      </c>
      <c r="H294">
        <v>1</v>
      </c>
      <c r="I294">
        <v>19996</v>
      </c>
      <c r="J294" s="6">
        <v>52</v>
      </c>
      <c r="K294" s="4" t="str">
        <f t="shared" si="4"/>
        <v>High</v>
      </c>
      <c r="L294" t="s">
        <v>369</v>
      </c>
      <c r="M294" s="4" t="s">
        <v>62</v>
      </c>
      <c r="N294" t="s">
        <v>457</v>
      </c>
      <c r="O294" t="s">
        <v>370</v>
      </c>
      <c r="P294" s="4" t="s">
        <v>3573</v>
      </c>
      <c r="Q294" t="s">
        <v>3573</v>
      </c>
      <c r="R294" t="s">
        <v>371</v>
      </c>
    </row>
    <row r="295" spans="1:18">
      <c r="A295" t="s">
        <v>836</v>
      </c>
      <c r="B295" t="s">
        <v>9</v>
      </c>
      <c r="C295" t="s">
        <v>2545</v>
      </c>
      <c r="D295" t="s">
        <v>3551</v>
      </c>
      <c r="E295">
        <v>28</v>
      </c>
      <c r="F295" s="4" t="s">
        <v>3555</v>
      </c>
      <c r="G295" s="4">
        <v>0</v>
      </c>
      <c r="H295">
        <v>1</v>
      </c>
      <c r="I295">
        <v>19996</v>
      </c>
      <c r="J295" s="6">
        <v>52</v>
      </c>
      <c r="K295" s="4" t="str">
        <f t="shared" si="4"/>
        <v>High</v>
      </c>
      <c r="L295" t="s">
        <v>369</v>
      </c>
      <c r="M295" s="4" t="s">
        <v>62</v>
      </c>
      <c r="N295" t="s">
        <v>457</v>
      </c>
      <c r="O295" t="s">
        <v>370</v>
      </c>
      <c r="P295" s="4" t="s">
        <v>3573</v>
      </c>
      <c r="Q295" t="s">
        <v>3573</v>
      </c>
      <c r="R295" t="s">
        <v>371</v>
      </c>
    </row>
    <row r="296" spans="1:18">
      <c r="A296" t="s">
        <v>836</v>
      </c>
      <c r="B296" t="s">
        <v>840</v>
      </c>
      <c r="C296" t="s">
        <v>2546</v>
      </c>
      <c r="D296" t="s">
        <v>3552</v>
      </c>
      <c r="E296">
        <v>49</v>
      </c>
      <c r="F296" s="4" t="s">
        <v>3557</v>
      </c>
      <c r="G296" s="4">
        <v>1</v>
      </c>
      <c r="H296">
        <v>1</v>
      </c>
      <c r="I296">
        <v>17421</v>
      </c>
      <c r="J296" s="6">
        <v>110.88330000000001</v>
      </c>
      <c r="K296" s="4" t="str">
        <f t="shared" si="4"/>
        <v>High</v>
      </c>
      <c r="L296" t="s">
        <v>372</v>
      </c>
      <c r="M296" s="4" t="s">
        <v>62</v>
      </c>
      <c r="N296" t="s">
        <v>3566</v>
      </c>
      <c r="O296" t="s">
        <v>3569</v>
      </c>
      <c r="P296" s="4" t="s">
        <v>3573</v>
      </c>
      <c r="Q296" t="s">
        <v>3573</v>
      </c>
      <c r="R296" t="s">
        <v>360</v>
      </c>
    </row>
    <row r="297" spans="1:18">
      <c r="A297" t="s">
        <v>836</v>
      </c>
      <c r="B297" t="s">
        <v>9</v>
      </c>
      <c r="C297" t="s">
        <v>2546</v>
      </c>
      <c r="D297" t="s">
        <v>3552</v>
      </c>
      <c r="E297">
        <v>17</v>
      </c>
      <c r="F297" s="4" t="s">
        <v>3560</v>
      </c>
      <c r="G297" s="4">
        <v>2</v>
      </c>
      <c r="H297">
        <v>0</v>
      </c>
      <c r="I297">
        <v>17421</v>
      </c>
      <c r="J297" s="6">
        <v>110.88330000000001</v>
      </c>
      <c r="K297" s="4" t="str">
        <f t="shared" si="4"/>
        <v>High</v>
      </c>
      <c r="L297" t="s">
        <v>373</v>
      </c>
      <c r="M297" s="4" t="s">
        <v>62</v>
      </c>
      <c r="N297" t="s">
        <v>3566</v>
      </c>
      <c r="O297" t="s">
        <v>70</v>
      </c>
      <c r="P297" s="4" t="s">
        <v>3573</v>
      </c>
      <c r="Q297" t="s">
        <v>3573</v>
      </c>
      <c r="R297" t="s">
        <v>360</v>
      </c>
    </row>
    <row r="298" spans="1:18">
      <c r="A298" t="s">
        <v>836</v>
      </c>
      <c r="B298" t="s">
        <v>9</v>
      </c>
      <c r="C298" t="s">
        <v>2547</v>
      </c>
      <c r="D298" t="s">
        <v>3551</v>
      </c>
      <c r="E298">
        <v>39</v>
      </c>
      <c r="F298" s="4" t="s">
        <v>3557</v>
      </c>
      <c r="G298" s="4">
        <v>1</v>
      </c>
      <c r="H298">
        <v>1</v>
      </c>
      <c r="I298">
        <v>17421</v>
      </c>
      <c r="J298" s="6">
        <v>110.88330000000001</v>
      </c>
      <c r="K298" s="4" t="str">
        <f t="shared" si="4"/>
        <v>High</v>
      </c>
      <c r="L298" t="s">
        <v>372</v>
      </c>
      <c r="M298" s="4" t="s">
        <v>62</v>
      </c>
      <c r="N298" t="s">
        <v>3566</v>
      </c>
      <c r="O298">
        <v>4</v>
      </c>
      <c r="P298" s="4" t="s">
        <v>3573</v>
      </c>
      <c r="Q298" t="s">
        <v>3573</v>
      </c>
      <c r="R298" t="s">
        <v>360</v>
      </c>
    </row>
    <row r="299" spans="1:18">
      <c r="A299" t="s">
        <v>836</v>
      </c>
      <c r="B299" t="s">
        <v>9</v>
      </c>
      <c r="C299" t="s">
        <v>2548</v>
      </c>
      <c r="D299" t="s">
        <v>3551</v>
      </c>
      <c r="E299">
        <v>28</v>
      </c>
      <c r="F299" s="4" t="s">
        <v>3555</v>
      </c>
      <c r="G299" s="4">
        <v>0</v>
      </c>
      <c r="H299">
        <v>0</v>
      </c>
      <c r="I299" t="s">
        <v>328</v>
      </c>
      <c r="J299" s="6">
        <v>79.2</v>
      </c>
      <c r="K299" s="4" t="str">
        <f t="shared" si="4"/>
        <v>High</v>
      </c>
      <c r="L299" t="s">
        <v>3561</v>
      </c>
      <c r="M299" s="4" t="s">
        <v>3561</v>
      </c>
      <c r="N299" t="s">
        <v>3566</v>
      </c>
      <c r="O299" t="s">
        <v>59</v>
      </c>
      <c r="P299" s="4" t="s">
        <v>3573</v>
      </c>
      <c r="Q299" t="s">
        <v>3573</v>
      </c>
      <c r="R299" t="s">
        <v>53</v>
      </c>
    </row>
    <row r="300" spans="1:18">
      <c r="A300" t="s">
        <v>836</v>
      </c>
      <c r="B300" t="s">
        <v>9</v>
      </c>
      <c r="C300" t="s">
        <v>2549</v>
      </c>
      <c r="D300" t="s">
        <v>3552</v>
      </c>
      <c r="E300">
        <v>31</v>
      </c>
      <c r="F300" s="4" t="s">
        <v>3557</v>
      </c>
      <c r="G300" s="4">
        <v>0</v>
      </c>
      <c r="H300">
        <v>0</v>
      </c>
      <c r="I300">
        <v>2543</v>
      </c>
      <c r="J300" s="6">
        <v>28.537500000000001</v>
      </c>
      <c r="K300" s="4" t="str">
        <f t="shared" si="4"/>
        <v>Mid</v>
      </c>
      <c r="L300" t="s">
        <v>374</v>
      </c>
      <c r="M300" s="4" t="s">
        <v>62</v>
      </c>
      <c r="N300" t="s">
        <v>3566</v>
      </c>
      <c r="O300">
        <v>7</v>
      </c>
      <c r="P300" s="4" t="s">
        <v>3573</v>
      </c>
      <c r="Q300" t="s">
        <v>3573</v>
      </c>
      <c r="R300" t="s">
        <v>375</v>
      </c>
    </row>
    <row r="301" spans="1:18">
      <c r="A301" t="s">
        <v>836</v>
      </c>
      <c r="B301" t="s">
        <v>840</v>
      </c>
      <c r="C301" t="s">
        <v>2550</v>
      </c>
      <c r="D301" t="s">
        <v>3552</v>
      </c>
      <c r="E301">
        <v>40</v>
      </c>
      <c r="F301" s="4" t="s">
        <v>3557</v>
      </c>
      <c r="G301" s="4">
        <v>0</v>
      </c>
      <c r="H301">
        <v>0</v>
      </c>
      <c r="I301" t="s">
        <v>376</v>
      </c>
      <c r="J301" s="6">
        <v>27.720800000000001</v>
      </c>
      <c r="K301" s="4" t="str">
        <f t="shared" si="4"/>
        <v>Mid</v>
      </c>
      <c r="L301" t="s">
        <v>3561</v>
      </c>
      <c r="M301" s="4" t="s">
        <v>3561</v>
      </c>
      <c r="N301" t="s">
        <v>3566</v>
      </c>
      <c r="O301" t="s">
        <v>3569</v>
      </c>
      <c r="P301" s="4" t="s">
        <v>3573</v>
      </c>
      <c r="Q301" t="s">
        <v>3573</v>
      </c>
      <c r="R301" t="s">
        <v>377</v>
      </c>
    </row>
    <row r="302" spans="1:18">
      <c r="A302" t="s">
        <v>836</v>
      </c>
      <c r="B302" t="s">
        <v>840</v>
      </c>
      <c r="C302" t="s">
        <v>2551</v>
      </c>
      <c r="D302" t="s">
        <v>3552</v>
      </c>
      <c r="E302">
        <v>61</v>
      </c>
      <c r="F302" s="4" t="s">
        <v>3559</v>
      </c>
      <c r="G302" s="4">
        <v>0</v>
      </c>
      <c r="H302">
        <v>0</v>
      </c>
      <c r="I302">
        <v>111240</v>
      </c>
      <c r="J302" s="6">
        <v>33.5</v>
      </c>
      <c r="K302" s="4" t="str">
        <f t="shared" si="4"/>
        <v>Mid</v>
      </c>
      <c r="L302" t="s">
        <v>378</v>
      </c>
      <c r="M302" s="4" t="s">
        <v>70</v>
      </c>
      <c r="N302" t="s">
        <v>457</v>
      </c>
      <c r="O302" t="s">
        <v>3569</v>
      </c>
      <c r="P302" s="4">
        <v>245</v>
      </c>
      <c r="Q302" t="s">
        <v>3574</v>
      </c>
      <c r="R302" t="s">
        <v>186</v>
      </c>
    </row>
    <row r="303" spans="1:18">
      <c r="A303" t="s">
        <v>836</v>
      </c>
      <c r="B303" t="s">
        <v>840</v>
      </c>
      <c r="C303" t="s">
        <v>2552</v>
      </c>
      <c r="D303" t="s">
        <v>3552</v>
      </c>
      <c r="E303">
        <v>47</v>
      </c>
      <c r="F303" s="4" t="s">
        <v>3557</v>
      </c>
      <c r="G303" s="4">
        <v>0</v>
      </c>
      <c r="H303">
        <v>0</v>
      </c>
      <c r="I303">
        <v>36967</v>
      </c>
      <c r="J303" s="6">
        <v>34.020800000000001</v>
      </c>
      <c r="K303" s="4" t="str">
        <f t="shared" si="4"/>
        <v>Mid</v>
      </c>
      <c r="L303" t="s">
        <v>379</v>
      </c>
      <c r="M303" s="4" t="s">
        <v>59</v>
      </c>
      <c r="N303" t="s">
        <v>457</v>
      </c>
      <c r="O303" t="s">
        <v>3569</v>
      </c>
      <c r="P303" s="4" t="s">
        <v>3573</v>
      </c>
      <c r="Q303" t="s">
        <v>3573</v>
      </c>
      <c r="R303" t="s">
        <v>380</v>
      </c>
    </row>
    <row r="304" spans="1:18">
      <c r="A304" t="s">
        <v>836</v>
      </c>
      <c r="B304" t="s">
        <v>9</v>
      </c>
      <c r="C304" t="s">
        <v>2553</v>
      </c>
      <c r="D304" t="s">
        <v>3551</v>
      </c>
      <c r="E304">
        <v>35</v>
      </c>
      <c r="F304" s="4" t="s">
        <v>3557</v>
      </c>
      <c r="G304" s="4">
        <v>0</v>
      </c>
      <c r="H304">
        <v>0</v>
      </c>
      <c r="I304" t="s">
        <v>122</v>
      </c>
      <c r="J304" s="6">
        <v>512.32920000000001</v>
      </c>
      <c r="K304" s="4" t="str">
        <f t="shared" si="4"/>
        <v>High</v>
      </c>
      <c r="L304" t="s">
        <v>3561</v>
      </c>
      <c r="M304" s="4" t="s">
        <v>3561</v>
      </c>
      <c r="N304" t="s">
        <v>3566</v>
      </c>
      <c r="O304">
        <v>3</v>
      </c>
      <c r="P304" s="4" t="s">
        <v>3573</v>
      </c>
      <c r="Q304" t="s">
        <v>3573</v>
      </c>
    </row>
    <row r="305" spans="1:18">
      <c r="A305" t="s">
        <v>836</v>
      </c>
      <c r="B305" t="s">
        <v>840</v>
      </c>
      <c r="C305" t="s">
        <v>2554</v>
      </c>
      <c r="D305" t="s">
        <v>3552</v>
      </c>
      <c r="E305">
        <v>64</v>
      </c>
      <c r="F305" s="4" t="s">
        <v>3559</v>
      </c>
      <c r="G305" s="4">
        <v>0</v>
      </c>
      <c r="H305">
        <v>1</v>
      </c>
      <c r="I305">
        <v>110813</v>
      </c>
      <c r="J305" s="6">
        <v>75.25</v>
      </c>
      <c r="K305" s="4" t="str">
        <f t="shared" si="4"/>
        <v>High</v>
      </c>
      <c r="L305" t="s">
        <v>381</v>
      </c>
      <c r="M305" s="4" t="s">
        <v>59</v>
      </c>
      <c r="N305" t="s">
        <v>3566</v>
      </c>
      <c r="O305" t="s">
        <v>3569</v>
      </c>
      <c r="P305" s="4" t="s">
        <v>3573</v>
      </c>
      <c r="Q305" t="s">
        <v>3573</v>
      </c>
      <c r="R305" t="s">
        <v>258</v>
      </c>
    </row>
    <row r="306" spans="1:18">
      <c r="A306" t="s">
        <v>836</v>
      </c>
      <c r="B306" t="s">
        <v>9</v>
      </c>
      <c r="C306" t="s">
        <v>2555</v>
      </c>
      <c r="D306" t="s">
        <v>3551</v>
      </c>
      <c r="E306">
        <v>60</v>
      </c>
      <c r="F306" s="4" t="s">
        <v>3559</v>
      </c>
      <c r="G306" s="4">
        <v>0</v>
      </c>
      <c r="H306">
        <v>1</v>
      </c>
      <c r="I306">
        <v>110813</v>
      </c>
      <c r="J306" s="6">
        <v>75.25</v>
      </c>
      <c r="K306" s="4" t="str">
        <f t="shared" si="4"/>
        <v>High</v>
      </c>
      <c r="L306" t="s">
        <v>381</v>
      </c>
      <c r="M306" s="4" t="s">
        <v>59</v>
      </c>
      <c r="N306" t="s">
        <v>3566</v>
      </c>
      <c r="O306">
        <v>5</v>
      </c>
      <c r="P306" s="4" t="s">
        <v>3573</v>
      </c>
      <c r="Q306" t="s">
        <v>3573</v>
      </c>
      <c r="R306" t="s">
        <v>258</v>
      </c>
    </row>
    <row r="307" spans="1:18">
      <c r="A307" t="s">
        <v>836</v>
      </c>
      <c r="B307" t="s">
        <v>840</v>
      </c>
      <c r="C307" t="s">
        <v>2556</v>
      </c>
      <c r="D307" t="s">
        <v>3552</v>
      </c>
      <c r="E307">
        <v>60</v>
      </c>
      <c r="F307" s="4" t="s">
        <v>3559</v>
      </c>
      <c r="G307" s="4">
        <v>0</v>
      </c>
      <c r="H307">
        <v>0</v>
      </c>
      <c r="I307">
        <v>113800</v>
      </c>
      <c r="J307" s="6">
        <v>26.55</v>
      </c>
      <c r="K307" s="4" t="str">
        <f t="shared" si="4"/>
        <v>Mid</v>
      </c>
      <c r="L307" t="s">
        <v>3561</v>
      </c>
      <c r="M307" s="4" t="s">
        <v>3561</v>
      </c>
      <c r="N307" t="s">
        <v>457</v>
      </c>
      <c r="O307" t="s">
        <v>3569</v>
      </c>
      <c r="P307" s="4" t="s">
        <v>3573</v>
      </c>
      <c r="Q307" t="s">
        <v>3573</v>
      </c>
      <c r="R307" t="s">
        <v>382</v>
      </c>
    </row>
    <row r="308" spans="1:18">
      <c r="A308" t="s">
        <v>836</v>
      </c>
      <c r="B308" t="s">
        <v>840</v>
      </c>
      <c r="C308" t="s">
        <v>2557</v>
      </c>
      <c r="D308" t="s">
        <v>3552</v>
      </c>
      <c r="E308">
        <v>54</v>
      </c>
      <c r="F308" s="4" t="s">
        <v>3557</v>
      </c>
      <c r="G308" s="4">
        <v>1</v>
      </c>
      <c r="H308">
        <v>0</v>
      </c>
      <c r="I308">
        <v>35281</v>
      </c>
      <c r="J308" s="6">
        <v>77.287499999999994</v>
      </c>
      <c r="K308" s="4" t="str">
        <f t="shared" si="4"/>
        <v>High</v>
      </c>
      <c r="L308" t="s">
        <v>383</v>
      </c>
      <c r="M308" s="4" t="s">
        <v>59</v>
      </c>
      <c r="N308" t="s">
        <v>457</v>
      </c>
      <c r="O308" t="s">
        <v>3569</v>
      </c>
      <c r="P308" s="4" t="s">
        <v>3573</v>
      </c>
      <c r="Q308" t="s">
        <v>3573</v>
      </c>
      <c r="R308" t="s">
        <v>384</v>
      </c>
    </row>
    <row r="309" spans="1:18">
      <c r="A309" t="s">
        <v>836</v>
      </c>
      <c r="B309" t="s">
        <v>840</v>
      </c>
      <c r="C309" t="s">
        <v>2558</v>
      </c>
      <c r="D309" t="s">
        <v>3552</v>
      </c>
      <c r="E309">
        <v>21</v>
      </c>
      <c r="F309" s="4" t="s">
        <v>3555</v>
      </c>
      <c r="G309" s="4">
        <v>1</v>
      </c>
      <c r="H309">
        <v>0</v>
      </c>
      <c r="I309">
        <v>35281</v>
      </c>
      <c r="J309" s="6">
        <v>77.287499999999994</v>
      </c>
      <c r="K309" s="4" t="str">
        <f t="shared" si="4"/>
        <v>High</v>
      </c>
      <c r="L309" t="s">
        <v>383</v>
      </c>
      <c r="M309" s="4" t="s">
        <v>59</v>
      </c>
      <c r="N309" t="s">
        <v>457</v>
      </c>
      <c r="O309" t="s">
        <v>3569</v>
      </c>
      <c r="P309" s="4">
        <v>169</v>
      </c>
      <c r="Q309" t="s">
        <v>3574</v>
      </c>
      <c r="R309" t="s">
        <v>384</v>
      </c>
    </row>
    <row r="310" spans="1:18">
      <c r="A310" t="s">
        <v>836</v>
      </c>
      <c r="B310" t="s">
        <v>9</v>
      </c>
      <c r="C310" t="s">
        <v>2559</v>
      </c>
      <c r="D310" t="s">
        <v>3551</v>
      </c>
      <c r="E310">
        <v>55</v>
      </c>
      <c r="F310" s="4" t="s">
        <v>3557</v>
      </c>
      <c r="G310" s="4">
        <v>0</v>
      </c>
      <c r="H310">
        <v>0</v>
      </c>
      <c r="I310" t="s">
        <v>87</v>
      </c>
      <c r="J310" s="6">
        <v>135.63329999999999</v>
      </c>
      <c r="K310" s="4" t="str">
        <f t="shared" si="4"/>
        <v>High</v>
      </c>
      <c r="L310" t="s">
        <v>385</v>
      </c>
      <c r="M310" s="4" t="s">
        <v>62</v>
      </c>
      <c r="N310" t="s">
        <v>3566</v>
      </c>
      <c r="O310">
        <v>8</v>
      </c>
      <c r="P310" s="4" t="s">
        <v>3573</v>
      </c>
      <c r="Q310" t="s">
        <v>3573</v>
      </c>
      <c r="R310" t="s">
        <v>386</v>
      </c>
    </row>
    <row r="311" spans="1:18">
      <c r="A311" t="s">
        <v>836</v>
      </c>
      <c r="B311" t="s">
        <v>9</v>
      </c>
      <c r="C311" t="s">
        <v>2560</v>
      </c>
      <c r="D311" t="s">
        <v>3551</v>
      </c>
      <c r="E311">
        <v>31</v>
      </c>
      <c r="F311" s="4" t="s">
        <v>3557</v>
      </c>
      <c r="G311" s="4">
        <v>2</v>
      </c>
      <c r="H311">
        <v>0</v>
      </c>
      <c r="I311">
        <v>36928</v>
      </c>
      <c r="J311" s="6">
        <v>164.86670000000001</v>
      </c>
      <c r="K311" s="4" t="str">
        <f t="shared" si="4"/>
        <v>High</v>
      </c>
      <c r="L311" t="s">
        <v>95</v>
      </c>
      <c r="M311" s="4" t="s">
        <v>62</v>
      </c>
      <c r="N311" t="s">
        <v>457</v>
      </c>
      <c r="O311">
        <v>8</v>
      </c>
      <c r="P311" s="4" t="s">
        <v>3573</v>
      </c>
      <c r="Q311" t="s">
        <v>3573</v>
      </c>
      <c r="R311" t="s">
        <v>96</v>
      </c>
    </row>
    <row r="312" spans="1:18">
      <c r="A312" t="s">
        <v>836</v>
      </c>
      <c r="B312" t="s">
        <v>840</v>
      </c>
      <c r="C312" t="s">
        <v>2561</v>
      </c>
      <c r="D312" t="s">
        <v>3552</v>
      </c>
      <c r="E312">
        <v>57</v>
      </c>
      <c r="F312" s="4" t="s">
        <v>3557</v>
      </c>
      <c r="G312" s="4">
        <v>1</v>
      </c>
      <c r="H312">
        <v>1</v>
      </c>
      <c r="I312">
        <v>36928</v>
      </c>
      <c r="J312" s="6">
        <v>164.86670000000001</v>
      </c>
      <c r="K312" s="4" t="str">
        <f t="shared" si="4"/>
        <v>High</v>
      </c>
      <c r="L312" t="s">
        <v>3561</v>
      </c>
      <c r="M312" s="4" t="s">
        <v>3561</v>
      </c>
      <c r="N312" t="s">
        <v>457</v>
      </c>
      <c r="O312" t="s">
        <v>3569</v>
      </c>
      <c r="P312" s="4" t="s">
        <v>3573</v>
      </c>
      <c r="Q312" t="s">
        <v>3573</v>
      </c>
      <c r="R312" t="s">
        <v>96</v>
      </c>
    </row>
    <row r="313" spans="1:18">
      <c r="A313" t="s">
        <v>836</v>
      </c>
      <c r="B313" t="s">
        <v>9</v>
      </c>
      <c r="C313" t="s">
        <v>2562</v>
      </c>
      <c r="D313" t="s">
        <v>3551</v>
      </c>
      <c r="E313">
        <v>45</v>
      </c>
      <c r="F313" s="4" t="s">
        <v>3557</v>
      </c>
      <c r="G313" s="4">
        <v>1</v>
      </c>
      <c r="H313">
        <v>1</v>
      </c>
      <c r="I313">
        <v>36928</v>
      </c>
      <c r="J313" s="6">
        <v>164.86670000000001</v>
      </c>
      <c r="K313" s="4" t="str">
        <f t="shared" si="4"/>
        <v>High</v>
      </c>
      <c r="L313" t="s">
        <v>3561</v>
      </c>
      <c r="M313" s="4" t="s">
        <v>3561</v>
      </c>
      <c r="N313" t="s">
        <v>457</v>
      </c>
      <c r="O313">
        <v>8</v>
      </c>
      <c r="P313" s="4" t="s">
        <v>3573</v>
      </c>
      <c r="Q313" t="s">
        <v>3573</v>
      </c>
      <c r="R313" t="s">
        <v>96</v>
      </c>
    </row>
    <row r="314" spans="1:18">
      <c r="A314" t="s">
        <v>836</v>
      </c>
      <c r="B314" t="s">
        <v>840</v>
      </c>
      <c r="C314" t="s">
        <v>2563</v>
      </c>
      <c r="D314" t="s">
        <v>3552</v>
      </c>
      <c r="E314">
        <v>50</v>
      </c>
      <c r="F314" s="4" t="s">
        <v>3557</v>
      </c>
      <c r="G314" s="4">
        <v>1</v>
      </c>
      <c r="H314">
        <v>1</v>
      </c>
      <c r="I314">
        <v>113503</v>
      </c>
      <c r="J314" s="6">
        <v>211.5</v>
      </c>
      <c r="K314" s="4" t="str">
        <f t="shared" si="4"/>
        <v>High</v>
      </c>
      <c r="L314" t="s">
        <v>387</v>
      </c>
      <c r="M314" s="4" t="s">
        <v>62</v>
      </c>
      <c r="N314" t="s">
        <v>3566</v>
      </c>
      <c r="O314" t="s">
        <v>3569</v>
      </c>
      <c r="P314" s="4" t="s">
        <v>3573</v>
      </c>
      <c r="Q314" t="s">
        <v>3573</v>
      </c>
      <c r="R314" t="s">
        <v>388</v>
      </c>
    </row>
    <row r="315" spans="1:18">
      <c r="A315" t="s">
        <v>836</v>
      </c>
      <c r="B315" t="s">
        <v>840</v>
      </c>
      <c r="C315" t="s">
        <v>2564</v>
      </c>
      <c r="D315" t="s">
        <v>3552</v>
      </c>
      <c r="E315">
        <v>27</v>
      </c>
      <c r="F315" s="4" t="s">
        <v>3555</v>
      </c>
      <c r="G315" s="4">
        <v>2</v>
      </c>
      <c r="H315">
        <v>0</v>
      </c>
      <c r="I315">
        <v>113503</v>
      </c>
      <c r="J315" s="6">
        <v>211.5</v>
      </c>
      <c r="K315" s="4" t="str">
        <f t="shared" si="4"/>
        <v>High</v>
      </c>
      <c r="L315" t="s">
        <v>389</v>
      </c>
      <c r="M315" s="4" t="s">
        <v>62</v>
      </c>
      <c r="N315" t="s">
        <v>3566</v>
      </c>
      <c r="O315" t="s">
        <v>3569</v>
      </c>
      <c r="P315" s="4" t="s">
        <v>3573</v>
      </c>
      <c r="Q315" t="s">
        <v>3573</v>
      </c>
      <c r="R315" t="s">
        <v>388</v>
      </c>
    </row>
    <row r="316" spans="1:18">
      <c r="A316" t="s">
        <v>836</v>
      </c>
      <c r="B316" t="s">
        <v>9</v>
      </c>
      <c r="C316" t="s">
        <v>2565</v>
      </c>
      <c r="D316" t="s">
        <v>3551</v>
      </c>
      <c r="E316">
        <v>50</v>
      </c>
      <c r="F316" s="4" t="s">
        <v>3557</v>
      </c>
      <c r="G316" s="4">
        <v>1</v>
      </c>
      <c r="H316">
        <v>1</v>
      </c>
      <c r="I316">
        <v>113503</v>
      </c>
      <c r="J316" s="6">
        <v>211.5</v>
      </c>
      <c r="K316" s="4" t="str">
        <f t="shared" si="4"/>
        <v>High</v>
      </c>
      <c r="L316" t="s">
        <v>387</v>
      </c>
      <c r="M316" s="4" t="s">
        <v>62</v>
      </c>
      <c r="N316" t="s">
        <v>3566</v>
      </c>
      <c r="O316">
        <v>4</v>
      </c>
      <c r="P316" s="4" t="s">
        <v>3573</v>
      </c>
      <c r="Q316" t="s">
        <v>3573</v>
      </c>
      <c r="R316" t="s">
        <v>388</v>
      </c>
    </row>
    <row r="317" spans="1:18">
      <c r="A317" t="s">
        <v>836</v>
      </c>
      <c r="B317" t="s">
        <v>9</v>
      </c>
      <c r="C317" t="s">
        <v>2566</v>
      </c>
      <c r="D317" t="s">
        <v>3551</v>
      </c>
      <c r="E317">
        <v>21</v>
      </c>
      <c r="F317" s="4" t="s">
        <v>3555</v>
      </c>
      <c r="G317" s="4">
        <v>0</v>
      </c>
      <c r="H317">
        <v>0</v>
      </c>
      <c r="I317">
        <v>113795</v>
      </c>
      <c r="J317" s="6">
        <v>26.55</v>
      </c>
      <c r="K317" s="4" t="str">
        <f t="shared" si="4"/>
        <v>Mid</v>
      </c>
      <c r="L317" t="s">
        <v>3561</v>
      </c>
      <c r="M317" s="4" t="s">
        <v>3561</v>
      </c>
      <c r="N317" t="s">
        <v>457</v>
      </c>
      <c r="O317" t="s">
        <v>390</v>
      </c>
      <c r="P317" s="4" t="s">
        <v>3573</v>
      </c>
      <c r="Q317" t="s">
        <v>3573</v>
      </c>
      <c r="R317" t="s">
        <v>339</v>
      </c>
    </row>
    <row r="318" spans="1:18">
      <c r="A318" t="s">
        <v>836</v>
      </c>
      <c r="B318" t="s">
        <v>840</v>
      </c>
      <c r="C318" t="s">
        <v>2567</v>
      </c>
      <c r="D318" t="s">
        <v>3552</v>
      </c>
      <c r="E318">
        <v>51</v>
      </c>
      <c r="F318" s="4" t="s">
        <v>3557</v>
      </c>
      <c r="G318" s="4">
        <v>1</v>
      </c>
      <c r="H318">
        <v>0</v>
      </c>
      <c r="I318" t="s">
        <v>391</v>
      </c>
      <c r="J318" s="6">
        <v>61.379199999999997</v>
      </c>
      <c r="K318" s="4" t="str">
        <f t="shared" si="4"/>
        <v>High</v>
      </c>
      <c r="L318" t="s">
        <v>3561</v>
      </c>
      <c r="M318" s="4" t="s">
        <v>3561</v>
      </c>
      <c r="N318" t="s">
        <v>3566</v>
      </c>
      <c r="O318" t="s">
        <v>3569</v>
      </c>
      <c r="P318" s="4" t="s">
        <v>3573</v>
      </c>
      <c r="Q318" t="s">
        <v>3573</v>
      </c>
      <c r="R318" t="s">
        <v>392</v>
      </c>
    </row>
    <row r="319" spans="1:18">
      <c r="A319" t="s">
        <v>836</v>
      </c>
      <c r="B319" t="s">
        <v>9</v>
      </c>
      <c r="C319" t="s">
        <v>2568</v>
      </c>
      <c r="D319" t="s">
        <v>3552</v>
      </c>
      <c r="E319">
        <v>21</v>
      </c>
      <c r="F319" s="4" t="s">
        <v>3555</v>
      </c>
      <c r="G319" s="4">
        <v>1</v>
      </c>
      <c r="H319">
        <v>0</v>
      </c>
      <c r="I319" t="s">
        <v>391</v>
      </c>
      <c r="J319" s="6">
        <v>61.379199999999997</v>
      </c>
      <c r="K319" s="4" t="str">
        <f t="shared" si="4"/>
        <v>High</v>
      </c>
      <c r="L319" t="s">
        <v>3561</v>
      </c>
      <c r="M319" s="4" t="s">
        <v>3561</v>
      </c>
      <c r="N319" t="s">
        <v>3566</v>
      </c>
      <c r="O319" t="s">
        <v>78</v>
      </c>
      <c r="P319" s="4" t="s">
        <v>3573</v>
      </c>
      <c r="Q319" t="s">
        <v>3573</v>
      </c>
      <c r="R319" t="s">
        <v>392</v>
      </c>
    </row>
    <row r="320" spans="1:18">
      <c r="A320" t="s">
        <v>836</v>
      </c>
      <c r="B320" t="s">
        <v>840</v>
      </c>
      <c r="C320" t="s">
        <v>2569</v>
      </c>
      <c r="D320" t="s">
        <v>3552</v>
      </c>
      <c r="E320">
        <v>28</v>
      </c>
      <c r="F320" s="4" t="s">
        <v>3555</v>
      </c>
      <c r="G320" s="4">
        <v>0</v>
      </c>
      <c r="H320">
        <v>0</v>
      </c>
      <c r="I320">
        <v>113510</v>
      </c>
      <c r="J320" s="6">
        <v>35</v>
      </c>
      <c r="K320" s="4" t="str">
        <f t="shared" si="4"/>
        <v>Mid</v>
      </c>
      <c r="L320" t="s">
        <v>393</v>
      </c>
      <c r="M320" s="4" t="s">
        <v>62</v>
      </c>
      <c r="N320" t="s">
        <v>457</v>
      </c>
      <c r="O320" t="s">
        <v>3569</v>
      </c>
      <c r="P320" s="4" t="s">
        <v>3573</v>
      </c>
      <c r="Q320" t="s">
        <v>3573</v>
      </c>
      <c r="R320" t="s">
        <v>138</v>
      </c>
    </row>
    <row r="321" spans="1:18">
      <c r="A321" t="s">
        <v>836</v>
      </c>
      <c r="B321" t="s">
        <v>9</v>
      </c>
      <c r="C321" t="s">
        <v>2570</v>
      </c>
      <c r="D321" t="s">
        <v>3551</v>
      </c>
      <c r="E321">
        <v>31</v>
      </c>
      <c r="F321" s="4" t="s">
        <v>3557</v>
      </c>
      <c r="G321" s="4">
        <v>0</v>
      </c>
      <c r="H321">
        <v>0</v>
      </c>
      <c r="I321">
        <v>16966</v>
      </c>
      <c r="J321" s="6">
        <v>134.5</v>
      </c>
      <c r="K321" s="4" t="str">
        <f t="shared" si="4"/>
        <v>High</v>
      </c>
      <c r="L321" t="s">
        <v>394</v>
      </c>
      <c r="M321" s="4" t="s">
        <v>3564</v>
      </c>
      <c r="N321" t="s">
        <v>3566</v>
      </c>
      <c r="O321">
        <v>3</v>
      </c>
      <c r="P321" s="4" t="s">
        <v>3573</v>
      </c>
      <c r="Q321" t="s">
        <v>3573</v>
      </c>
    </row>
    <row r="322" spans="1:18">
      <c r="A322" t="s">
        <v>836</v>
      </c>
      <c r="B322" t="s">
        <v>9</v>
      </c>
      <c r="C322" t="s">
        <v>2571</v>
      </c>
      <c r="D322" t="s">
        <v>3552</v>
      </c>
      <c r="E322">
        <v>28</v>
      </c>
      <c r="F322" s="4" t="s">
        <v>3555</v>
      </c>
      <c r="G322" s="4">
        <v>0</v>
      </c>
      <c r="H322">
        <v>0</v>
      </c>
      <c r="I322">
        <v>19947</v>
      </c>
      <c r="J322" s="6">
        <v>35.5</v>
      </c>
      <c r="K322" s="4" t="str">
        <f t="shared" si="4"/>
        <v>Mid</v>
      </c>
      <c r="L322" t="s">
        <v>89</v>
      </c>
      <c r="M322" s="4" t="s">
        <v>62</v>
      </c>
      <c r="N322" t="s">
        <v>457</v>
      </c>
      <c r="O322" t="s">
        <v>59</v>
      </c>
      <c r="P322" s="4" t="s">
        <v>3573</v>
      </c>
      <c r="Q322" t="s">
        <v>3573</v>
      </c>
      <c r="R322" t="s">
        <v>138</v>
      </c>
    </row>
    <row r="323" spans="1:18">
      <c r="A323" t="s">
        <v>836</v>
      </c>
      <c r="B323" t="s">
        <v>840</v>
      </c>
      <c r="C323" t="s">
        <v>2572</v>
      </c>
      <c r="D323" t="s">
        <v>3552</v>
      </c>
      <c r="E323">
        <v>62</v>
      </c>
      <c r="F323" s="4" t="s">
        <v>3559</v>
      </c>
      <c r="G323" s="4">
        <v>0</v>
      </c>
      <c r="H323">
        <v>0</v>
      </c>
      <c r="I323">
        <v>113807</v>
      </c>
      <c r="J323" s="6">
        <v>26.55</v>
      </c>
      <c r="K323" s="4" t="str">
        <f t="shared" ref="K323:K386" si="5">IF(J323&lt;=10,"Low",IF(J323&lt;=50,"Mid","High"))</f>
        <v>Mid</v>
      </c>
      <c r="L323" t="s">
        <v>3561</v>
      </c>
      <c r="M323" s="4" t="s">
        <v>3561</v>
      </c>
      <c r="N323" t="s">
        <v>457</v>
      </c>
      <c r="O323" t="s">
        <v>3569</v>
      </c>
      <c r="P323" s="4" t="s">
        <v>3573</v>
      </c>
      <c r="Q323" t="s">
        <v>3573</v>
      </c>
      <c r="R323" t="s">
        <v>395</v>
      </c>
    </row>
    <row r="324" spans="1:18">
      <c r="A324" t="s">
        <v>836</v>
      </c>
      <c r="B324" t="s">
        <v>9</v>
      </c>
      <c r="C324" t="s">
        <v>2573</v>
      </c>
      <c r="D324" t="s">
        <v>3551</v>
      </c>
      <c r="E324">
        <v>36</v>
      </c>
      <c r="F324" s="4" t="s">
        <v>3557</v>
      </c>
      <c r="G324" s="4">
        <v>0</v>
      </c>
      <c r="H324">
        <v>0</v>
      </c>
      <c r="I324" t="s">
        <v>87</v>
      </c>
      <c r="J324" s="6">
        <v>135.63329999999999</v>
      </c>
      <c r="K324" s="4" t="str">
        <f t="shared" si="5"/>
        <v>High</v>
      </c>
      <c r="L324" t="s">
        <v>385</v>
      </c>
      <c r="M324" s="4" t="s">
        <v>62</v>
      </c>
      <c r="N324" t="s">
        <v>3566</v>
      </c>
      <c r="O324">
        <v>8</v>
      </c>
      <c r="P324" s="4" t="s">
        <v>3573</v>
      </c>
      <c r="Q324" t="s">
        <v>3573</v>
      </c>
      <c r="R324" t="s">
        <v>396</v>
      </c>
    </row>
    <row r="325" spans="1:18">
      <c r="A325" t="s">
        <v>837</v>
      </c>
      <c r="B325" t="s">
        <v>840</v>
      </c>
      <c r="C325" t="s">
        <v>2574</v>
      </c>
      <c r="D325" t="s">
        <v>3552</v>
      </c>
      <c r="E325">
        <v>30</v>
      </c>
      <c r="F325" s="4" t="s">
        <v>3557</v>
      </c>
      <c r="G325" s="4">
        <v>0</v>
      </c>
      <c r="H325">
        <v>1</v>
      </c>
      <c r="I325" t="s">
        <v>397</v>
      </c>
      <c r="J325" s="6">
        <v>24</v>
      </c>
      <c r="K325" s="4" t="str">
        <f t="shared" si="5"/>
        <v>Mid</v>
      </c>
      <c r="L325" t="s">
        <v>3561</v>
      </c>
      <c r="M325" s="4" t="s">
        <v>3561</v>
      </c>
      <c r="N325" t="s">
        <v>3566</v>
      </c>
      <c r="O325" t="s">
        <v>3569</v>
      </c>
      <c r="P325" s="4" t="s">
        <v>3573</v>
      </c>
      <c r="Q325" t="s">
        <v>3573</v>
      </c>
      <c r="R325" t="s">
        <v>398</v>
      </c>
    </row>
    <row r="326" spans="1:18">
      <c r="A326" t="s">
        <v>837</v>
      </c>
      <c r="B326" t="s">
        <v>9</v>
      </c>
      <c r="C326" t="s">
        <v>2575</v>
      </c>
      <c r="D326" t="s">
        <v>3551</v>
      </c>
      <c r="E326">
        <v>28</v>
      </c>
      <c r="F326" s="4" t="s">
        <v>3555</v>
      </c>
      <c r="G326" s="4">
        <v>0</v>
      </c>
      <c r="H326">
        <v>1</v>
      </c>
      <c r="I326" t="s">
        <v>397</v>
      </c>
      <c r="J326" s="6">
        <v>24</v>
      </c>
      <c r="K326" s="4" t="str">
        <f t="shared" si="5"/>
        <v>Mid</v>
      </c>
      <c r="L326" t="s">
        <v>3561</v>
      </c>
      <c r="M326" s="4" t="s">
        <v>3561</v>
      </c>
      <c r="N326" t="s">
        <v>3566</v>
      </c>
      <c r="O326">
        <v>10</v>
      </c>
      <c r="P326" s="4" t="s">
        <v>3573</v>
      </c>
      <c r="Q326" t="s">
        <v>3573</v>
      </c>
      <c r="R326" t="s">
        <v>398</v>
      </c>
    </row>
    <row r="327" spans="1:18">
      <c r="A327" t="s">
        <v>837</v>
      </c>
      <c r="B327" t="s">
        <v>840</v>
      </c>
      <c r="C327" t="s">
        <v>2576</v>
      </c>
      <c r="D327" t="s">
        <v>3552</v>
      </c>
      <c r="E327">
        <v>30</v>
      </c>
      <c r="F327" s="4" t="s">
        <v>3557</v>
      </c>
      <c r="G327" s="4">
        <v>0</v>
      </c>
      <c r="H327">
        <v>0</v>
      </c>
      <c r="I327">
        <v>248744</v>
      </c>
      <c r="J327" s="6">
        <v>13</v>
      </c>
      <c r="K327" s="4" t="str">
        <f t="shared" si="5"/>
        <v>Mid</v>
      </c>
      <c r="L327" t="s">
        <v>3561</v>
      </c>
      <c r="M327" s="4" t="s">
        <v>3561</v>
      </c>
      <c r="N327" t="s">
        <v>457</v>
      </c>
      <c r="O327" t="s">
        <v>3569</v>
      </c>
      <c r="P327" s="4" t="s">
        <v>3573</v>
      </c>
      <c r="Q327" t="s">
        <v>3573</v>
      </c>
      <c r="R327" t="s">
        <v>399</v>
      </c>
    </row>
    <row r="328" spans="1:18">
      <c r="A328" t="s">
        <v>837</v>
      </c>
      <c r="B328" t="s">
        <v>840</v>
      </c>
      <c r="C328" t="s">
        <v>2577</v>
      </c>
      <c r="D328" t="s">
        <v>3552</v>
      </c>
      <c r="E328">
        <v>18</v>
      </c>
      <c r="F328" s="4" t="s">
        <v>3555</v>
      </c>
      <c r="G328" s="4">
        <v>0</v>
      </c>
      <c r="H328">
        <v>0</v>
      </c>
      <c r="I328">
        <v>231945</v>
      </c>
      <c r="J328" s="6">
        <v>11.5</v>
      </c>
      <c r="K328" s="4" t="str">
        <f t="shared" si="5"/>
        <v>Mid</v>
      </c>
      <c r="L328" t="s">
        <v>3561</v>
      </c>
      <c r="M328" s="4" t="s">
        <v>3561</v>
      </c>
      <c r="N328" t="s">
        <v>457</v>
      </c>
      <c r="O328" t="s">
        <v>3569</v>
      </c>
      <c r="P328" s="4" t="s">
        <v>3573</v>
      </c>
      <c r="Q328" t="s">
        <v>3573</v>
      </c>
      <c r="R328" t="s">
        <v>400</v>
      </c>
    </row>
    <row r="329" spans="1:18">
      <c r="A329" t="s">
        <v>837</v>
      </c>
      <c r="B329" t="s">
        <v>840</v>
      </c>
      <c r="C329" t="s">
        <v>2578</v>
      </c>
      <c r="D329" t="s">
        <v>3552</v>
      </c>
      <c r="E329">
        <v>25</v>
      </c>
      <c r="F329" s="4" t="s">
        <v>3555</v>
      </c>
      <c r="G329" s="4">
        <v>0</v>
      </c>
      <c r="H329">
        <v>0</v>
      </c>
      <c r="I329" t="s">
        <v>401</v>
      </c>
      <c r="J329" s="6">
        <v>10.5</v>
      </c>
      <c r="K329" s="4" t="str">
        <f t="shared" si="5"/>
        <v>Mid</v>
      </c>
      <c r="L329" t="s">
        <v>3561</v>
      </c>
      <c r="M329" s="4" t="s">
        <v>3561</v>
      </c>
      <c r="N329" t="s">
        <v>457</v>
      </c>
      <c r="O329" t="s">
        <v>3569</v>
      </c>
      <c r="P329" s="4" t="s">
        <v>3573</v>
      </c>
      <c r="Q329" t="s">
        <v>3573</v>
      </c>
      <c r="R329" t="s">
        <v>402</v>
      </c>
    </row>
    <row r="330" spans="1:18">
      <c r="A330" t="s">
        <v>837</v>
      </c>
      <c r="B330" t="s">
        <v>840</v>
      </c>
      <c r="C330" t="s">
        <v>2579</v>
      </c>
      <c r="D330" t="s">
        <v>3552</v>
      </c>
      <c r="E330">
        <v>34</v>
      </c>
      <c r="F330" s="4" t="s">
        <v>3557</v>
      </c>
      <c r="G330" s="4">
        <v>0</v>
      </c>
      <c r="H330">
        <v>1</v>
      </c>
      <c r="I330">
        <v>226875</v>
      </c>
      <c r="J330" s="6">
        <v>26</v>
      </c>
      <c r="K330" s="4" t="str">
        <f t="shared" si="5"/>
        <v>Mid</v>
      </c>
      <c r="L330" t="s">
        <v>3561</v>
      </c>
      <c r="M330" s="4" t="s">
        <v>3561</v>
      </c>
      <c r="N330" t="s">
        <v>457</v>
      </c>
      <c r="O330" t="s">
        <v>3569</v>
      </c>
      <c r="P330" s="4" t="s">
        <v>3573</v>
      </c>
      <c r="Q330" t="s">
        <v>3573</v>
      </c>
      <c r="R330" t="s">
        <v>403</v>
      </c>
    </row>
    <row r="331" spans="1:18">
      <c r="A331" t="s">
        <v>837</v>
      </c>
      <c r="B331" t="s">
        <v>9</v>
      </c>
      <c r="C331" t="s">
        <v>2580</v>
      </c>
      <c r="D331" t="s">
        <v>3551</v>
      </c>
      <c r="E331">
        <v>36</v>
      </c>
      <c r="F331" s="4" t="s">
        <v>3557</v>
      </c>
      <c r="G331" s="4">
        <v>0</v>
      </c>
      <c r="H331">
        <v>1</v>
      </c>
      <c r="I331">
        <v>226875</v>
      </c>
      <c r="J331" s="6">
        <v>26</v>
      </c>
      <c r="K331" s="4" t="str">
        <f t="shared" si="5"/>
        <v>Mid</v>
      </c>
      <c r="L331" t="s">
        <v>3561</v>
      </c>
      <c r="M331" s="4" t="s">
        <v>3561</v>
      </c>
      <c r="N331" t="s">
        <v>457</v>
      </c>
      <c r="O331">
        <v>11</v>
      </c>
      <c r="P331" s="4" t="s">
        <v>3573</v>
      </c>
      <c r="Q331" t="s">
        <v>3573</v>
      </c>
      <c r="R331" t="s">
        <v>403</v>
      </c>
    </row>
    <row r="332" spans="1:18">
      <c r="A332" t="s">
        <v>837</v>
      </c>
      <c r="B332" t="s">
        <v>840</v>
      </c>
      <c r="C332" t="s">
        <v>2581</v>
      </c>
      <c r="D332" t="s">
        <v>3552</v>
      </c>
      <c r="E332">
        <v>57</v>
      </c>
      <c r="F332" s="4" t="s">
        <v>3557</v>
      </c>
      <c r="G332" s="4">
        <v>0</v>
      </c>
      <c r="H332">
        <v>0</v>
      </c>
      <c r="I332">
        <v>244346</v>
      </c>
      <c r="J332" s="6">
        <v>13</v>
      </c>
      <c r="K332" s="4" t="str">
        <f t="shared" si="5"/>
        <v>Mid</v>
      </c>
      <c r="L332" t="s">
        <v>3561</v>
      </c>
      <c r="M332" s="4" t="s">
        <v>3561</v>
      </c>
      <c r="N332" t="s">
        <v>457</v>
      </c>
      <c r="O332" t="s">
        <v>3569</v>
      </c>
      <c r="P332" s="4" t="s">
        <v>3573</v>
      </c>
      <c r="Q332" t="s">
        <v>3573</v>
      </c>
      <c r="R332" t="s">
        <v>404</v>
      </c>
    </row>
    <row r="333" spans="1:18">
      <c r="A333" t="s">
        <v>837</v>
      </c>
      <c r="B333" t="s">
        <v>840</v>
      </c>
      <c r="C333" t="s">
        <v>2582</v>
      </c>
      <c r="D333" t="s">
        <v>3552</v>
      </c>
      <c r="E333">
        <v>18</v>
      </c>
      <c r="F333" s="4" t="s">
        <v>3555</v>
      </c>
      <c r="G333" s="4">
        <v>0</v>
      </c>
      <c r="H333">
        <v>0</v>
      </c>
      <c r="I333">
        <v>29108</v>
      </c>
      <c r="J333" s="6">
        <v>11.5</v>
      </c>
      <c r="K333" s="4" t="str">
        <f t="shared" si="5"/>
        <v>Mid</v>
      </c>
      <c r="L333" t="s">
        <v>3561</v>
      </c>
      <c r="M333" s="4" t="s">
        <v>3561</v>
      </c>
      <c r="N333" t="s">
        <v>457</v>
      </c>
      <c r="O333" t="s">
        <v>3569</v>
      </c>
      <c r="P333" s="4" t="s">
        <v>3573</v>
      </c>
      <c r="Q333" t="s">
        <v>3573</v>
      </c>
      <c r="R333" t="s">
        <v>405</v>
      </c>
    </row>
    <row r="334" spans="1:18">
      <c r="A334" t="s">
        <v>837</v>
      </c>
      <c r="B334" t="s">
        <v>840</v>
      </c>
      <c r="C334" t="s">
        <v>2583</v>
      </c>
      <c r="D334" t="s">
        <v>3552</v>
      </c>
      <c r="E334">
        <v>23</v>
      </c>
      <c r="F334" s="4" t="s">
        <v>3555</v>
      </c>
      <c r="G334" s="4">
        <v>0</v>
      </c>
      <c r="H334">
        <v>0</v>
      </c>
      <c r="I334" t="s">
        <v>406</v>
      </c>
      <c r="J334" s="6">
        <v>10.5</v>
      </c>
      <c r="K334" s="4" t="str">
        <f t="shared" si="5"/>
        <v>Mid</v>
      </c>
      <c r="L334" t="s">
        <v>3561</v>
      </c>
      <c r="M334" s="4" t="s">
        <v>3561</v>
      </c>
      <c r="N334" t="s">
        <v>457</v>
      </c>
      <c r="O334" t="s">
        <v>3569</v>
      </c>
      <c r="P334" s="4" t="s">
        <v>3573</v>
      </c>
      <c r="Q334" t="s">
        <v>3573</v>
      </c>
      <c r="R334" t="s">
        <v>407</v>
      </c>
    </row>
    <row r="335" spans="1:18">
      <c r="A335" t="s">
        <v>837</v>
      </c>
      <c r="B335" t="s">
        <v>9</v>
      </c>
      <c r="C335" t="s">
        <v>2584</v>
      </c>
      <c r="D335" t="s">
        <v>3551</v>
      </c>
      <c r="E335">
        <v>36</v>
      </c>
      <c r="F335" s="4" t="s">
        <v>3557</v>
      </c>
      <c r="G335" s="4">
        <v>0</v>
      </c>
      <c r="H335">
        <v>0</v>
      </c>
      <c r="I335">
        <v>28551</v>
      </c>
      <c r="J335" s="6">
        <v>13</v>
      </c>
      <c r="K335" s="4" t="str">
        <f t="shared" si="5"/>
        <v>Mid</v>
      </c>
      <c r="L335" t="s">
        <v>59</v>
      </c>
      <c r="M335" s="4" t="s">
        <v>59</v>
      </c>
      <c r="N335" t="s">
        <v>457</v>
      </c>
      <c r="O335">
        <v>10</v>
      </c>
      <c r="P335" s="4" t="s">
        <v>3573</v>
      </c>
      <c r="Q335" t="s">
        <v>3573</v>
      </c>
      <c r="R335" t="s">
        <v>408</v>
      </c>
    </row>
    <row r="336" spans="1:18">
      <c r="A336" t="s">
        <v>837</v>
      </c>
      <c r="B336" t="s">
        <v>840</v>
      </c>
      <c r="C336" t="s">
        <v>2585</v>
      </c>
      <c r="D336" t="s">
        <v>3552</v>
      </c>
      <c r="E336">
        <v>28</v>
      </c>
      <c r="F336" s="4" t="s">
        <v>3555</v>
      </c>
      <c r="G336" s="4">
        <v>0</v>
      </c>
      <c r="H336">
        <v>0</v>
      </c>
      <c r="I336" t="s">
        <v>409</v>
      </c>
      <c r="J336" s="6">
        <v>10.5</v>
      </c>
      <c r="K336" s="4" t="str">
        <f t="shared" si="5"/>
        <v>Mid</v>
      </c>
      <c r="L336" t="s">
        <v>3561</v>
      </c>
      <c r="M336" s="4" t="s">
        <v>3561</v>
      </c>
      <c r="N336" t="s">
        <v>457</v>
      </c>
      <c r="O336" t="s">
        <v>3569</v>
      </c>
      <c r="P336" s="4" t="s">
        <v>3573</v>
      </c>
      <c r="Q336" t="s">
        <v>3573</v>
      </c>
      <c r="R336" t="s">
        <v>410</v>
      </c>
    </row>
    <row r="337" spans="1:18">
      <c r="A337" t="s">
        <v>837</v>
      </c>
      <c r="B337" t="s">
        <v>840</v>
      </c>
      <c r="C337" t="s">
        <v>2586</v>
      </c>
      <c r="D337" t="s">
        <v>3552</v>
      </c>
      <c r="E337">
        <v>51</v>
      </c>
      <c r="F337" s="4" t="s">
        <v>3557</v>
      </c>
      <c r="G337" s="4">
        <v>0</v>
      </c>
      <c r="H337">
        <v>0</v>
      </c>
      <c r="I337" t="s">
        <v>411</v>
      </c>
      <c r="J337" s="6">
        <v>12.525</v>
      </c>
      <c r="K337" s="4" t="str">
        <f t="shared" si="5"/>
        <v>Mid</v>
      </c>
      <c r="L337" t="s">
        <v>3561</v>
      </c>
      <c r="M337" s="4" t="s">
        <v>3561</v>
      </c>
      <c r="N337" t="s">
        <v>457</v>
      </c>
      <c r="O337" t="s">
        <v>3569</v>
      </c>
      <c r="P337" s="4">
        <v>174</v>
      </c>
      <c r="Q337" t="s">
        <v>3574</v>
      </c>
      <c r="R337" t="s">
        <v>412</v>
      </c>
    </row>
    <row r="338" spans="1:18">
      <c r="A338" t="s">
        <v>837</v>
      </c>
      <c r="B338" t="s">
        <v>9</v>
      </c>
      <c r="C338" t="s">
        <v>2587</v>
      </c>
      <c r="D338" t="s">
        <v>3552</v>
      </c>
      <c r="E338">
        <v>32</v>
      </c>
      <c r="F338" s="4" t="s">
        <v>3557</v>
      </c>
      <c r="G338" s="4">
        <v>0</v>
      </c>
      <c r="H338">
        <v>1</v>
      </c>
      <c r="I338">
        <v>2908</v>
      </c>
      <c r="J338" s="6">
        <v>26</v>
      </c>
      <c r="K338" s="4" t="str">
        <f t="shared" si="5"/>
        <v>Mid</v>
      </c>
      <c r="L338" t="s">
        <v>3561</v>
      </c>
      <c r="M338" s="4" t="s">
        <v>3561</v>
      </c>
      <c r="N338" t="s">
        <v>457</v>
      </c>
      <c r="O338">
        <v>13</v>
      </c>
      <c r="P338" s="4" t="s">
        <v>3573</v>
      </c>
      <c r="Q338" t="s">
        <v>3573</v>
      </c>
      <c r="R338" t="s">
        <v>413</v>
      </c>
    </row>
    <row r="339" spans="1:18">
      <c r="A339" t="s">
        <v>837</v>
      </c>
      <c r="B339" t="s">
        <v>9</v>
      </c>
      <c r="C339" t="s">
        <v>2588</v>
      </c>
      <c r="D339" t="s">
        <v>3551</v>
      </c>
      <c r="E339">
        <v>19</v>
      </c>
      <c r="F339" s="4" t="s">
        <v>3555</v>
      </c>
      <c r="G339" s="4">
        <v>0</v>
      </c>
      <c r="H339">
        <v>1</v>
      </c>
      <c r="I339">
        <v>2908</v>
      </c>
      <c r="J339" s="6">
        <v>26</v>
      </c>
      <c r="K339" s="4" t="str">
        <f t="shared" si="5"/>
        <v>Mid</v>
      </c>
      <c r="L339" t="s">
        <v>3561</v>
      </c>
      <c r="M339" s="4" t="s">
        <v>3561</v>
      </c>
      <c r="N339" t="s">
        <v>457</v>
      </c>
      <c r="O339">
        <v>13</v>
      </c>
      <c r="P339" s="4" t="s">
        <v>3573</v>
      </c>
      <c r="Q339" t="s">
        <v>3573</v>
      </c>
      <c r="R339" t="s">
        <v>413</v>
      </c>
    </row>
    <row r="340" spans="1:18">
      <c r="A340" t="s">
        <v>837</v>
      </c>
      <c r="B340" t="s">
        <v>840</v>
      </c>
      <c r="C340" t="s">
        <v>2589</v>
      </c>
      <c r="D340" t="s">
        <v>3552</v>
      </c>
      <c r="E340">
        <v>28</v>
      </c>
      <c r="F340" s="4" t="s">
        <v>3555</v>
      </c>
      <c r="G340" s="4">
        <v>0</v>
      </c>
      <c r="H340">
        <v>0</v>
      </c>
      <c r="I340">
        <v>244358</v>
      </c>
      <c r="J340" s="6">
        <v>26</v>
      </c>
      <c r="K340" s="4" t="str">
        <f t="shared" si="5"/>
        <v>Mid</v>
      </c>
      <c r="L340" t="s">
        <v>3561</v>
      </c>
      <c r="M340" s="4" t="s">
        <v>3561</v>
      </c>
      <c r="N340" t="s">
        <v>457</v>
      </c>
      <c r="O340" t="s">
        <v>3569</v>
      </c>
      <c r="P340" s="4" t="s">
        <v>3573</v>
      </c>
      <c r="Q340" t="s">
        <v>3573</v>
      </c>
      <c r="R340" t="s">
        <v>414</v>
      </c>
    </row>
    <row r="341" spans="1:18">
      <c r="A341" t="s">
        <v>837</v>
      </c>
      <c r="B341" t="s">
        <v>9</v>
      </c>
      <c r="C341" t="s">
        <v>2590</v>
      </c>
      <c r="D341" t="s">
        <v>3552</v>
      </c>
      <c r="E341">
        <v>1</v>
      </c>
      <c r="F341" s="4" t="s">
        <v>3556</v>
      </c>
      <c r="G341" s="4">
        <v>1</v>
      </c>
      <c r="H341">
        <v>2</v>
      </c>
      <c r="I341">
        <v>230136</v>
      </c>
      <c r="J341" s="6">
        <v>39</v>
      </c>
      <c r="K341" s="4" t="str">
        <f t="shared" si="5"/>
        <v>Mid</v>
      </c>
      <c r="L341" t="s">
        <v>415</v>
      </c>
      <c r="M341" s="4" t="s">
        <v>586</v>
      </c>
      <c r="N341" t="s">
        <v>457</v>
      </c>
      <c r="O341">
        <v>11</v>
      </c>
      <c r="P341" s="4" t="s">
        <v>3573</v>
      </c>
      <c r="Q341" t="s">
        <v>3573</v>
      </c>
      <c r="R341" t="s">
        <v>416</v>
      </c>
    </row>
    <row r="342" spans="1:18">
      <c r="A342" t="s">
        <v>837</v>
      </c>
      <c r="B342" t="s">
        <v>9</v>
      </c>
      <c r="C342" t="s">
        <v>2591</v>
      </c>
      <c r="D342" t="s">
        <v>3551</v>
      </c>
      <c r="E342">
        <v>4</v>
      </c>
      <c r="F342" s="4" t="s">
        <v>3556</v>
      </c>
      <c r="G342" s="4">
        <v>1</v>
      </c>
      <c r="H342">
        <v>2</v>
      </c>
      <c r="I342">
        <v>230136</v>
      </c>
      <c r="J342" s="6">
        <v>39</v>
      </c>
      <c r="K342" s="4" t="str">
        <f t="shared" si="5"/>
        <v>Mid</v>
      </c>
      <c r="L342" t="s">
        <v>415</v>
      </c>
      <c r="M342" s="4" t="s">
        <v>586</v>
      </c>
      <c r="N342" t="s">
        <v>457</v>
      </c>
      <c r="O342">
        <v>11</v>
      </c>
      <c r="P342" s="4" t="s">
        <v>3573</v>
      </c>
      <c r="Q342" t="s">
        <v>3573</v>
      </c>
      <c r="R342" t="s">
        <v>416</v>
      </c>
    </row>
    <row r="343" spans="1:18">
      <c r="A343" t="s">
        <v>837</v>
      </c>
      <c r="B343" t="s">
        <v>9</v>
      </c>
      <c r="C343" t="s">
        <v>2592</v>
      </c>
      <c r="D343" t="s">
        <v>3551</v>
      </c>
      <c r="E343">
        <v>12</v>
      </c>
      <c r="F343" s="4" t="s">
        <v>3560</v>
      </c>
      <c r="G343" s="4">
        <v>1</v>
      </c>
      <c r="H343">
        <v>2</v>
      </c>
      <c r="I343">
        <v>230136</v>
      </c>
      <c r="J343" s="6">
        <v>39</v>
      </c>
      <c r="K343" s="4" t="str">
        <f t="shared" si="5"/>
        <v>Mid</v>
      </c>
      <c r="L343" t="s">
        <v>415</v>
      </c>
      <c r="M343" s="4" t="s">
        <v>586</v>
      </c>
      <c r="N343" t="s">
        <v>457</v>
      </c>
      <c r="O343">
        <v>13</v>
      </c>
      <c r="P343" s="4" t="s">
        <v>3573</v>
      </c>
      <c r="Q343" t="s">
        <v>3573</v>
      </c>
      <c r="R343" t="s">
        <v>416</v>
      </c>
    </row>
    <row r="344" spans="1:18">
      <c r="A344" t="s">
        <v>837</v>
      </c>
      <c r="B344" t="s">
        <v>9</v>
      </c>
      <c r="C344" t="s">
        <v>2593</v>
      </c>
      <c r="D344" t="s">
        <v>3551</v>
      </c>
      <c r="E344">
        <v>36</v>
      </c>
      <c r="F344" s="4" t="s">
        <v>3557</v>
      </c>
      <c r="G344" s="4">
        <v>3</v>
      </c>
      <c r="H344">
        <v>0</v>
      </c>
      <c r="I344">
        <v>230136</v>
      </c>
      <c r="J344" s="6">
        <v>39</v>
      </c>
      <c r="K344" s="4" t="str">
        <f t="shared" si="5"/>
        <v>Mid</v>
      </c>
      <c r="L344" t="s">
        <v>415</v>
      </c>
      <c r="M344" s="4" t="s">
        <v>586</v>
      </c>
      <c r="N344" t="s">
        <v>457</v>
      </c>
      <c r="O344">
        <v>11</v>
      </c>
      <c r="P344" s="4" t="s">
        <v>3573</v>
      </c>
      <c r="Q344" t="s">
        <v>3573</v>
      </c>
      <c r="R344" t="s">
        <v>416</v>
      </c>
    </row>
    <row r="345" spans="1:18">
      <c r="A345" t="s">
        <v>837</v>
      </c>
      <c r="B345" t="s">
        <v>9</v>
      </c>
      <c r="C345" t="s">
        <v>2594</v>
      </c>
      <c r="D345" t="s">
        <v>3552</v>
      </c>
      <c r="E345">
        <v>34</v>
      </c>
      <c r="F345" s="4" t="s">
        <v>3557</v>
      </c>
      <c r="G345" s="4">
        <v>0</v>
      </c>
      <c r="H345">
        <v>0</v>
      </c>
      <c r="I345">
        <v>248698</v>
      </c>
      <c r="J345" s="6">
        <v>13</v>
      </c>
      <c r="K345" s="4" t="str">
        <f t="shared" si="5"/>
        <v>Mid</v>
      </c>
      <c r="L345" t="s">
        <v>417</v>
      </c>
      <c r="M345" s="4" t="s">
        <v>59</v>
      </c>
      <c r="N345" t="s">
        <v>457</v>
      </c>
      <c r="O345">
        <v>13</v>
      </c>
      <c r="P345" s="4" t="s">
        <v>3573</v>
      </c>
      <c r="Q345" t="s">
        <v>3573</v>
      </c>
      <c r="R345" t="s">
        <v>249</v>
      </c>
    </row>
    <row r="346" spans="1:18">
      <c r="A346" t="s">
        <v>837</v>
      </c>
      <c r="B346" t="s">
        <v>9</v>
      </c>
      <c r="C346" t="s">
        <v>2595</v>
      </c>
      <c r="D346" t="s">
        <v>3551</v>
      </c>
      <c r="E346">
        <v>19</v>
      </c>
      <c r="F346" s="4" t="s">
        <v>3555</v>
      </c>
      <c r="G346" s="4">
        <v>0</v>
      </c>
      <c r="H346">
        <v>0</v>
      </c>
      <c r="I346">
        <v>28404</v>
      </c>
      <c r="J346" s="6">
        <v>13</v>
      </c>
      <c r="K346" s="4" t="str">
        <f t="shared" si="5"/>
        <v>Mid</v>
      </c>
      <c r="L346" t="s">
        <v>3561</v>
      </c>
      <c r="M346" s="4" t="s">
        <v>3561</v>
      </c>
      <c r="N346" t="s">
        <v>457</v>
      </c>
      <c r="O346">
        <v>12</v>
      </c>
      <c r="P346" s="4" t="s">
        <v>3573</v>
      </c>
      <c r="Q346" t="s">
        <v>3573</v>
      </c>
      <c r="R346" t="s">
        <v>418</v>
      </c>
    </row>
    <row r="347" spans="1:18">
      <c r="A347" t="s">
        <v>837</v>
      </c>
      <c r="B347" t="s">
        <v>840</v>
      </c>
      <c r="C347" t="s">
        <v>2596</v>
      </c>
      <c r="D347" t="s">
        <v>3552</v>
      </c>
      <c r="E347">
        <v>23</v>
      </c>
      <c r="F347" s="4" t="s">
        <v>3555</v>
      </c>
      <c r="G347" s="4">
        <v>0</v>
      </c>
      <c r="H347">
        <v>0</v>
      </c>
      <c r="I347">
        <v>28425</v>
      </c>
      <c r="J347" s="6">
        <v>13</v>
      </c>
      <c r="K347" s="4" t="str">
        <f t="shared" si="5"/>
        <v>Mid</v>
      </c>
      <c r="L347" t="s">
        <v>3561</v>
      </c>
      <c r="M347" s="4" t="s">
        <v>3561</v>
      </c>
      <c r="N347" t="s">
        <v>457</v>
      </c>
      <c r="O347" t="s">
        <v>3569</v>
      </c>
      <c r="P347" s="4" t="s">
        <v>3573</v>
      </c>
      <c r="Q347" t="s">
        <v>3573</v>
      </c>
      <c r="R347" t="s">
        <v>419</v>
      </c>
    </row>
    <row r="348" spans="1:18">
      <c r="A348" t="s">
        <v>837</v>
      </c>
      <c r="B348" t="s">
        <v>840</v>
      </c>
      <c r="C348" t="s">
        <v>2597</v>
      </c>
      <c r="D348" t="s">
        <v>3552</v>
      </c>
      <c r="E348">
        <v>26</v>
      </c>
      <c r="F348" s="4" t="s">
        <v>3555</v>
      </c>
      <c r="G348" s="4">
        <v>0</v>
      </c>
      <c r="H348">
        <v>0</v>
      </c>
      <c r="I348">
        <v>237670</v>
      </c>
      <c r="J348" s="6">
        <v>13</v>
      </c>
      <c r="K348" s="4" t="str">
        <f t="shared" si="5"/>
        <v>Mid</v>
      </c>
      <c r="L348" t="s">
        <v>3561</v>
      </c>
      <c r="M348" s="4" t="s">
        <v>3561</v>
      </c>
      <c r="N348" t="s">
        <v>457</v>
      </c>
      <c r="O348" t="s">
        <v>3569</v>
      </c>
      <c r="P348" s="4" t="s">
        <v>3573</v>
      </c>
      <c r="Q348" t="s">
        <v>3573</v>
      </c>
      <c r="R348" t="s">
        <v>420</v>
      </c>
    </row>
    <row r="349" spans="1:18">
      <c r="A349" t="s">
        <v>837</v>
      </c>
      <c r="B349" t="s">
        <v>840</v>
      </c>
      <c r="C349" t="s">
        <v>2598</v>
      </c>
      <c r="D349" t="s">
        <v>3552</v>
      </c>
      <c r="E349">
        <v>42</v>
      </c>
      <c r="F349" s="4" t="s">
        <v>3557</v>
      </c>
      <c r="G349" s="4">
        <v>0</v>
      </c>
      <c r="H349">
        <v>0</v>
      </c>
      <c r="I349">
        <v>211535</v>
      </c>
      <c r="J349" s="6">
        <v>13</v>
      </c>
      <c r="K349" s="4" t="str">
        <f t="shared" si="5"/>
        <v>Mid</v>
      </c>
      <c r="L349" t="s">
        <v>3561</v>
      </c>
      <c r="M349" s="4" t="s">
        <v>3561</v>
      </c>
      <c r="N349" t="s">
        <v>457</v>
      </c>
      <c r="O349" t="s">
        <v>3569</v>
      </c>
      <c r="P349" s="4" t="s">
        <v>3573</v>
      </c>
      <c r="Q349" t="s">
        <v>3573</v>
      </c>
      <c r="R349" t="s">
        <v>249</v>
      </c>
    </row>
    <row r="350" spans="1:18">
      <c r="A350" t="s">
        <v>837</v>
      </c>
      <c r="B350" t="s">
        <v>840</v>
      </c>
      <c r="C350" t="s">
        <v>2599</v>
      </c>
      <c r="D350" t="s">
        <v>3552</v>
      </c>
      <c r="E350">
        <v>27</v>
      </c>
      <c r="F350" s="4" t="s">
        <v>3555</v>
      </c>
      <c r="G350" s="4">
        <v>0</v>
      </c>
      <c r="H350">
        <v>0</v>
      </c>
      <c r="I350">
        <v>220367</v>
      </c>
      <c r="J350" s="6">
        <v>13</v>
      </c>
      <c r="K350" s="4" t="str">
        <f t="shared" si="5"/>
        <v>Mid</v>
      </c>
      <c r="L350" t="s">
        <v>3561</v>
      </c>
      <c r="M350" s="4" t="s">
        <v>3561</v>
      </c>
      <c r="N350" t="s">
        <v>457</v>
      </c>
      <c r="O350" t="s">
        <v>3569</v>
      </c>
      <c r="P350" s="4" t="s">
        <v>3573</v>
      </c>
      <c r="Q350" t="s">
        <v>3573</v>
      </c>
      <c r="R350" t="s">
        <v>421</v>
      </c>
    </row>
    <row r="351" spans="1:18">
      <c r="A351" t="s">
        <v>837</v>
      </c>
      <c r="B351" t="s">
        <v>9</v>
      </c>
      <c r="C351" t="s">
        <v>2600</v>
      </c>
      <c r="D351" t="s">
        <v>3551</v>
      </c>
      <c r="E351">
        <v>24</v>
      </c>
      <c r="F351" s="4" t="s">
        <v>3555</v>
      </c>
      <c r="G351" s="4">
        <v>0</v>
      </c>
      <c r="H351">
        <v>0</v>
      </c>
      <c r="I351">
        <v>248733</v>
      </c>
      <c r="J351" s="6">
        <v>13</v>
      </c>
      <c r="K351" s="4" t="str">
        <f t="shared" si="5"/>
        <v>Mid</v>
      </c>
      <c r="L351" t="s">
        <v>422</v>
      </c>
      <c r="M351" s="4" t="s">
        <v>586</v>
      </c>
      <c r="N351" t="s">
        <v>457</v>
      </c>
      <c r="O351">
        <v>11</v>
      </c>
      <c r="P351" s="4" t="s">
        <v>3573</v>
      </c>
      <c r="Q351" t="s">
        <v>3573</v>
      </c>
      <c r="R351" t="s">
        <v>423</v>
      </c>
    </row>
    <row r="352" spans="1:18">
      <c r="A352" t="s">
        <v>837</v>
      </c>
      <c r="B352" t="s">
        <v>9</v>
      </c>
      <c r="C352" t="s">
        <v>2601</v>
      </c>
      <c r="D352" t="s">
        <v>3551</v>
      </c>
      <c r="E352">
        <v>15</v>
      </c>
      <c r="F352" s="4" t="s">
        <v>3560</v>
      </c>
      <c r="G352" s="4">
        <v>2</v>
      </c>
      <c r="H352">
        <v>0</v>
      </c>
      <c r="I352">
        <v>29750</v>
      </c>
      <c r="J352" s="6">
        <v>39</v>
      </c>
      <c r="K352" s="4" t="str">
        <f t="shared" si="5"/>
        <v>Mid</v>
      </c>
      <c r="L352" t="s">
        <v>3561</v>
      </c>
      <c r="M352" s="4" t="s">
        <v>3561</v>
      </c>
      <c r="N352" t="s">
        <v>457</v>
      </c>
      <c r="O352">
        <v>14</v>
      </c>
      <c r="P352" s="4" t="s">
        <v>3573</v>
      </c>
      <c r="Q352" t="s">
        <v>3573</v>
      </c>
      <c r="R352" t="s">
        <v>424</v>
      </c>
    </row>
    <row r="353" spans="1:18">
      <c r="A353" t="s">
        <v>837</v>
      </c>
      <c r="B353" t="s">
        <v>840</v>
      </c>
      <c r="C353" t="s">
        <v>2602</v>
      </c>
      <c r="D353" t="s">
        <v>3552</v>
      </c>
      <c r="E353">
        <v>60</v>
      </c>
      <c r="F353" s="4" t="s">
        <v>3559</v>
      </c>
      <c r="G353" s="4">
        <v>1</v>
      </c>
      <c r="H353">
        <v>1</v>
      </c>
      <c r="I353">
        <v>29750</v>
      </c>
      <c r="J353" s="6">
        <v>39</v>
      </c>
      <c r="K353" s="4" t="str">
        <f t="shared" si="5"/>
        <v>Mid</v>
      </c>
      <c r="L353" t="s">
        <v>3561</v>
      </c>
      <c r="M353" s="4" t="s">
        <v>3561</v>
      </c>
      <c r="N353" t="s">
        <v>457</v>
      </c>
      <c r="O353" t="s">
        <v>3569</v>
      </c>
      <c r="P353" s="4" t="s">
        <v>3573</v>
      </c>
      <c r="Q353" t="s">
        <v>3573</v>
      </c>
      <c r="R353" t="s">
        <v>424</v>
      </c>
    </row>
    <row r="354" spans="1:18">
      <c r="A354" t="s">
        <v>837</v>
      </c>
      <c r="B354" t="s">
        <v>9</v>
      </c>
      <c r="C354" t="s">
        <v>2603</v>
      </c>
      <c r="D354" t="s">
        <v>3551</v>
      </c>
      <c r="E354">
        <v>40</v>
      </c>
      <c r="F354" s="4" t="s">
        <v>3557</v>
      </c>
      <c r="G354" s="4">
        <v>1</v>
      </c>
      <c r="H354">
        <v>1</v>
      </c>
      <c r="I354">
        <v>29750</v>
      </c>
      <c r="J354" s="6">
        <v>39</v>
      </c>
      <c r="K354" s="4" t="str">
        <f t="shared" si="5"/>
        <v>Mid</v>
      </c>
      <c r="L354" t="s">
        <v>3561</v>
      </c>
      <c r="M354" s="4" t="s">
        <v>3561</v>
      </c>
      <c r="N354" t="s">
        <v>457</v>
      </c>
      <c r="O354">
        <v>14</v>
      </c>
      <c r="P354" s="4" t="s">
        <v>3573</v>
      </c>
      <c r="Q354" t="s">
        <v>3573</v>
      </c>
      <c r="R354" t="s">
        <v>424</v>
      </c>
    </row>
    <row r="355" spans="1:18">
      <c r="A355" t="s">
        <v>837</v>
      </c>
      <c r="B355" t="s">
        <v>9</v>
      </c>
      <c r="C355" t="s">
        <v>2604</v>
      </c>
      <c r="D355" t="s">
        <v>3551</v>
      </c>
      <c r="E355">
        <v>20</v>
      </c>
      <c r="F355" s="4" t="s">
        <v>3555</v>
      </c>
      <c r="G355" s="4">
        <v>0</v>
      </c>
      <c r="H355">
        <v>1</v>
      </c>
      <c r="I355">
        <v>236853</v>
      </c>
      <c r="J355" s="6">
        <v>26</v>
      </c>
      <c r="K355" s="4" t="str">
        <f t="shared" si="5"/>
        <v>Mid</v>
      </c>
      <c r="L355" t="s">
        <v>3561</v>
      </c>
      <c r="M355" s="4" t="s">
        <v>3561</v>
      </c>
      <c r="N355" t="s">
        <v>457</v>
      </c>
      <c r="O355">
        <v>12</v>
      </c>
      <c r="P355" s="4" t="s">
        <v>3573</v>
      </c>
      <c r="Q355" t="s">
        <v>3573</v>
      </c>
      <c r="R355" t="s">
        <v>425</v>
      </c>
    </row>
    <row r="356" spans="1:18">
      <c r="A356" t="s">
        <v>837</v>
      </c>
      <c r="B356" t="s">
        <v>840</v>
      </c>
      <c r="C356" t="s">
        <v>2605</v>
      </c>
      <c r="D356" t="s">
        <v>3552</v>
      </c>
      <c r="E356">
        <v>25</v>
      </c>
      <c r="F356" s="4" t="s">
        <v>3555</v>
      </c>
      <c r="G356" s="4">
        <v>0</v>
      </c>
      <c r="H356">
        <v>1</v>
      </c>
      <c r="I356">
        <v>236853</v>
      </c>
      <c r="J356" s="6">
        <v>26</v>
      </c>
      <c r="K356" s="4" t="str">
        <f t="shared" si="5"/>
        <v>Mid</v>
      </c>
      <c r="L356" t="s">
        <v>3561</v>
      </c>
      <c r="M356" s="4" t="s">
        <v>3561</v>
      </c>
      <c r="N356" t="s">
        <v>457</v>
      </c>
      <c r="O356" t="s">
        <v>3569</v>
      </c>
      <c r="P356" s="4" t="s">
        <v>3573</v>
      </c>
      <c r="Q356" t="s">
        <v>3573</v>
      </c>
      <c r="R356" t="s">
        <v>425</v>
      </c>
    </row>
    <row r="357" spans="1:18">
      <c r="A357" t="s">
        <v>837</v>
      </c>
      <c r="B357" t="s">
        <v>9</v>
      </c>
      <c r="C357" t="s">
        <v>2606</v>
      </c>
      <c r="D357" t="s">
        <v>3551</v>
      </c>
      <c r="E357">
        <v>36</v>
      </c>
      <c r="F357" s="4" t="s">
        <v>3557</v>
      </c>
      <c r="G357" s="4">
        <v>0</v>
      </c>
      <c r="H357">
        <v>0</v>
      </c>
      <c r="I357">
        <v>27849</v>
      </c>
      <c r="J357" s="6">
        <v>13</v>
      </c>
      <c r="K357" s="4" t="str">
        <f t="shared" si="5"/>
        <v>Mid</v>
      </c>
      <c r="L357" t="s">
        <v>3561</v>
      </c>
      <c r="M357" s="4" t="s">
        <v>3561</v>
      </c>
      <c r="N357" t="s">
        <v>457</v>
      </c>
      <c r="O357">
        <v>9</v>
      </c>
      <c r="P357" s="4" t="s">
        <v>3573</v>
      </c>
      <c r="Q357" t="s">
        <v>3573</v>
      </c>
      <c r="R357" t="s">
        <v>426</v>
      </c>
    </row>
    <row r="358" spans="1:18">
      <c r="A358" t="s">
        <v>837</v>
      </c>
      <c r="B358" t="s">
        <v>840</v>
      </c>
      <c r="C358" t="s">
        <v>2607</v>
      </c>
      <c r="D358" t="s">
        <v>3552</v>
      </c>
      <c r="E358">
        <v>25</v>
      </c>
      <c r="F358" s="4" t="s">
        <v>3555</v>
      </c>
      <c r="G358" s="4">
        <v>0</v>
      </c>
      <c r="H358">
        <v>0</v>
      </c>
      <c r="I358">
        <v>234686</v>
      </c>
      <c r="J358" s="6">
        <v>13</v>
      </c>
      <c r="K358" s="4" t="str">
        <f t="shared" si="5"/>
        <v>Mid</v>
      </c>
      <c r="L358" t="s">
        <v>3561</v>
      </c>
      <c r="M358" s="4" t="s">
        <v>3561</v>
      </c>
      <c r="N358" t="s">
        <v>457</v>
      </c>
      <c r="O358" t="s">
        <v>3569</v>
      </c>
      <c r="P358" s="4">
        <v>97</v>
      </c>
      <c r="Q358" t="s">
        <v>3574</v>
      </c>
      <c r="R358" t="s">
        <v>427</v>
      </c>
    </row>
    <row r="359" spans="1:18">
      <c r="A359" t="s">
        <v>837</v>
      </c>
      <c r="B359" t="s">
        <v>840</v>
      </c>
      <c r="C359" t="s">
        <v>2608</v>
      </c>
      <c r="D359" t="s">
        <v>3552</v>
      </c>
      <c r="E359">
        <v>42</v>
      </c>
      <c r="F359" s="4" t="s">
        <v>3557</v>
      </c>
      <c r="G359" s="4">
        <v>0</v>
      </c>
      <c r="H359">
        <v>0</v>
      </c>
      <c r="I359">
        <v>244310</v>
      </c>
      <c r="J359" s="6">
        <v>13</v>
      </c>
      <c r="K359" s="4" t="str">
        <f t="shared" si="5"/>
        <v>Mid</v>
      </c>
      <c r="L359" t="s">
        <v>3561</v>
      </c>
      <c r="M359" s="4" t="s">
        <v>3561</v>
      </c>
      <c r="N359" t="s">
        <v>457</v>
      </c>
      <c r="O359" t="s">
        <v>3569</v>
      </c>
      <c r="P359" s="4" t="s">
        <v>3573</v>
      </c>
      <c r="Q359" t="s">
        <v>3573</v>
      </c>
      <c r="R359" t="s">
        <v>249</v>
      </c>
    </row>
    <row r="360" spans="1:18">
      <c r="A360" t="s">
        <v>837</v>
      </c>
      <c r="B360" t="s">
        <v>9</v>
      </c>
      <c r="C360" t="s">
        <v>2609</v>
      </c>
      <c r="D360" t="s">
        <v>3551</v>
      </c>
      <c r="E360">
        <v>42</v>
      </c>
      <c r="F360" s="4" t="s">
        <v>3557</v>
      </c>
      <c r="G360" s="4">
        <v>0</v>
      </c>
      <c r="H360">
        <v>0</v>
      </c>
      <c r="I360">
        <v>236852</v>
      </c>
      <c r="J360" s="6">
        <v>13</v>
      </c>
      <c r="K360" s="4" t="str">
        <f t="shared" si="5"/>
        <v>Mid</v>
      </c>
      <c r="L360" t="s">
        <v>3561</v>
      </c>
      <c r="M360" s="4" t="s">
        <v>3561</v>
      </c>
      <c r="N360" t="s">
        <v>457</v>
      </c>
      <c r="O360" t="s">
        <v>3569</v>
      </c>
      <c r="P360" s="4" t="s">
        <v>3573</v>
      </c>
      <c r="Q360" t="s">
        <v>3573</v>
      </c>
      <c r="R360" t="s">
        <v>53</v>
      </c>
    </row>
    <row r="361" spans="1:18">
      <c r="A361" t="s">
        <v>837</v>
      </c>
      <c r="B361" t="s">
        <v>9</v>
      </c>
      <c r="C361" t="s">
        <v>2610</v>
      </c>
      <c r="D361" t="s">
        <v>3552</v>
      </c>
      <c r="E361">
        <v>1</v>
      </c>
      <c r="F361" s="4" t="s">
        <v>3556</v>
      </c>
      <c r="G361" s="4">
        <v>2</v>
      </c>
      <c r="H361">
        <v>0</v>
      </c>
      <c r="I361">
        <v>248738</v>
      </c>
      <c r="J361" s="6">
        <v>29</v>
      </c>
      <c r="K361" s="4" t="str">
        <f t="shared" si="5"/>
        <v>Mid</v>
      </c>
      <c r="L361" t="s">
        <v>3561</v>
      </c>
      <c r="M361" s="4" t="s">
        <v>3561</v>
      </c>
      <c r="N361" t="s">
        <v>457</v>
      </c>
      <c r="O361">
        <v>13</v>
      </c>
      <c r="P361" s="4" t="s">
        <v>3573</v>
      </c>
      <c r="Q361" t="s">
        <v>3573</v>
      </c>
      <c r="R361" t="s">
        <v>428</v>
      </c>
    </row>
    <row r="362" spans="1:18">
      <c r="A362" t="s">
        <v>837</v>
      </c>
      <c r="B362" t="s">
        <v>9</v>
      </c>
      <c r="C362" t="s">
        <v>2611</v>
      </c>
      <c r="D362" t="s">
        <v>3552</v>
      </c>
      <c r="E362">
        <v>26</v>
      </c>
      <c r="F362" s="4" t="s">
        <v>3555</v>
      </c>
      <c r="G362" s="4">
        <v>1</v>
      </c>
      <c r="H362">
        <v>1</v>
      </c>
      <c r="I362">
        <v>248738</v>
      </c>
      <c r="J362" s="6">
        <v>29</v>
      </c>
      <c r="K362" s="4" t="str">
        <f t="shared" si="5"/>
        <v>Mid</v>
      </c>
      <c r="L362" t="s">
        <v>3561</v>
      </c>
      <c r="M362" s="4" t="s">
        <v>3561</v>
      </c>
      <c r="N362" t="s">
        <v>457</v>
      </c>
      <c r="O362">
        <v>13</v>
      </c>
      <c r="P362" s="4" t="s">
        <v>3573</v>
      </c>
      <c r="Q362" t="s">
        <v>3573</v>
      </c>
      <c r="R362" t="s">
        <v>428</v>
      </c>
    </row>
    <row r="363" spans="1:18">
      <c r="A363" t="s">
        <v>837</v>
      </c>
      <c r="B363" t="s">
        <v>9</v>
      </c>
      <c r="C363" t="s">
        <v>2612</v>
      </c>
      <c r="D363" t="s">
        <v>3551</v>
      </c>
      <c r="E363">
        <v>22</v>
      </c>
      <c r="F363" s="4" t="s">
        <v>3555</v>
      </c>
      <c r="G363" s="4">
        <v>1</v>
      </c>
      <c r="H363">
        <v>1</v>
      </c>
      <c r="I363">
        <v>248738</v>
      </c>
      <c r="J363" s="6">
        <v>29</v>
      </c>
      <c r="K363" s="4" t="str">
        <f t="shared" si="5"/>
        <v>Mid</v>
      </c>
      <c r="L363" t="s">
        <v>3561</v>
      </c>
      <c r="M363" s="4" t="s">
        <v>3561</v>
      </c>
      <c r="N363" t="s">
        <v>457</v>
      </c>
      <c r="O363">
        <v>13</v>
      </c>
      <c r="P363" s="4" t="s">
        <v>3573</v>
      </c>
      <c r="Q363" t="s">
        <v>3573</v>
      </c>
      <c r="R363" t="s">
        <v>428</v>
      </c>
    </row>
    <row r="364" spans="1:18">
      <c r="A364" t="s">
        <v>837</v>
      </c>
      <c r="B364" t="s">
        <v>9</v>
      </c>
      <c r="C364" t="s">
        <v>2613</v>
      </c>
      <c r="D364" t="s">
        <v>3551</v>
      </c>
      <c r="E364">
        <v>35</v>
      </c>
      <c r="F364" s="4" t="s">
        <v>3557</v>
      </c>
      <c r="G364" s="4">
        <v>0</v>
      </c>
      <c r="H364">
        <v>0</v>
      </c>
      <c r="I364" t="s">
        <v>429</v>
      </c>
      <c r="J364" s="6">
        <v>21</v>
      </c>
      <c r="K364" s="4" t="str">
        <f t="shared" si="5"/>
        <v>Mid</v>
      </c>
      <c r="L364" t="s">
        <v>3561</v>
      </c>
      <c r="M364" s="4" t="s">
        <v>3561</v>
      </c>
      <c r="N364" t="s">
        <v>457</v>
      </c>
      <c r="O364">
        <v>14</v>
      </c>
      <c r="P364" s="4" t="s">
        <v>3573</v>
      </c>
      <c r="Q364" t="s">
        <v>3573</v>
      </c>
      <c r="R364" t="s">
        <v>430</v>
      </c>
    </row>
    <row r="365" spans="1:18">
      <c r="A365" t="s">
        <v>837</v>
      </c>
      <c r="B365" t="s">
        <v>840</v>
      </c>
      <c r="C365" t="s">
        <v>2614</v>
      </c>
      <c r="D365" t="s">
        <v>3552</v>
      </c>
      <c r="E365">
        <v>28</v>
      </c>
      <c r="F365" s="4" t="s">
        <v>3555</v>
      </c>
      <c r="G365" s="4">
        <v>0</v>
      </c>
      <c r="H365">
        <v>0</v>
      </c>
      <c r="I365">
        <v>239853</v>
      </c>
      <c r="J365" s="6">
        <v>0</v>
      </c>
      <c r="K365" s="4" t="str">
        <f t="shared" si="5"/>
        <v>Low</v>
      </c>
      <c r="L365" t="s">
        <v>3561</v>
      </c>
      <c r="M365" s="4" t="s">
        <v>3561</v>
      </c>
      <c r="N365" t="s">
        <v>457</v>
      </c>
      <c r="O365" t="s">
        <v>3569</v>
      </c>
      <c r="P365" s="4" t="s">
        <v>3573</v>
      </c>
      <c r="Q365" t="s">
        <v>3573</v>
      </c>
      <c r="R365" t="s">
        <v>305</v>
      </c>
    </row>
    <row r="366" spans="1:18">
      <c r="A366" t="s">
        <v>837</v>
      </c>
      <c r="B366" t="s">
        <v>840</v>
      </c>
      <c r="C366" t="s">
        <v>2615</v>
      </c>
      <c r="D366" t="s">
        <v>3552</v>
      </c>
      <c r="E366">
        <v>19</v>
      </c>
      <c r="F366" s="4" t="s">
        <v>3555</v>
      </c>
      <c r="G366" s="4">
        <v>0</v>
      </c>
      <c r="H366">
        <v>0</v>
      </c>
      <c r="I366">
        <v>28424</v>
      </c>
      <c r="J366" s="6">
        <v>13</v>
      </c>
      <c r="K366" s="4" t="str">
        <f t="shared" si="5"/>
        <v>Mid</v>
      </c>
      <c r="L366" t="s">
        <v>3561</v>
      </c>
      <c r="M366" s="4" t="s">
        <v>3561</v>
      </c>
      <c r="N366" t="s">
        <v>457</v>
      </c>
      <c r="O366" t="s">
        <v>3569</v>
      </c>
      <c r="P366" s="4">
        <v>18</v>
      </c>
      <c r="Q366" t="s">
        <v>3574</v>
      </c>
      <c r="R366" t="s">
        <v>419</v>
      </c>
    </row>
    <row r="367" spans="1:18">
      <c r="A367" t="s">
        <v>837</v>
      </c>
      <c r="B367" t="s">
        <v>840</v>
      </c>
      <c r="C367" t="s">
        <v>2616</v>
      </c>
      <c r="D367" t="s">
        <v>3551</v>
      </c>
      <c r="E367">
        <v>44</v>
      </c>
      <c r="F367" s="4" t="s">
        <v>3557</v>
      </c>
      <c r="G367" s="4">
        <v>0</v>
      </c>
      <c r="H367">
        <v>1</v>
      </c>
      <c r="I367">
        <v>244252</v>
      </c>
      <c r="J367" s="6">
        <v>26</v>
      </c>
      <c r="K367" s="4" t="str">
        <f t="shared" si="5"/>
        <v>Mid</v>
      </c>
      <c r="L367" t="s">
        <v>3561</v>
      </c>
      <c r="M367" s="4" t="s">
        <v>3561</v>
      </c>
      <c r="N367" t="s">
        <v>457</v>
      </c>
      <c r="O367" t="s">
        <v>3569</v>
      </c>
      <c r="P367" s="4" t="s">
        <v>3573</v>
      </c>
      <c r="Q367" t="s">
        <v>3573</v>
      </c>
      <c r="R367" t="s">
        <v>249</v>
      </c>
    </row>
    <row r="368" spans="1:18">
      <c r="A368" t="s">
        <v>837</v>
      </c>
      <c r="B368" t="s">
        <v>840</v>
      </c>
      <c r="C368" t="s">
        <v>2617</v>
      </c>
      <c r="D368" t="s">
        <v>3552</v>
      </c>
      <c r="E368">
        <v>54</v>
      </c>
      <c r="F368" s="4" t="s">
        <v>3557</v>
      </c>
      <c r="G368" s="4">
        <v>0</v>
      </c>
      <c r="H368">
        <v>1</v>
      </c>
      <c r="I368">
        <v>244252</v>
      </c>
      <c r="J368" s="6">
        <v>26</v>
      </c>
      <c r="K368" s="4" t="str">
        <f t="shared" si="5"/>
        <v>Mid</v>
      </c>
      <c r="L368" t="s">
        <v>3561</v>
      </c>
      <c r="M368" s="4" t="s">
        <v>3561</v>
      </c>
      <c r="N368" t="s">
        <v>457</v>
      </c>
      <c r="O368" t="s">
        <v>3569</v>
      </c>
      <c r="P368" s="4" t="s">
        <v>3573</v>
      </c>
      <c r="Q368" t="s">
        <v>3573</v>
      </c>
      <c r="R368" t="s">
        <v>249</v>
      </c>
    </row>
    <row r="369" spans="1:18">
      <c r="A369" t="s">
        <v>837</v>
      </c>
      <c r="B369" t="s">
        <v>840</v>
      </c>
      <c r="C369" t="s">
        <v>2618</v>
      </c>
      <c r="D369" t="s">
        <v>3552</v>
      </c>
      <c r="E369">
        <v>52</v>
      </c>
      <c r="F369" s="4" t="s">
        <v>3557</v>
      </c>
      <c r="G369" s="4">
        <v>0</v>
      </c>
      <c r="H369">
        <v>0</v>
      </c>
      <c r="I369">
        <v>248731</v>
      </c>
      <c r="J369" s="6">
        <v>13.5</v>
      </c>
      <c r="K369" s="4" t="str">
        <f t="shared" si="5"/>
        <v>Mid</v>
      </c>
      <c r="L369" t="s">
        <v>3561</v>
      </c>
      <c r="M369" s="4" t="s">
        <v>3561</v>
      </c>
      <c r="N369" t="s">
        <v>457</v>
      </c>
      <c r="O369" t="s">
        <v>3569</v>
      </c>
      <c r="P369" s="4">
        <v>130</v>
      </c>
      <c r="Q369" t="s">
        <v>3574</v>
      </c>
      <c r="R369" t="s">
        <v>431</v>
      </c>
    </row>
    <row r="370" spans="1:18">
      <c r="A370" t="s">
        <v>837</v>
      </c>
      <c r="B370" t="s">
        <v>840</v>
      </c>
      <c r="C370" t="s">
        <v>2619</v>
      </c>
      <c r="D370" t="s">
        <v>3552</v>
      </c>
      <c r="E370">
        <v>37</v>
      </c>
      <c r="F370" s="4" t="s">
        <v>3557</v>
      </c>
      <c r="G370" s="4">
        <v>0</v>
      </c>
      <c r="H370">
        <v>1</v>
      </c>
      <c r="I370" t="s">
        <v>432</v>
      </c>
      <c r="J370" s="6">
        <v>26</v>
      </c>
      <c r="K370" s="4" t="str">
        <f t="shared" si="5"/>
        <v>Mid</v>
      </c>
      <c r="L370" t="s">
        <v>3561</v>
      </c>
      <c r="M370" s="4" t="s">
        <v>3561</v>
      </c>
      <c r="N370" t="s">
        <v>457</v>
      </c>
      <c r="O370" t="s">
        <v>3569</v>
      </c>
      <c r="P370" s="4">
        <v>17</v>
      </c>
      <c r="Q370" t="s">
        <v>3574</v>
      </c>
      <c r="R370" t="s">
        <v>433</v>
      </c>
    </row>
    <row r="371" spans="1:18">
      <c r="A371" t="s">
        <v>837</v>
      </c>
      <c r="B371" t="s">
        <v>840</v>
      </c>
      <c r="C371" t="s">
        <v>2620</v>
      </c>
      <c r="D371" t="s">
        <v>3551</v>
      </c>
      <c r="E371">
        <v>29</v>
      </c>
      <c r="F371" s="4" t="s">
        <v>3555</v>
      </c>
      <c r="G371" s="4">
        <v>0</v>
      </c>
      <c r="H371">
        <v>1</v>
      </c>
      <c r="I371" t="s">
        <v>432</v>
      </c>
      <c r="J371" s="6">
        <v>26</v>
      </c>
      <c r="K371" s="4" t="str">
        <f t="shared" si="5"/>
        <v>Mid</v>
      </c>
      <c r="L371" t="s">
        <v>3561</v>
      </c>
      <c r="M371" s="4" t="s">
        <v>3561</v>
      </c>
      <c r="N371" t="s">
        <v>457</v>
      </c>
      <c r="O371" t="s">
        <v>3569</v>
      </c>
      <c r="P371" s="4" t="s">
        <v>3573</v>
      </c>
      <c r="Q371" t="s">
        <v>3573</v>
      </c>
      <c r="R371" t="s">
        <v>433</v>
      </c>
    </row>
    <row r="372" spans="1:18">
      <c r="A372" t="s">
        <v>837</v>
      </c>
      <c r="B372" t="s">
        <v>9</v>
      </c>
      <c r="C372" t="s">
        <v>2621</v>
      </c>
      <c r="D372" t="s">
        <v>3551</v>
      </c>
      <c r="E372">
        <v>25</v>
      </c>
      <c r="F372" s="4" t="s">
        <v>3555</v>
      </c>
      <c r="G372" s="4">
        <v>1</v>
      </c>
      <c r="H372">
        <v>1</v>
      </c>
      <c r="I372">
        <v>237789</v>
      </c>
      <c r="J372" s="6">
        <v>30</v>
      </c>
      <c r="K372" s="4" t="str">
        <f t="shared" si="5"/>
        <v>Mid</v>
      </c>
      <c r="L372" t="s">
        <v>3561</v>
      </c>
      <c r="M372" s="4" t="s">
        <v>3561</v>
      </c>
      <c r="N372" t="s">
        <v>457</v>
      </c>
      <c r="O372">
        <v>12</v>
      </c>
      <c r="P372" s="4" t="s">
        <v>3573</v>
      </c>
      <c r="Q372" t="s">
        <v>3573</v>
      </c>
      <c r="R372" t="s">
        <v>249</v>
      </c>
    </row>
    <row r="373" spans="1:18">
      <c r="A373" t="s">
        <v>837</v>
      </c>
      <c r="B373" t="s">
        <v>9</v>
      </c>
      <c r="C373" t="s">
        <v>2622</v>
      </c>
      <c r="D373" t="s">
        <v>3551</v>
      </c>
      <c r="E373">
        <v>45</v>
      </c>
      <c r="F373" s="4" t="s">
        <v>3557</v>
      </c>
      <c r="G373" s="4">
        <v>2</v>
      </c>
      <c r="H373">
        <v>0</v>
      </c>
      <c r="I373">
        <v>237789</v>
      </c>
      <c r="J373" s="6">
        <v>30</v>
      </c>
      <c r="K373" s="4" t="str">
        <f t="shared" si="5"/>
        <v>Mid</v>
      </c>
      <c r="L373" t="s">
        <v>3561</v>
      </c>
      <c r="M373" s="4" t="s">
        <v>3561</v>
      </c>
      <c r="N373" t="s">
        <v>457</v>
      </c>
      <c r="O373">
        <v>12</v>
      </c>
      <c r="P373" s="4" t="s">
        <v>3573</v>
      </c>
      <c r="Q373" t="s">
        <v>3573</v>
      </c>
      <c r="R373" t="s">
        <v>249</v>
      </c>
    </row>
    <row r="374" spans="1:18">
      <c r="A374" t="s">
        <v>837</v>
      </c>
      <c r="B374" t="s">
        <v>840</v>
      </c>
      <c r="C374" t="s">
        <v>2623</v>
      </c>
      <c r="D374" t="s">
        <v>3552</v>
      </c>
      <c r="E374">
        <v>29</v>
      </c>
      <c r="F374" s="4" t="s">
        <v>3555</v>
      </c>
      <c r="G374" s="4">
        <v>0</v>
      </c>
      <c r="H374">
        <v>1</v>
      </c>
      <c r="I374">
        <v>2003</v>
      </c>
      <c r="J374" s="6">
        <v>26</v>
      </c>
      <c r="K374" s="4" t="str">
        <f t="shared" si="5"/>
        <v>Mid</v>
      </c>
      <c r="L374" t="s">
        <v>3561</v>
      </c>
      <c r="M374" s="4" t="s">
        <v>3561</v>
      </c>
      <c r="N374" t="s">
        <v>457</v>
      </c>
      <c r="O374" t="s">
        <v>3569</v>
      </c>
      <c r="P374" s="4" t="s">
        <v>3573</v>
      </c>
      <c r="Q374" t="s">
        <v>3573</v>
      </c>
      <c r="R374" t="s">
        <v>434</v>
      </c>
    </row>
    <row r="375" spans="1:18">
      <c r="A375" t="s">
        <v>837</v>
      </c>
      <c r="B375" t="s">
        <v>9</v>
      </c>
      <c r="C375" t="s">
        <v>2624</v>
      </c>
      <c r="D375" t="s">
        <v>3551</v>
      </c>
      <c r="E375">
        <v>28</v>
      </c>
      <c r="F375" s="4" t="s">
        <v>3555</v>
      </c>
      <c r="G375" s="4">
        <v>0</v>
      </c>
      <c r="H375">
        <v>1</v>
      </c>
      <c r="I375">
        <v>2003</v>
      </c>
      <c r="J375" s="6">
        <v>26</v>
      </c>
      <c r="K375" s="4" t="str">
        <f t="shared" si="5"/>
        <v>Mid</v>
      </c>
      <c r="L375" t="s">
        <v>3561</v>
      </c>
      <c r="M375" s="4" t="s">
        <v>3561</v>
      </c>
      <c r="N375" t="s">
        <v>457</v>
      </c>
      <c r="O375">
        <v>14</v>
      </c>
      <c r="P375" s="4" t="s">
        <v>3573</v>
      </c>
      <c r="Q375" t="s">
        <v>3573</v>
      </c>
      <c r="R375" t="s">
        <v>434</v>
      </c>
    </row>
    <row r="376" spans="1:18">
      <c r="A376" t="s">
        <v>837</v>
      </c>
      <c r="B376" t="s">
        <v>840</v>
      </c>
      <c r="C376" t="s">
        <v>2625</v>
      </c>
      <c r="D376" t="s">
        <v>3552</v>
      </c>
      <c r="E376">
        <v>29</v>
      </c>
      <c r="F376" s="4" t="s">
        <v>3555</v>
      </c>
      <c r="G376" s="4">
        <v>0</v>
      </c>
      <c r="H376">
        <v>0</v>
      </c>
      <c r="I376" t="s">
        <v>435</v>
      </c>
      <c r="J376" s="6">
        <v>10.5</v>
      </c>
      <c r="K376" s="4" t="str">
        <f t="shared" si="5"/>
        <v>Mid</v>
      </c>
      <c r="L376" t="s">
        <v>3561</v>
      </c>
      <c r="M376" s="4" t="s">
        <v>3561</v>
      </c>
      <c r="N376" t="s">
        <v>457</v>
      </c>
      <c r="O376" t="s">
        <v>3569</v>
      </c>
      <c r="P376" s="4" t="s">
        <v>3573</v>
      </c>
      <c r="Q376" t="s">
        <v>3573</v>
      </c>
      <c r="R376" t="s">
        <v>436</v>
      </c>
    </row>
    <row r="377" spans="1:18">
      <c r="A377" t="s">
        <v>837</v>
      </c>
      <c r="B377" t="s">
        <v>840</v>
      </c>
      <c r="C377" t="s">
        <v>2626</v>
      </c>
      <c r="D377" t="s">
        <v>3552</v>
      </c>
      <c r="E377">
        <v>28</v>
      </c>
      <c r="F377" s="4" t="s">
        <v>3555</v>
      </c>
      <c r="G377" s="4">
        <v>0</v>
      </c>
      <c r="H377">
        <v>0</v>
      </c>
      <c r="I377">
        <v>248740</v>
      </c>
      <c r="J377" s="6">
        <v>13</v>
      </c>
      <c r="K377" s="4" t="str">
        <f t="shared" si="5"/>
        <v>Mid</v>
      </c>
      <c r="L377" t="s">
        <v>3561</v>
      </c>
      <c r="M377" s="4" t="s">
        <v>3561</v>
      </c>
      <c r="N377" t="s">
        <v>457</v>
      </c>
      <c r="O377" t="s">
        <v>3569</v>
      </c>
      <c r="P377" s="4" t="s">
        <v>3573</v>
      </c>
      <c r="Q377" t="s">
        <v>3573</v>
      </c>
      <c r="R377" t="s">
        <v>437</v>
      </c>
    </row>
    <row r="378" spans="1:18">
      <c r="A378" t="s">
        <v>837</v>
      </c>
      <c r="B378" t="s">
        <v>9</v>
      </c>
      <c r="C378" t="s">
        <v>2627</v>
      </c>
      <c r="D378" t="s">
        <v>3552</v>
      </c>
      <c r="E378">
        <v>24</v>
      </c>
      <c r="F378" s="4" t="s">
        <v>3555</v>
      </c>
      <c r="G378" s="4">
        <v>0</v>
      </c>
      <c r="H378">
        <v>0</v>
      </c>
      <c r="I378">
        <v>28034</v>
      </c>
      <c r="J378" s="6">
        <v>10.5</v>
      </c>
      <c r="K378" s="4" t="str">
        <f t="shared" si="5"/>
        <v>Mid</v>
      </c>
      <c r="L378" t="s">
        <v>3561</v>
      </c>
      <c r="M378" s="4" t="s">
        <v>3561</v>
      </c>
      <c r="N378" t="s">
        <v>457</v>
      </c>
      <c r="O378">
        <v>9</v>
      </c>
      <c r="P378" s="4" t="s">
        <v>3573</v>
      </c>
      <c r="Q378" t="s">
        <v>3573</v>
      </c>
      <c r="R378" t="s">
        <v>438</v>
      </c>
    </row>
    <row r="379" spans="1:18">
      <c r="A379" t="s">
        <v>837</v>
      </c>
      <c r="B379" t="s">
        <v>9</v>
      </c>
      <c r="C379" t="s">
        <v>2628</v>
      </c>
      <c r="D379" t="s">
        <v>3551</v>
      </c>
      <c r="E379">
        <v>8</v>
      </c>
      <c r="F379" s="4" t="s">
        <v>3556</v>
      </c>
      <c r="G379" s="4">
        <v>2</v>
      </c>
      <c r="H379">
        <v>0</v>
      </c>
      <c r="I379" t="s">
        <v>439</v>
      </c>
      <c r="J379" s="6">
        <v>26.25</v>
      </c>
      <c r="K379" s="4" t="str">
        <f t="shared" si="5"/>
        <v>Mid</v>
      </c>
      <c r="L379" t="s">
        <v>3561</v>
      </c>
      <c r="M379" s="4" t="s">
        <v>3561</v>
      </c>
      <c r="N379" t="s">
        <v>457</v>
      </c>
      <c r="O379">
        <v>14</v>
      </c>
      <c r="P379" s="4" t="s">
        <v>3573</v>
      </c>
      <c r="Q379" t="s">
        <v>3573</v>
      </c>
      <c r="R379" t="s">
        <v>440</v>
      </c>
    </row>
    <row r="380" spans="1:18">
      <c r="A380" t="s">
        <v>837</v>
      </c>
      <c r="B380" t="s">
        <v>840</v>
      </c>
      <c r="C380" t="s">
        <v>2629</v>
      </c>
      <c r="D380" t="s">
        <v>3552</v>
      </c>
      <c r="E380">
        <v>31</v>
      </c>
      <c r="F380" s="4" t="s">
        <v>3557</v>
      </c>
      <c r="G380" s="4">
        <v>1</v>
      </c>
      <c r="H380">
        <v>1</v>
      </c>
      <c r="I380" t="s">
        <v>439</v>
      </c>
      <c r="J380" s="6">
        <v>26.25</v>
      </c>
      <c r="K380" s="4" t="str">
        <f t="shared" si="5"/>
        <v>Mid</v>
      </c>
      <c r="L380" t="s">
        <v>3561</v>
      </c>
      <c r="M380" s="4" t="s">
        <v>3561</v>
      </c>
      <c r="N380" t="s">
        <v>457</v>
      </c>
      <c r="O380" t="s">
        <v>3569</v>
      </c>
      <c r="P380" s="4" t="s">
        <v>3573</v>
      </c>
      <c r="Q380" t="s">
        <v>3573</v>
      </c>
      <c r="R380" t="s">
        <v>440</v>
      </c>
    </row>
    <row r="381" spans="1:18">
      <c r="A381" t="s">
        <v>837</v>
      </c>
      <c r="B381" t="s">
        <v>9</v>
      </c>
      <c r="C381" t="s">
        <v>2630</v>
      </c>
      <c r="D381" t="s">
        <v>3551</v>
      </c>
      <c r="E381">
        <v>31</v>
      </c>
      <c r="F381" s="4" t="s">
        <v>3557</v>
      </c>
      <c r="G381" s="4">
        <v>1</v>
      </c>
      <c r="H381">
        <v>1</v>
      </c>
      <c r="I381" t="s">
        <v>439</v>
      </c>
      <c r="J381" s="6">
        <v>26.25</v>
      </c>
      <c r="K381" s="4" t="str">
        <f t="shared" si="5"/>
        <v>Mid</v>
      </c>
      <c r="L381" t="s">
        <v>3561</v>
      </c>
      <c r="M381" s="4" t="s">
        <v>3561</v>
      </c>
      <c r="N381" t="s">
        <v>457</v>
      </c>
      <c r="O381">
        <v>14</v>
      </c>
      <c r="P381" s="4" t="s">
        <v>3573</v>
      </c>
      <c r="Q381" t="s">
        <v>3573</v>
      </c>
      <c r="R381" t="s">
        <v>440</v>
      </c>
    </row>
    <row r="382" spans="1:18">
      <c r="A382" t="s">
        <v>837</v>
      </c>
      <c r="B382" t="s">
        <v>9</v>
      </c>
      <c r="C382" t="s">
        <v>2631</v>
      </c>
      <c r="D382" t="s">
        <v>3551</v>
      </c>
      <c r="E382">
        <v>22</v>
      </c>
      <c r="F382" s="4" t="s">
        <v>3555</v>
      </c>
      <c r="G382" s="4">
        <v>0</v>
      </c>
      <c r="H382">
        <v>0</v>
      </c>
      <c r="I382" t="s">
        <v>441</v>
      </c>
      <c r="J382" s="6">
        <v>10.5</v>
      </c>
      <c r="K382" s="4" t="str">
        <f t="shared" si="5"/>
        <v>Mid</v>
      </c>
      <c r="L382" t="s">
        <v>422</v>
      </c>
      <c r="M382" s="4" t="s">
        <v>586</v>
      </c>
      <c r="N382" t="s">
        <v>457</v>
      </c>
      <c r="O382">
        <v>14</v>
      </c>
      <c r="P382" s="4" t="s">
        <v>3573</v>
      </c>
      <c r="Q382" t="s">
        <v>3573</v>
      </c>
      <c r="R382" t="s">
        <v>442</v>
      </c>
    </row>
    <row r="383" spans="1:18">
      <c r="A383" t="s">
        <v>837</v>
      </c>
      <c r="B383" t="s">
        <v>840</v>
      </c>
      <c r="C383" t="s">
        <v>2632</v>
      </c>
      <c r="D383" t="s">
        <v>3551</v>
      </c>
      <c r="E383">
        <v>30</v>
      </c>
      <c r="F383" s="4" t="s">
        <v>3557</v>
      </c>
      <c r="G383" s="4">
        <v>0</v>
      </c>
      <c r="H383">
        <v>0</v>
      </c>
      <c r="I383">
        <v>237249</v>
      </c>
      <c r="J383" s="6">
        <v>13</v>
      </c>
      <c r="K383" s="4" t="str">
        <f t="shared" si="5"/>
        <v>Mid</v>
      </c>
      <c r="L383" t="s">
        <v>3561</v>
      </c>
      <c r="M383" s="4" t="s">
        <v>3561</v>
      </c>
      <c r="N383" t="s">
        <v>457</v>
      </c>
      <c r="O383" t="s">
        <v>3569</v>
      </c>
      <c r="P383" s="4" t="s">
        <v>3573</v>
      </c>
      <c r="Q383" t="s">
        <v>3573</v>
      </c>
      <c r="R383" t="s">
        <v>443</v>
      </c>
    </row>
    <row r="384" spans="1:18">
      <c r="A384" t="s">
        <v>837</v>
      </c>
      <c r="B384" t="s">
        <v>840</v>
      </c>
      <c r="C384" t="s">
        <v>2633</v>
      </c>
      <c r="D384" t="s">
        <v>3551</v>
      </c>
      <c r="E384">
        <v>28</v>
      </c>
      <c r="F384" s="4" t="s">
        <v>3555</v>
      </c>
      <c r="G384" s="4">
        <v>0</v>
      </c>
      <c r="H384">
        <v>0</v>
      </c>
      <c r="I384" t="s">
        <v>444</v>
      </c>
      <c r="J384" s="6">
        <v>21</v>
      </c>
      <c r="K384" s="4" t="str">
        <f t="shared" si="5"/>
        <v>Mid</v>
      </c>
      <c r="L384" t="s">
        <v>3561</v>
      </c>
      <c r="M384" s="4" t="s">
        <v>3561</v>
      </c>
      <c r="N384" t="s">
        <v>457</v>
      </c>
      <c r="O384" t="s">
        <v>3569</v>
      </c>
      <c r="P384" s="4" t="s">
        <v>3573</v>
      </c>
      <c r="Q384" t="s">
        <v>3573</v>
      </c>
      <c r="R384" t="s">
        <v>445</v>
      </c>
    </row>
    <row r="385" spans="1:18">
      <c r="A385" t="s">
        <v>837</v>
      </c>
      <c r="B385" t="s">
        <v>840</v>
      </c>
      <c r="C385" t="s">
        <v>2634</v>
      </c>
      <c r="D385" t="s">
        <v>3552</v>
      </c>
      <c r="E385">
        <v>21</v>
      </c>
      <c r="F385" s="4" t="s">
        <v>3555</v>
      </c>
      <c r="G385" s="4">
        <v>0</v>
      </c>
      <c r="H385">
        <v>0</v>
      </c>
      <c r="I385">
        <v>29107</v>
      </c>
      <c r="J385" s="6">
        <v>11.5</v>
      </c>
      <c r="K385" s="4" t="str">
        <f t="shared" si="5"/>
        <v>Mid</v>
      </c>
      <c r="L385" t="s">
        <v>3561</v>
      </c>
      <c r="M385" s="4" t="s">
        <v>3561</v>
      </c>
      <c r="N385" t="s">
        <v>457</v>
      </c>
      <c r="O385" t="s">
        <v>3569</v>
      </c>
      <c r="P385" s="4" t="s">
        <v>3573</v>
      </c>
      <c r="Q385" t="s">
        <v>3573</v>
      </c>
      <c r="R385" t="s">
        <v>405</v>
      </c>
    </row>
    <row r="386" spans="1:18">
      <c r="A386" t="s">
        <v>837</v>
      </c>
      <c r="B386" t="s">
        <v>840</v>
      </c>
      <c r="C386" t="s">
        <v>2635</v>
      </c>
      <c r="D386" t="s">
        <v>3552</v>
      </c>
      <c r="E386">
        <v>28</v>
      </c>
      <c r="F386" s="4" t="s">
        <v>3555</v>
      </c>
      <c r="G386" s="4">
        <v>0</v>
      </c>
      <c r="H386">
        <v>0</v>
      </c>
      <c r="I386">
        <v>239853</v>
      </c>
      <c r="J386" s="6">
        <v>0</v>
      </c>
      <c r="K386" s="4" t="str">
        <f t="shared" si="5"/>
        <v>Low</v>
      </c>
      <c r="L386" t="s">
        <v>3561</v>
      </c>
      <c r="M386" s="4" t="s">
        <v>3561</v>
      </c>
      <c r="N386" t="s">
        <v>457</v>
      </c>
      <c r="O386" t="s">
        <v>3569</v>
      </c>
      <c r="P386" s="4" t="s">
        <v>3573</v>
      </c>
      <c r="Q386" t="s">
        <v>3573</v>
      </c>
      <c r="R386" t="s">
        <v>305</v>
      </c>
    </row>
    <row r="387" spans="1:18">
      <c r="A387" t="s">
        <v>837</v>
      </c>
      <c r="B387" t="s">
        <v>9</v>
      </c>
      <c r="C387" t="s">
        <v>2636</v>
      </c>
      <c r="D387" t="s">
        <v>3552</v>
      </c>
      <c r="E387">
        <v>8</v>
      </c>
      <c r="F387" s="4" t="s">
        <v>3556</v>
      </c>
      <c r="G387" s="4">
        <v>1</v>
      </c>
      <c r="H387">
        <v>1</v>
      </c>
      <c r="I387" t="s">
        <v>446</v>
      </c>
      <c r="J387" s="6">
        <v>36.75</v>
      </c>
      <c r="K387" s="4" t="str">
        <f t="shared" ref="K387:K450" si="6">IF(J387&lt;=10,"Low",IF(J387&lt;=50,"Mid","High"))</f>
        <v>Mid</v>
      </c>
      <c r="L387" t="s">
        <v>3561</v>
      </c>
      <c r="M387" s="4" t="s">
        <v>3561</v>
      </c>
      <c r="N387" t="s">
        <v>457</v>
      </c>
      <c r="O387">
        <v>14</v>
      </c>
      <c r="P387" s="4" t="s">
        <v>3573</v>
      </c>
      <c r="Q387" t="s">
        <v>3573</v>
      </c>
      <c r="R387" t="s">
        <v>447</v>
      </c>
    </row>
    <row r="388" spans="1:18">
      <c r="A388" t="s">
        <v>837</v>
      </c>
      <c r="B388" t="s">
        <v>840</v>
      </c>
      <c r="C388" t="s">
        <v>2637</v>
      </c>
      <c r="D388" t="s">
        <v>3552</v>
      </c>
      <c r="E388">
        <v>18</v>
      </c>
      <c r="F388" s="4" t="s">
        <v>3555</v>
      </c>
      <c r="G388" s="4">
        <v>0</v>
      </c>
      <c r="H388">
        <v>0</v>
      </c>
      <c r="I388" t="s">
        <v>448</v>
      </c>
      <c r="J388" s="6">
        <v>73.5</v>
      </c>
      <c r="K388" s="4" t="str">
        <f t="shared" si="6"/>
        <v>High</v>
      </c>
      <c r="L388" t="s">
        <v>3561</v>
      </c>
      <c r="M388" s="4" t="s">
        <v>3561</v>
      </c>
      <c r="N388" t="s">
        <v>457</v>
      </c>
      <c r="O388" t="s">
        <v>3569</v>
      </c>
      <c r="P388" s="4" t="s">
        <v>3573</v>
      </c>
      <c r="Q388" t="s">
        <v>3573</v>
      </c>
      <c r="R388" t="s">
        <v>449</v>
      </c>
    </row>
    <row r="389" spans="1:18">
      <c r="A389" t="s">
        <v>837</v>
      </c>
      <c r="B389" t="s">
        <v>9</v>
      </c>
      <c r="C389" t="s">
        <v>2638</v>
      </c>
      <c r="D389" t="s">
        <v>3551</v>
      </c>
      <c r="E389">
        <v>48</v>
      </c>
      <c r="F389" s="4" t="s">
        <v>3557</v>
      </c>
      <c r="G389" s="4">
        <v>2</v>
      </c>
      <c r="H389">
        <v>0</v>
      </c>
      <c r="I389" t="s">
        <v>446</v>
      </c>
      <c r="J389" s="6">
        <v>36.75</v>
      </c>
      <c r="K389" s="4" t="str">
        <f t="shared" si="6"/>
        <v>Mid</v>
      </c>
      <c r="L389" t="s">
        <v>3561</v>
      </c>
      <c r="M389" s="4" t="s">
        <v>3561</v>
      </c>
      <c r="N389" t="s">
        <v>457</v>
      </c>
      <c r="O389">
        <v>14</v>
      </c>
      <c r="P389" s="4" t="s">
        <v>3573</v>
      </c>
      <c r="Q389" t="s">
        <v>3573</v>
      </c>
      <c r="R389" t="s">
        <v>447</v>
      </c>
    </row>
    <row r="390" spans="1:18">
      <c r="A390" t="s">
        <v>837</v>
      </c>
      <c r="B390" t="s">
        <v>9</v>
      </c>
      <c r="C390" t="s">
        <v>2639</v>
      </c>
      <c r="D390" t="s">
        <v>3551</v>
      </c>
      <c r="E390">
        <v>28</v>
      </c>
      <c r="F390" s="4" t="s">
        <v>3555</v>
      </c>
      <c r="G390" s="4">
        <v>0</v>
      </c>
      <c r="H390">
        <v>0</v>
      </c>
      <c r="I390">
        <v>237668</v>
      </c>
      <c r="J390" s="6">
        <v>13</v>
      </c>
      <c r="K390" s="4" t="str">
        <f t="shared" si="6"/>
        <v>Mid</v>
      </c>
      <c r="L390" t="s">
        <v>3561</v>
      </c>
      <c r="M390" s="4" t="s">
        <v>3561</v>
      </c>
      <c r="N390" t="s">
        <v>457</v>
      </c>
      <c r="O390">
        <v>13</v>
      </c>
      <c r="P390" s="4" t="s">
        <v>3573</v>
      </c>
      <c r="Q390" t="s">
        <v>3573</v>
      </c>
      <c r="R390" t="s">
        <v>450</v>
      </c>
    </row>
    <row r="391" spans="1:18">
      <c r="A391" t="s">
        <v>837</v>
      </c>
      <c r="B391" t="s">
        <v>840</v>
      </c>
      <c r="C391" t="s">
        <v>2640</v>
      </c>
      <c r="D391" t="s">
        <v>3552</v>
      </c>
      <c r="E391">
        <v>32</v>
      </c>
      <c r="F391" s="4" t="s">
        <v>3557</v>
      </c>
      <c r="G391" s="4">
        <v>0</v>
      </c>
      <c r="H391">
        <v>0</v>
      </c>
      <c r="I391">
        <v>244360</v>
      </c>
      <c r="J391" s="6">
        <v>13</v>
      </c>
      <c r="K391" s="4" t="str">
        <f t="shared" si="6"/>
        <v>Mid</v>
      </c>
      <c r="L391" t="s">
        <v>3561</v>
      </c>
      <c r="M391" s="4" t="s">
        <v>3561</v>
      </c>
      <c r="N391" t="s">
        <v>457</v>
      </c>
      <c r="O391" t="s">
        <v>3569</v>
      </c>
      <c r="P391" s="4" t="s">
        <v>3573</v>
      </c>
      <c r="Q391" t="s">
        <v>3573</v>
      </c>
      <c r="R391" t="s">
        <v>451</v>
      </c>
    </row>
    <row r="392" spans="1:18">
      <c r="A392" t="s">
        <v>837</v>
      </c>
      <c r="B392" t="s">
        <v>840</v>
      </c>
      <c r="C392" t="s">
        <v>2641</v>
      </c>
      <c r="D392" t="s">
        <v>3552</v>
      </c>
      <c r="E392">
        <v>17</v>
      </c>
      <c r="F392" s="4" t="s">
        <v>3560</v>
      </c>
      <c r="G392" s="4">
        <v>0</v>
      </c>
      <c r="H392">
        <v>0</v>
      </c>
      <c r="I392" t="s">
        <v>448</v>
      </c>
      <c r="J392" s="6">
        <v>73.5</v>
      </c>
      <c r="K392" s="4" t="str">
        <f t="shared" si="6"/>
        <v>High</v>
      </c>
      <c r="L392" t="s">
        <v>3561</v>
      </c>
      <c r="M392" s="4" t="s">
        <v>3561</v>
      </c>
      <c r="N392" t="s">
        <v>457</v>
      </c>
      <c r="O392" t="s">
        <v>3569</v>
      </c>
      <c r="P392" s="4" t="s">
        <v>3573</v>
      </c>
      <c r="Q392" t="s">
        <v>3573</v>
      </c>
    </row>
    <row r="393" spans="1:18">
      <c r="A393" t="s">
        <v>837</v>
      </c>
      <c r="B393" t="s">
        <v>840</v>
      </c>
      <c r="C393" t="s">
        <v>2642</v>
      </c>
      <c r="D393" t="s">
        <v>3552</v>
      </c>
      <c r="E393">
        <v>29</v>
      </c>
      <c r="F393" s="4" t="s">
        <v>3555</v>
      </c>
      <c r="G393" s="4">
        <v>0</v>
      </c>
      <c r="H393">
        <v>1</v>
      </c>
      <c r="I393" t="s">
        <v>452</v>
      </c>
      <c r="J393" s="6">
        <v>27.720800000000001</v>
      </c>
      <c r="K393" s="4" t="str">
        <f t="shared" si="6"/>
        <v>Mid</v>
      </c>
      <c r="L393" t="s">
        <v>3561</v>
      </c>
      <c r="M393" s="4" t="s">
        <v>3561</v>
      </c>
      <c r="N393" t="s">
        <v>3566</v>
      </c>
      <c r="O393" t="s">
        <v>3569</v>
      </c>
      <c r="P393" s="4">
        <v>295</v>
      </c>
      <c r="Q393" t="s">
        <v>3574</v>
      </c>
      <c r="R393" t="s">
        <v>453</v>
      </c>
    </row>
    <row r="394" spans="1:18">
      <c r="A394" t="s">
        <v>837</v>
      </c>
      <c r="B394" t="s">
        <v>9</v>
      </c>
      <c r="C394" t="s">
        <v>2643</v>
      </c>
      <c r="D394" t="s">
        <v>3551</v>
      </c>
      <c r="E394">
        <v>24</v>
      </c>
      <c r="F394" s="4" t="s">
        <v>3555</v>
      </c>
      <c r="G394" s="4">
        <v>0</v>
      </c>
      <c r="H394">
        <v>1</v>
      </c>
      <c r="I394" t="s">
        <v>452</v>
      </c>
      <c r="J394" s="6">
        <v>27.720800000000001</v>
      </c>
      <c r="K394" s="4" t="str">
        <f t="shared" si="6"/>
        <v>Mid</v>
      </c>
      <c r="L394" t="s">
        <v>3561</v>
      </c>
      <c r="M394" s="4" t="s">
        <v>3561</v>
      </c>
      <c r="N394" t="s">
        <v>3566</v>
      </c>
      <c r="O394">
        <v>12</v>
      </c>
      <c r="P394" s="4" t="s">
        <v>3573</v>
      </c>
      <c r="Q394" t="s">
        <v>3573</v>
      </c>
      <c r="R394" t="s">
        <v>453</v>
      </c>
    </row>
    <row r="395" spans="1:18">
      <c r="A395" t="s">
        <v>837</v>
      </c>
      <c r="B395" t="s">
        <v>840</v>
      </c>
      <c r="C395" t="s">
        <v>2644</v>
      </c>
      <c r="D395" t="s">
        <v>3552</v>
      </c>
      <c r="E395">
        <v>25</v>
      </c>
      <c r="F395" s="4" t="s">
        <v>3555</v>
      </c>
      <c r="G395" s="4">
        <v>0</v>
      </c>
      <c r="H395">
        <v>0</v>
      </c>
      <c r="I395" t="s">
        <v>454</v>
      </c>
      <c r="J395" s="6">
        <v>31.5</v>
      </c>
      <c r="K395" s="4" t="str">
        <f t="shared" si="6"/>
        <v>Mid</v>
      </c>
      <c r="L395" t="s">
        <v>3561</v>
      </c>
      <c r="M395" s="4" t="s">
        <v>3561</v>
      </c>
      <c r="N395" t="s">
        <v>457</v>
      </c>
      <c r="O395" t="s">
        <v>3569</v>
      </c>
      <c r="P395" s="4" t="s">
        <v>3573</v>
      </c>
      <c r="Q395" t="s">
        <v>3573</v>
      </c>
      <c r="R395" t="s">
        <v>455</v>
      </c>
    </row>
    <row r="396" spans="1:18">
      <c r="A396" t="s">
        <v>837</v>
      </c>
      <c r="B396" t="s">
        <v>840</v>
      </c>
      <c r="C396" t="s">
        <v>2645</v>
      </c>
      <c r="D396" t="s">
        <v>3552</v>
      </c>
      <c r="E396">
        <v>18</v>
      </c>
      <c r="F396" s="4" t="s">
        <v>3555</v>
      </c>
      <c r="G396" s="4">
        <v>0</v>
      </c>
      <c r="H396">
        <v>0</v>
      </c>
      <c r="I396" t="s">
        <v>448</v>
      </c>
      <c r="J396" s="6">
        <v>73.5</v>
      </c>
      <c r="K396" s="4" t="str">
        <f t="shared" si="6"/>
        <v>High</v>
      </c>
      <c r="L396" t="s">
        <v>3561</v>
      </c>
      <c r="M396" s="4" t="s">
        <v>3561</v>
      </c>
      <c r="N396" t="s">
        <v>457</v>
      </c>
      <c r="O396" t="s">
        <v>3569</v>
      </c>
      <c r="P396" s="4" t="s">
        <v>3573</v>
      </c>
      <c r="Q396" t="s">
        <v>3573</v>
      </c>
      <c r="R396" t="s">
        <v>456</v>
      </c>
    </row>
    <row r="397" spans="1:18">
      <c r="A397" t="s">
        <v>837</v>
      </c>
      <c r="B397" t="s">
        <v>9</v>
      </c>
      <c r="C397" t="s">
        <v>2646</v>
      </c>
      <c r="D397" t="s">
        <v>3551</v>
      </c>
      <c r="E397">
        <v>18</v>
      </c>
      <c r="F397" s="4" t="s">
        <v>3555</v>
      </c>
      <c r="G397" s="4">
        <v>1</v>
      </c>
      <c r="H397">
        <v>0</v>
      </c>
      <c r="I397">
        <v>231919</v>
      </c>
      <c r="J397" s="6">
        <v>23</v>
      </c>
      <c r="K397" s="4" t="str">
        <f t="shared" si="6"/>
        <v>Mid</v>
      </c>
      <c r="L397" t="s">
        <v>3561</v>
      </c>
      <c r="M397" s="4" t="s">
        <v>3561</v>
      </c>
      <c r="N397" t="s">
        <v>457</v>
      </c>
      <c r="O397" t="s">
        <v>3569</v>
      </c>
      <c r="P397" s="4" t="s">
        <v>3573</v>
      </c>
      <c r="Q397" t="s">
        <v>3573</v>
      </c>
      <c r="R397" t="s">
        <v>457</v>
      </c>
    </row>
    <row r="398" spans="1:18">
      <c r="A398" t="s">
        <v>837</v>
      </c>
      <c r="B398" t="s">
        <v>9</v>
      </c>
      <c r="C398" t="s">
        <v>2647</v>
      </c>
      <c r="D398" t="s">
        <v>3551</v>
      </c>
      <c r="E398">
        <v>34</v>
      </c>
      <c r="F398" s="4" t="s">
        <v>3557</v>
      </c>
      <c r="G398" s="4">
        <v>1</v>
      </c>
      <c r="H398">
        <v>0</v>
      </c>
      <c r="I398">
        <v>231919</v>
      </c>
      <c r="J398" s="6">
        <v>23</v>
      </c>
      <c r="K398" s="4" t="str">
        <f t="shared" si="6"/>
        <v>Mid</v>
      </c>
      <c r="L398" t="s">
        <v>3561</v>
      </c>
      <c r="M398" s="4" t="s">
        <v>3561</v>
      </c>
      <c r="N398" t="s">
        <v>457</v>
      </c>
      <c r="O398" t="s">
        <v>3569</v>
      </c>
      <c r="P398" s="4" t="s">
        <v>3573</v>
      </c>
      <c r="Q398" t="s">
        <v>3573</v>
      </c>
      <c r="R398" t="s">
        <v>457</v>
      </c>
    </row>
    <row r="399" spans="1:18">
      <c r="A399" t="s">
        <v>837</v>
      </c>
      <c r="B399" t="s">
        <v>840</v>
      </c>
      <c r="C399" t="s">
        <v>2648</v>
      </c>
      <c r="D399" t="s">
        <v>3552</v>
      </c>
      <c r="E399">
        <v>54</v>
      </c>
      <c r="F399" s="4" t="s">
        <v>3557</v>
      </c>
      <c r="G399" s="4">
        <v>0</v>
      </c>
      <c r="H399">
        <v>0</v>
      </c>
      <c r="I399">
        <v>28403</v>
      </c>
      <c r="J399" s="6">
        <v>26</v>
      </c>
      <c r="K399" s="4" t="str">
        <f t="shared" si="6"/>
        <v>Mid</v>
      </c>
      <c r="L399" t="s">
        <v>3561</v>
      </c>
      <c r="M399" s="4" t="s">
        <v>3561</v>
      </c>
      <c r="N399" t="s">
        <v>457</v>
      </c>
      <c r="O399" t="s">
        <v>3569</v>
      </c>
      <c r="P399" s="4" t="s">
        <v>3573</v>
      </c>
      <c r="Q399" t="s">
        <v>3573</v>
      </c>
      <c r="R399" t="s">
        <v>458</v>
      </c>
    </row>
    <row r="400" spans="1:18">
      <c r="A400" t="s">
        <v>837</v>
      </c>
      <c r="B400" t="s">
        <v>9</v>
      </c>
      <c r="C400" t="s">
        <v>2649</v>
      </c>
      <c r="D400" t="s">
        <v>3552</v>
      </c>
      <c r="E400">
        <v>8</v>
      </c>
      <c r="F400" s="4" t="s">
        <v>3556</v>
      </c>
      <c r="G400" s="4">
        <v>2</v>
      </c>
      <c r="H400">
        <v>0</v>
      </c>
      <c r="I400">
        <v>28220</v>
      </c>
      <c r="J400" s="6">
        <v>32.5</v>
      </c>
      <c r="K400" s="4" t="str">
        <f t="shared" si="6"/>
        <v>Mid</v>
      </c>
      <c r="L400" t="s">
        <v>3561</v>
      </c>
      <c r="M400" s="4" t="s">
        <v>3561</v>
      </c>
      <c r="N400" t="s">
        <v>457</v>
      </c>
      <c r="O400">
        <v>10</v>
      </c>
      <c r="P400" s="4" t="s">
        <v>3573</v>
      </c>
      <c r="Q400" t="s">
        <v>3573</v>
      </c>
      <c r="R400" t="s">
        <v>459</v>
      </c>
    </row>
    <row r="401" spans="1:18">
      <c r="A401" t="s">
        <v>837</v>
      </c>
      <c r="B401" t="s">
        <v>840</v>
      </c>
      <c r="C401" t="s">
        <v>2650</v>
      </c>
      <c r="D401" t="s">
        <v>3552</v>
      </c>
      <c r="E401">
        <v>42</v>
      </c>
      <c r="F401" s="4" t="s">
        <v>3557</v>
      </c>
      <c r="G401" s="4">
        <v>1</v>
      </c>
      <c r="H401">
        <v>1</v>
      </c>
      <c r="I401">
        <v>28220</v>
      </c>
      <c r="J401" s="6">
        <v>32.5</v>
      </c>
      <c r="K401" s="4" t="str">
        <f t="shared" si="6"/>
        <v>Mid</v>
      </c>
      <c r="L401" t="s">
        <v>3561</v>
      </c>
      <c r="M401" s="4" t="s">
        <v>3561</v>
      </c>
      <c r="N401" t="s">
        <v>457</v>
      </c>
      <c r="O401" t="s">
        <v>3569</v>
      </c>
      <c r="P401" s="4" t="s">
        <v>3573</v>
      </c>
      <c r="Q401" t="s">
        <v>3573</v>
      </c>
      <c r="R401" t="s">
        <v>459</v>
      </c>
    </row>
    <row r="402" spans="1:18">
      <c r="A402" t="s">
        <v>837</v>
      </c>
      <c r="B402" t="s">
        <v>9</v>
      </c>
      <c r="C402" t="s">
        <v>2651</v>
      </c>
      <c r="D402" t="s">
        <v>3551</v>
      </c>
      <c r="E402">
        <v>34</v>
      </c>
      <c r="F402" s="4" t="s">
        <v>3557</v>
      </c>
      <c r="G402" s="4">
        <v>1</v>
      </c>
      <c r="H402">
        <v>1</v>
      </c>
      <c r="I402">
        <v>28220</v>
      </c>
      <c r="J402" s="6">
        <v>32.5</v>
      </c>
      <c r="K402" s="4" t="str">
        <f t="shared" si="6"/>
        <v>Mid</v>
      </c>
      <c r="L402" t="s">
        <v>3561</v>
      </c>
      <c r="M402" s="4" t="s">
        <v>3561</v>
      </c>
      <c r="N402" t="s">
        <v>457</v>
      </c>
      <c r="O402">
        <v>10</v>
      </c>
      <c r="P402" s="4" t="s">
        <v>3573</v>
      </c>
      <c r="Q402" t="s">
        <v>3573</v>
      </c>
      <c r="R402" t="s">
        <v>459</v>
      </c>
    </row>
    <row r="403" spans="1:18">
      <c r="A403" t="s">
        <v>837</v>
      </c>
      <c r="B403" t="s">
        <v>9</v>
      </c>
      <c r="C403" t="s">
        <v>2652</v>
      </c>
      <c r="D403" t="s">
        <v>3551</v>
      </c>
      <c r="E403">
        <v>27</v>
      </c>
      <c r="F403" s="4" t="s">
        <v>3555</v>
      </c>
      <c r="G403" s="4">
        <v>0</v>
      </c>
      <c r="H403">
        <v>1</v>
      </c>
      <c r="I403" t="s">
        <v>460</v>
      </c>
      <c r="J403" s="6">
        <v>13.8583</v>
      </c>
      <c r="K403" s="4" t="str">
        <f t="shared" si="6"/>
        <v>Mid</v>
      </c>
      <c r="L403" t="s">
        <v>3561</v>
      </c>
      <c r="M403" s="4" t="s">
        <v>3561</v>
      </c>
      <c r="N403" t="s">
        <v>3566</v>
      </c>
      <c r="O403">
        <v>12</v>
      </c>
      <c r="P403" s="4" t="s">
        <v>3573</v>
      </c>
      <c r="Q403" t="s">
        <v>3573</v>
      </c>
      <c r="R403" t="s">
        <v>461</v>
      </c>
    </row>
    <row r="404" spans="1:18">
      <c r="A404" t="s">
        <v>837</v>
      </c>
      <c r="B404" t="s">
        <v>9</v>
      </c>
      <c r="C404" t="s">
        <v>2652</v>
      </c>
      <c r="D404" t="s">
        <v>3551</v>
      </c>
      <c r="E404">
        <v>30</v>
      </c>
      <c r="F404" s="4" t="s">
        <v>3557</v>
      </c>
      <c r="G404" s="4">
        <v>0</v>
      </c>
      <c r="H404">
        <v>1</v>
      </c>
      <c r="I404" t="s">
        <v>462</v>
      </c>
      <c r="J404" s="6">
        <v>13.8583</v>
      </c>
      <c r="K404" s="4" t="str">
        <f t="shared" si="6"/>
        <v>Mid</v>
      </c>
      <c r="L404" t="s">
        <v>3561</v>
      </c>
      <c r="M404" s="4" t="s">
        <v>3561</v>
      </c>
      <c r="N404" t="s">
        <v>3566</v>
      </c>
      <c r="O404">
        <v>12</v>
      </c>
      <c r="P404" s="4" t="s">
        <v>3573</v>
      </c>
      <c r="Q404" t="s">
        <v>3573</v>
      </c>
      <c r="R404" t="s">
        <v>461</v>
      </c>
    </row>
    <row r="405" spans="1:18">
      <c r="A405" t="s">
        <v>837</v>
      </c>
      <c r="B405" t="s">
        <v>840</v>
      </c>
      <c r="C405" t="s">
        <v>2653</v>
      </c>
      <c r="D405" t="s">
        <v>3552</v>
      </c>
      <c r="E405">
        <v>23</v>
      </c>
      <c r="F405" s="4" t="s">
        <v>3555</v>
      </c>
      <c r="G405" s="4">
        <v>0</v>
      </c>
      <c r="H405">
        <v>0</v>
      </c>
      <c r="I405">
        <v>29751</v>
      </c>
      <c r="J405" s="6">
        <v>13</v>
      </c>
      <c r="K405" s="4" t="str">
        <f t="shared" si="6"/>
        <v>Mid</v>
      </c>
      <c r="L405" t="s">
        <v>3561</v>
      </c>
      <c r="M405" s="4" t="s">
        <v>3561</v>
      </c>
      <c r="N405" t="s">
        <v>457</v>
      </c>
      <c r="O405" t="s">
        <v>3569</v>
      </c>
      <c r="P405" s="4" t="s">
        <v>3573</v>
      </c>
      <c r="Q405" t="s">
        <v>3573</v>
      </c>
      <c r="R405" t="s">
        <v>463</v>
      </c>
    </row>
    <row r="406" spans="1:18">
      <c r="A406" t="s">
        <v>837</v>
      </c>
      <c r="B406" t="s">
        <v>840</v>
      </c>
      <c r="C406" t="s">
        <v>2654</v>
      </c>
      <c r="D406" t="s">
        <v>3552</v>
      </c>
      <c r="E406">
        <v>21</v>
      </c>
      <c r="F406" s="4" t="s">
        <v>3555</v>
      </c>
      <c r="G406" s="4">
        <v>0</v>
      </c>
      <c r="H406">
        <v>0</v>
      </c>
      <c r="I406">
        <v>236854</v>
      </c>
      <c r="J406" s="6">
        <v>13</v>
      </c>
      <c r="K406" s="4" t="str">
        <f t="shared" si="6"/>
        <v>Mid</v>
      </c>
      <c r="L406" t="s">
        <v>3561</v>
      </c>
      <c r="M406" s="4" t="s">
        <v>3561</v>
      </c>
      <c r="N406" t="s">
        <v>457</v>
      </c>
      <c r="O406" t="s">
        <v>3569</v>
      </c>
      <c r="P406" s="4" t="s">
        <v>3573</v>
      </c>
      <c r="Q406" t="s">
        <v>3573</v>
      </c>
      <c r="R406" t="s">
        <v>464</v>
      </c>
    </row>
    <row r="407" spans="1:18">
      <c r="A407" t="s">
        <v>837</v>
      </c>
      <c r="B407" t="s">
        <v>840</v>
      </c>
      <c r="C407" t="s">
        <v>2655</v>
      </c>
      <c r="D407" t="s">
        <v>3552</v>
      </c>
      <c r="E407">
        <v>18</v>
      </c>
      <c r="F407" s="4" t="s">
        <v>3555</v>
      </c>
      <c r="G407" s="4">
        <v>0</v>
      </c>
      <c r="H407">
        <v>0</v>
      </c>
      <c r="I407">
        <v>236171</v>
      </c>
      <c r="J407" s="6">
        <v>13</v>
      </c>
      <c r="K407" s="4" t="str">
        <f t="shared" si="6"/>
        <v>Mid</v>
      </c>
      <c r="L407" t="s">
        <v>3561</v>
      </c>
      <c r="M407" s="4" t="s">
        <v>3561</v>
      </c>
      <c r="N407" t="s">
        <v>457</v>
      </c>
      <c r="O407" t="s">
        <v>3569</v>
      </c>
      <c r="P407" s="4" t="s">
        <v>3573</v>
      </c>
      <c r="Q407" t="s">
        <v>3573</v>
      </c>
      <c r="R407" t="s">
        <v>465</v>
      </c>
    </row>
    <row r="408" spans="1:18">
      <c r="A408" t="s">
        <v>837</v>
      </c>
      <c r="B408" t="s">
        <v>840</v>
      </c>
      <c r="C408" t="s">
        <v>2656</v>
      </c>
      <c r="D408" t="s">
        <v>3552</v>
      </c>
      <c r="E408">
        <v>40</v>
      </c>
      <c r="F408" s="4" t="s">
        <v>3557</v>
      </c>
      <c r="G408" s="4">
        <v>0</v>
      </c>
      <c r="H408">
        <v>1</v>
      </c>
      <c r="I408">
        <v>2926</v>
      </c>
      <c r="J408" s="6">
        <v>26</v>
      </c>
      <c r="K408" s="4" t="str">
        <f t="shared" si="6"/>
        <v>Mid</v>
      </c>
      <c r="L408" t="s">
        <v>3561</v>
      </c>
      <c r="M408" s="4" t="s">
        <v>3561</v>
      </c>
      <c r="N408" t="s">
        <v>457</v>
      </c>
      <c r="O408" t="s">
        <v>3569</v>
      </c>
      <c r="P408" s="4">
        <v>286</v>
      </c>
      <c r="Q408" t="s">
        <v>3574</v>
      </c>
      <c r="R408" t="s">
        <v>466</v>
      </c>
    </row>
    <row r="409" spans="1:18">
      <c r="A409" t="s">
        <v>837</v>
      </c>
      <c r="B409" t="s">
        <v>9</v>
      </c>
      <c r="C409" t="s">
        <v>2657</v>
      </c>
      <c r="D409" t="s">
        <v>3551</v>
      </c>
      <c r="E409">
        <v>29</v>
      </c>
      <c r="F409" s="4" t="s">
        <v>3555</v>
      </c>
      <c r="G409" s="4">
        <v>0</v>
      </c>
      <c r="H409">
        <v>1</v>
      </c>
      <c r="I409">
        <v>2926</v>
      </c>
      <c r="J409" s="6">
        <v>26</v>
      </c>
      <c r="K409" s="4" t="str">
        <f t="shared" si="6"/>
        <v>Mid</v>
      </c>
      <c r="L409" t="s">
        <v>3561</v>
      </c>
      <c r="M409" s="4" t="s">
        <v>3561</v>
      </c>
      <c r="N409" t="s">
        <v>457</v>
      </c>
      <c r="O409">
        <v>16</v>
      </c>
      <c r="P409" s="4" t="s">
        <v>3573</v>
      </c>
      <c r="Q409" t="s">
        <v>3573</v>
      </c>
    </row>
    <row r="410" spans="1:18">
      <c r="A410" t="s">
        <v>837</v>
      </c>
      <c r="B410" t="s">
        <v>840</v>
      </c>
      <c r="C410" t="s">
        <v>2658</v>
      </c>
      <c r="D410" t="s">
        <v>3552</v>
      </c>
      <c r="E410">
        <v>18</v>
      </c>
      <c r="F410" s="4" t="s">
        <v>3555</v>
      </c>
      <c r="G410" s="4">
        <v>0</v>
      </c>
      <c r="H410">
        <v>0</v>
      </c>
      <c r="I410" t="s">
        <v>467</v>
      </c>
      <c r="J410" s="6">
        <v>10.5</v>
      </c>
      <c r="K410" s="4" t="str">
        <f t="shared" si="6"/>
        <v>Mid</v>
      </c>
      <c r="L410" t="s">
        <v>3561</v>
      </c>
      <c r="M410" s="4" t="s">
        <v>3561</v>
      </c>
      <c r="N410" t="s">
        <v>457</v>
      </c>
      <c r="O410" t="s">
        <v>3569</v>
      </c>
      <c r="P410" s="4" t="s">
        <v>3573</v>
      </c>
      <c r="Q410" t="s">
        <v>3573</v>
      </c>
      <c r="R410" t="s">
        <v>468</v>
      </c>
    </row>
    <row r="411" spans="1:18">
      <c r="A411" t="s">
        <v>837</v>
      </c>
      <c r="B411" t="s">
        <v>840</v>
      </c>
      <c r="C411" t="s">
        <v>2659</v>
      </c>
      <c r="D411" t="s">
        <v>3552</v>
      </c>
      <c r="E411">
        <v>36</v>
      </c>
      <c r="F411" s="4" t="s">
        <v>3557</v>
      </c>
      <c r="G411" s="4">
        <v>0</v>
      </c>
      <c r="H411">
        <v>0</v>
      </c>
      <c r="I411">
        <v>229236</v>
      </c>
      <c r="J411" s="6">
        <v>13</v>
      </c>
      <c r="K411" s="4" t="str">
        <f t="shared" si="6"/>
        <v>Mid</v>
      </c>
      <c r="L411" t="s">
        <v>3561</v>
      </c>
      <c r="M411" s="4" t="s">
        <v>3561</v>
      </c>
      <c r="N411" t="s">
        <v>457</v>
      </c>
      <c r="O411" t="s">
        <v>3569</v>
      </c>
      <c r="P411" s="4">
        <v>236</v>
      </c>
      <c r="Q411" t="s">
        <v>3574</v>
      </c>
      <c r="R411" t="s">
        <v>418</v>
      </c>
    </row>
    <row r="412" spans="1:18">
      <c r="A412" t="s">
        <v>837</v>
      </c>
      <c r="B412" t="s">
        <v>840</v>
      </c>
      <c r="C412" t="s">
        <v>2660</v>
      </c>
      <c r="D412" t="s">
        <v>3552</v>
      </c>
      <c r="E412">
        <v>28</v>
      </c>
      <c r="F412" s="4" t="s">
        <v>3555</v>
      </c>
      <c r="G412" s="4">
        <v>0</v>
      </c>
      <c r="H412">
        <v>0</v>
      </c>
      <c r="I412">
        <v>239854</v>
      </c>
      <c r="J412" s="6">
        <v>0</v>
      </c>
      <c r="K412" s="4" t="str">
        <f t="shared" si="6"/>
        <v>Low</v>
      </c>
      <c r="L412" t="s">
        <v>3561</v>
      </c>
      <c r="M412" s="4" t="s">
        <v>3561</v>
      </c>
      <c r="N412" t="s">
        <v>457</v>
      </c>
      <c r="O412" t="s">
        <v>3569</v>
      </c>
      <c r="P412" s="4" t="s">
        <v>3573</v>
      </c>
      <c r="Q412" t="s">
        <v>3573</v>
      </c>
      <c r="R412" t="s">
        <v>305</v>
      </c>
    </row>
    <row r="413" spans="1:18">
      <c r="A413" t="s">
        <v>837</v>
      </c>
      <c r="B413" t="s">
        <v>840</v>
      </c>
      <c r="C413" t="s">
        <v>2661</v>
      </c>
      <c r="D413" t="s">
        <v>3551</v>
      </c>
      <c r="E413">
        <v>38</v>
      </c>
      <c r="F413" s="4" t="s">
        <v>3557</v>
      </c>
      <c r="G413" s="4">
        <v>0</v>
      </c>
      <c r="H413">
        <v>0</v>
      </c>
      <c r="I413">
        <v>237671</v>
      </c>
      <c r="J413" s="6">
        <v>13</v>
      </c>
      <c r="K413" s="4" t="str">
        <f t="shared" si="6"/>
        <v>Mid</v>
      </c>
      <c r="L413" t="s">
        <v>3561</v>
      </c>
      <c r="M413" s="4" t="s">
        <v>3561</v>
      </c>
      <c r="N413" t="s">
        <v>457</v>
      </c>
      <c r="O413" t="s">
        <v>3569</v>
      </c>
      <c r="P413" s="4" t="s">
        <v>3573</v>
      </c>
      <c r="Q413" t="s">
        <v>3573</v>
      </c>
      <c r="R413" t="s">
        <v>469</v>
      </c>
    </row>
    <row r="414" spans="1:18">
      <c r="A414" t="s">
        <v>837</v>
      </c>
      <c r="B414" t="s">
        <v>840</v>
      </c>
      <c r="C414" t="s">
        <v>2662</v>
      </c>
      <c r="D414" t="s">
        <v>3552</v>
      </c>
      <c r="E414">
        <v>35</v>
      </c>
      <c r="F414" s="4" t="s">
        <v>3557</v>
      </c>
      <c r="G414" s="4">
        <v>0</v>
      </c>
      <c r="H414">
        <v>0</v>
      </c>
      <c r="I414">
        <v>239865</v>
      </c>
      <c r="J414" s="6">
        <v>26</v>
      </c>
      <c r="K414" s="4" t="str">
        <f t="shared" si="6"/>
        <v>Mid</v>
      </c>
      <c r="L414" t="s">
        <v>3561</v>
      </c>
      <c r="M414" s="4" t="s">
        <v>3561</v>
      </c>
      <c r="N414" t="s">
        <v>457</v>
      </c>
      <c r="O414" t="s">
        <v>3569</v>
      </c>
      <c r="P414" s="4">
        <v>322</v>
      </c>
      <c r="Q414" t="s">
        <v>3574</v>
      </c>
      <c r="R414" t="s">
        <v>470</v>
      </c>
    </row>
    <row r="415" spans="1:18">
      <c r="A415" t="s">
        <v>837</v>
      </c>
      <c r="B415" t="s">
        <v>840</v>
      </c>
      <c r="C415" t="s">
        <v>2663</v>
      </c>
      <c r="D415" t="s">
        <v>3552</v>
      </c>
      <c r="E415">
        <v>38</v>
      </c>
      <c r="F415" s="4" t="s">
        <v>3557</v>
      </c>
      <c r="G415" s="4">
        <v>0</v>
      </c>
      <c r="H415">
        <v>1</v>
      </c>
      <c r="I415">
        <v>28664</v>
      </c>
      <c r="J415" s="6">
        <v>21</v>
      </c>
      <c r="K415" s="4" t="str">
        <f t="shared" si="6"/>
        <v>Mid</v>
      </c>
      <c r="L415" t="s">
        <v>3561</v>
      </c>
      <c r="M415" s="4" t="s">
        <v>3561</v>
      </c>
      <c r="N415" t="s">
        <v>457</v>
      </c>
      <c r="O415" t="s">
        <v>3569</v>
      </c>
      <c r="P415" s="4" t="s">
        <v>3573</v>
      </c>
      <c r="Q415" t="s">
        <v>3573</v>
      </c>
      <c r="R415" t="s">
        <v>471</v>
      </c>
    </row>
    <row r="416" spans="1:18">
      <c r="A416" t="s">
        <v>837</v>
      </c>
      <c r="B416" t="s">
        <v>840</v>
      </c>
      <c r="C416" t="s">
        <v>2664</v>
      </c>
      <c r="D416" t="s">
        <v>3552</v>
      </c>
      <c r="E416">
        <v>34</v>
      </c>
      <c r="F416" s="4" t="s">
        <v>3557</v>
      </c>
      <c r="G416" s="4">
        <v>0</v>
      </c>
      <c r="H416">
        <v>1</v>
      </c>
      <c r="I416">
        <v>28664</v>
      </c>
      <c r="J416" s="6">
        <v>21</v>
      </c>
      <c r="K416" s="4" t="str">
        <f t="shared" si="6"/>
        <v>Mid</v>
      </c>
      <c r="L416" t="s">
        <v>3561</v>
      </c>
      <c r="M416" s="4" t="s">
        <v>3561</v>
      </c>
      <c r="N416" t="s">
        <v>457</v>
      </c>
      <c r="O416" t="s">
        <v>3569</v>
      </c>
      <c r="P416" s="4" t="s">
        <v>3573</v>
      </c>
      <c r="Q416" t="s">
        <v>3573</v>
      </c>
      <c r="R416" t="s">
        <v>471</v>
      </c>
    </row>
    <row r="417" spans="1:18">
      <c r="A417" t="s">
        <v>837</v>
      </c>
      <c r="B417" t="s">
        <v>9</v>
      </c>
      <c r="C417" t="s">
        <v>2665</v>
      </c>
      <c r="D417" t="s">
        <v>3551</v>
      </c>
      <c r="E417">
        <v>34</v>
      </c>
      <c r="F417" s="4" t="s">
        <v>3557</v>
      </c>
      <c r="G417" s="4">
        <v>0</v>
      </c>
      <c r="H417">
        <v>0</v>
      </c>
      <c r="I417">
        <v>243880</v>
      </c>
      <c r="J417" s="6">
        <v>13</v>
      </c>
      <c r="K417" s="4" t="str">
        <f t="shared" si="6"/>
        <v>Mid</v>
      </c>
      <c r="L417" t="s">
        <v>3561</v>
      </c>
      <c r="M417" s="4" t="s">
        <v>3561</v>
      </c>
      <c r="N417" t="s">
        <v>457</v>
      </c>
      <c r="O417">
        <v>12</v>
      </c>
      <c r="P417" s="4" t="s">
        <v>3573</v>
      </c>
      <c r="Q417" t="s">
        <v>3573</v>
      </c>
      <c r="R417" t="s">
        <v>186</v>
      </c>
    </row>
    <row r="418" spans="1:18">
      <c r="A418" t="s">
        <v>837</v>
      </c>
      <c r="B418" t="s">
        <v>840</v>
      </c>
      <c r="C418" t="s">
        <v>2666</v>
      </c>
      <c r="D418" t="s">
        <v>3552</v>
      </c>
      <c r="E418">
        <v>16</v>
      </c>
      <c r="F418" s="4" t="s">
        <v>3560</v>
      </c>
      <c r="G418" s="4">
        <v>0</v>
      </c>
      <c r="H418">
        <v>0</v>
      </c>
      <c r="I418">
        <v>239865</v>
      </c>
      <c r="J418" s="6">
        <v>26</v>
      </c>
      <c r="K418" s="4" t="str">
        <f t="shared" si="6"/>
        <v>Mid</v>
      </c>
      <c r="L418" t="s">
        <v>3561</v>
      </c>
      <c r="M418" s="4" t="s">
        <v>3561</v>
      </c>
      <c r="N418" t="s">
        <v>457</v>
      </c>
      <c r="O418" t="s">
        <v>3569</v>
      </c>
      <c r="P418" s="4" t="s">
        <v>3573</v>
      </c>
      <c r="Q418" t="s">
        <v>3573</v>
      </c>
      <c r="R418" t="s">
        <v>470</v>
      </c>
    </row>
    <row r="419" spans="1:18">
      <c r="A419" t="s">
        <v>837</v>
      </c>
      <c r="B419" t="s">
        <v>840</v>
      </c>
      <c r="C419" t="s">
        <v>2667</v>
      </c>
      <c r="D419" t="s">
        <v>3552</v>
      </c>
      <c r="E419">
        <v>26</v>
      </c>
      <c r="F419" s="4" t="s">
        <v>3555</v>
      </c>
      <c r="G419" s="4">
        <v>0</v>
      </c>
      <c r="H419">
        <v>0</v>
      </c>
      <c r="I419">
        <v>31028</v>
      </c>
      <c r="J419" s="6">
        <v>10.5</v>
      </c>
      <c r="K419" s="4" t="str">
        <f t="shared" si="6"/>
        <v>Mid</v>
      </c>
      <c r="L419" t="s">
        <v>3561</v>
      </c>
      <c r="M419" s="4" t="s">
        <v>3561</v>
      </c>
      <c r="N419" t="s">
        <v>457</v>
      </c>
      <c r="O419" t="s">
        <v>3569</v>
      </c>
      <c r="P419" s="4" t="s">
        <v>3573</v>
      </c>
      <c r="Q419" t="s">
        <v>3573</v>
      </c>
      <c r="R419" t="s">
        <v>455</v>
      </c>
    </row>
    <row r="420" spans="1:18">
      <c r="A420" t="s">
        <v>837</v>
      </c>
      <c r="B420" t="s">
        <v>840</v>
      </c>
      <c r="C420" t="s">
        <v>2668</v>
      </c>
      <c r="D420" t="s">
        <v>3552</v>
      </c>
      <c r="E420">
        <v>47</v>
      </c>
      <c r="F420" s="4" t="s">
        <v>3557</v>
      </c>
      <c r="G420" s="4">
        <v>0</v>
      </c>
      <c r="H420">
        <v>0</v>
      </c>
      <c r="I420" t="s">
        <v>472</v>
      </c>
      <c r="J420" s="6">
        <v>10.5</v>
      </c>
      <c r="K420" s="4" t="str">
        <f t="shared" si="6"/>
        <v>Mid</v>
      </c>
      <c r="L420" t="s">
        <v>3561</v>
      </c>
      <c r="M420" s="4" t="s">
        <v>3561</v>
      </c>
      <c r="N420" t="s">
        <v>457</v>
      </c>
      <c r="O420" t="s">
        <v>3569</v>
      </c>
      <c r="P420" s="4" t="s">
        <v>3573</v>
      </c>
      <c r="Q420" t="s">
        <v>3573</v>
      </c>
      <c r="R420" t="s">
        <v>473</v>
      </c>
    </row>
    <row r="421" spans="1:18">
      <c r="A421" t="s">
        <v>837</v>
      </c>
      <c r="B421" t="s">
        <v>840</v>
      </c>
      <c r="C421" t="s">
        <v>2669</v>
      </c>
      <c r="D421" t="s">
        <v>3552</v>
      </c>
      <c r="E421">
        <v>21</v>
      </c>
      <c r="F421" s="4" t="s">
        <v>3555</v>
      </c>
      <c r="G421" s="4">
        <v>0</v>
      </c>
      <c r="H421">
        <v>1</v>
      </c>
      <c r="I421">
        <v>28133</v>
      </c>
      <c r="J421" s="6">
        <v>11.5</v>
      </c>
      <c r="K421" s="4" t="str">
        <f t="shared" si="6"/>
        <v>Mid</v>
      </c>
      <c r="L421" t="s">
        <v>3561</v>
      </c>
      <c r="M421" s="4" t="s">
        <v>3561</v>
      </c>
      <c r="N421" t="s">
        <v>457</v>
      </c>
      <c r="O421" t="s">
        <v>3569</v>
      </c>
      <c r="P421" s="4" t="s">
        <v>3573</v>
      </c>
      <c r="Q421" t="s">
        <v>3573</v>
      </c>
      <c r="R421" t="s">
        <v>474</v>
      </c>
    </row>
    <row r="422" spans="1:18">
      <c r="A422" t="s">
        <v>837</v>
      </c>
      <c r="B422" t="s">
        <v>840</v>
      </c>
      <c r="C422" t="s">
        <v>2670</v>
      </c>
      <c r="D422" t="s">
        <v>3552</v>
      </c>
      <c r="E422">
        <v>21</v>
      </c>
      <c r="F422" s="4" t="s">
        <v>3555</v>
      </c>
      <c r="G422" s="4">
        <v>0</v>
      </c>
      <c r="H422">
        <v>1</v>
      </c>
      <c r="I422">
        <v>28134</v>
      </c>
      <c r="J422" s="6">
        <v>11.5</v>
      </c>
      <c r="K422" s="4" t="str">
        <f t="shared" si="6"/>
        <v>Mid</v>
      </c>
      <c r="L422" t="s">
        <v>3561</v>
      </c>
      <c r="M422" s="4" t="s">
        <v>3561</v>
      </c>
      <c r="N422" t="s">
        <v>457</v>
      </c>
      <c r="O422" t="s">
        <v>3569</v>
      </c>
      <c r="P422" s="4" t="s">
        <v>3573</v>
      </c>
      <c r="Q422" t="s">
        <v>3573</v>
      </c>
      <c r="R422" t="s">
        <v>474</v>
      </c>
    </row>
    <row r="423" spans="1:18">
      <c r="A423" t="s">
        <v>837</v>
      </c>
      <c r="B423" t="s">
        <v>840</v>
      </c>
      <c r="C423" t="s">
        <v>2671</v>
      </c>
      <c r="D423" t="s">
        <v>3552</v>
      </c>
      <c r="E423">
        <v>24</v>
      </c>
      <c r="F423" s="4" t="s">
        <v>3555</v>
      </c>
      <c r="G423" s="4">
        <v>0</v>
      </c>
      <c r="H423">
        <v>0</v>
      </c>
      <c r="I423">
        <v>248726</v>
      </c>
      <c r="J423" s="6">
        <v>13.5</v>
      </c>
      <c r="K423" s="4" t="str">
        <f t="shared" si="6"/>
        <v>Mid</v>
      </c>
      <c r="L423" t="s">
        <v>3561</v>
      </c>
      <c r="M423" s="4" t="s">
        <v>3561</v>
      </c>
      <c r="N423" t="s">
        <v>457</v>
      </c>
      <c r="O423" t="s">
        <v>3569</v>
      </c>
      <c r="P423" s="4">
        <v>297</v>
      </c>
      <c r="Q423" t="s">
        <v>3574</v>
      </c>
      <c r="R423" t="s">
        <v>475</v>
      </c>
    </row>
    <row r="424" spans="1:18">
      <c r="A424" t="s">
        <v>837</v>
      </c>
      <c r="B424" t="s">
        <v>840</v>
      </c>
      <c r="C424" t="s">
        <v>2672</v>
      </c>
      <c r="D424" t="s">
        <v>3552</v>
      </c>
      <c r="E424">
        <v>24</v>
      </c>
      <c r="F424" s="4" t="s">
        <v>3555</v>
      </c>
      <c r="G424" s="4">
        <v>0</v>
      </c>
      <c r="H424">
        <v>0</v>
      </c>
      <c r="I424">
        <v>233866</v>
      </c>
      <c r="J424" s="6">
        <v>13</v>
      </c>
      <c r="K424" s="4" t="str">
        <f t="shared" si="6"/>
        <v>Mid</v>
      </c>
      <c r="L424" t="s">
        <v>3561</v>
      </c>
      <c r="M424" s="4" t="s">
        <v>3561</v>
      </c>
      <c r="N424" t="s">
        <v>457</v>
      </c>
      <c r="O424" t="s">
        <v>3569</v>
      </c>
      <c r="P424" s="4">
        <v>155</v>
      </c>
      <c r="Q424" t="s">
        <v>3574</v>
      </c>
      <c r="R424" t="s">
        <v>476</v>
      </c>
    </row>
    <row r="425" spans="1:18">
      <c r="A425" t="s">
        <v>837</v>
      </c>
      <c r="B425" t="s">
        <v>840</v>
      </c>
      <c r="C425" t="s">
        <v>2673</v>
      </c>
      <c r="D425" t="s">
        <v>3552</v>
      </c>
      <c r="E425">
        <v>34</v>
      </c>
      <c r="F425" s="4" t="s">
        <v>3557</v>
      </c>
      <c r="G425" s="4">
        <v>0</v>
      </c>
      <c r="H425">
        <v>0</v>
      </c>
      <c r="I425">
        <v>12233</v>
      </c>
      <c r="J425" s="6">
        <v>13</v>
      </c>
      <c r="K425" s="4" t="str">
        <f t="shared" si="6"/>
        <v>Mid</v>
      </c>
      <c r="L425" t="s">
        <v>3561</v>
      </c>
      <c r="M425" s="4" t="s">
        <v>3561</v>
      </c>
      <c r="N425" t="s">
        <v>457</v>
      </c>
      <c r="O425" t="s">
        <v>3569</v>
      </c>
      <c r="P425" s="4" t="s">
        <v>3573</v>
      </c>
      <c r="Q425" t="s">
        <v>3573</v>
      </c>
      <c r="R425" t="s">
        <v>279</v>
      </c>
    </row>
    <row r="426" spans="1:18">
      <c r="A426" t="s">
        <v>837</v>
      </c>
      <c r="B426" t="s">
        <v>840</v>
      </c>
      <c r="C426" t="s">
        <v>2674</v>
      </c>
      <c r="D426" t="s">
        <v>3552</v>
      </c>
      <c r="E426">
        <v>30</v>
      </c>
      <c r="F426" s="4" t="s">
        <v>3557</v>
      </c>
      <c r="G426" s="4">
        <v>0</v>
      </c>
      <c r="H426">
        <v>0</v>
      </c>
      <c r="I426">
        <v>250646</v>
      </c>
      <c r="J426" s="6">
        <v>13</v>
      </c>
      <c r="K426" s="4" t="str">
        <f t="shared" si="6"/>
        <v>Mid</v>
      </c>
      <c r="L426" t="s">
        <v>3561</v>
      </c>
      <c r="M426" s="4" t="s">
        <v>3561</v>
      </c>
      <c r="N426" t="s">
        <v>457</v>
      </c>
      <c r="O426" t="s">
        <v>3569</v>
      </c>
      <c r="P426" s="4">
        <v>305</v>
      </c>
      <c r="Q426" t="s">
        <v>3574</v>
      </c>
    </row>
    <row r="427" spans="1:18">
      <c r="A427" t="s">
        <v>837</v>
      </c>
      <c r="B427" t="s">
        <v>840</v>
      </c>
      <c r="C427" t="s">
        <v>2675</v>
      </c>
      <c r="D427" t="s">
        <v>3552</v>
      </c>
      <c r="E427">
        <v>52</v>
      </c>
      <c r="F427" s="4" t="s">
        <v>3557</v>
      </c>
      <c r="G427" s="4">
        <v>0</v>
      </c>
      <c r="H427">
        <v>0</v>
      </c>
      <c r="I427">
        <v>250647</v>
      </c>
      <c r="J427" s="6">
        <v>13</v>
      </c>
      <c r="K427" s="4" t="str">
        <f t="shared" si="6"/>
        <v>Mid</v>
      </c>
      <c r="L427" t="s">
        <v>3561</v>
      </c>
      <c r="M427" s="4" t="s">
        <v>3561</v>
      </c>
      <c r="N427" t="s">
        <v>457</v>
      </c>
      <c r="O427" t="s">
        <v>3569</v>
      </c>
      <c r="P427" s="4">
        <v>19</v>
      </c>
      <c r="Q427" t="s">
        <v>3574</v>
      </c>
      <c r="R427" t="s">
        <v>431</v>
      </c>
    </row>
    <row r="428" spans="1:18">
      <c r="A428" t="s">
        <v>837</v>
      </c>
      <c r="B428" t="s">
        <v>840</v>
      </c>
      <c r="C428" t="s">
        <v>2676</v>
      </c>
      <c r="D428" t="s">
        <v>3552</v>
      </c>
      <c r="E428">
        <v>30</v>
      </c>
      <c r="F428" s="4" t="s">
        <v>3557</v>
      </c>
      <c r="G428" s="4">
        <v>0</v>
      </c>
      <c r="H428">
        <v>0</v>
      </c>
      <c r="I428">
        <v>250653</v>
      </c>
      <c r="J428" s="6">
        <v>13</v>
      </c>
      <c r="K428" s="4" t="str">
        <f t="shared" si="6"/>
        <v>Mid</v>
      </c>
      <c r="L428" t="s">
        <v>3561</v>
      </c>
      <c r="M428" s="4" t="s">
        <v>3561</v>
      </c>
      <c r="N428" t="s">
        <v>457</v>
      </c>
      <c r="O428" t="s">
        <v>3569</v>
      </c>
      <c r="P428" s="4">
        <v>75</v>
      </c>
      <c r="Q428" t="s">
        <v>3574</v>
      </c>
      <c r="R428" t="s">
        <v>477</v>
      </c>
    </row>
    <row r="429" spans="1:18">
      <c r="A429" t="s">
        <v>837</v>
      </c>
      <c r="B429" t="s">
        <v>9</v>
      </c>
      <c r="C429" t="s">
        <v>2677</v>
      </c>
      <c r="D429" t="s">
        <v>3552</v>
      </c>
      <c r="E429">
        <v>1</v>
      </c>
      <c r="F429" s="4" t="s">
        <v>3556</v>
      </c>
      <c r="G429" s="4">
        <v>1</v>
      </c>
      <c r="H429">
        <v>1</v>
      </c>
      <c r="I429">
        <v>250649</v>
      </c>
      <c r="J429" s="6">
        <v>14.5</v>
      </c>
      <c r="K429" s="4" t="str">
        <f t="shared" si="6"/>
        <v>Mid</v>
      </c>
      <c r="L429" t="s">
        <v>3561</v>
      </c>
      <c r="M429" s="4" t="s">
        <v>3561</v>
      </c>
      <c r="N429" t="s">
        <v>457</v>
      </c>
      <c r="O429">
        <v>4</v>
      </c>
      <c r="P429" s="4" t="s">
        <v>3573</v>
      </c>
      <c r="Q429" t="s">
        <v>3573</v>
      </c>
      <c r="R429" t="s">
        <v>478</v>
      </c>
    </row>
    <row r="430" spans="1:18">
      <c r="A430" t="s">
        <v>837</v>
      </c>
      <c r="B430" t="s">
        <v>9</v>
      </c>
      <c r="C430" t="s">
        <v>2678</v>
      </c>
      <c r="D430" t="s">
        <v>3551</v>
      </c>
      <c r="E430">
        <v>24</v>
      </c>
      <c r="F430" s="4" t="s">
        <v>3555</v>
      </c>
      <c r="G430" s="4">
        <v>2</v>
      </c>
      <c r="H430">
        <v>0</v>
      </c>
      <c r="I430">
        <v>250649</v>
      </c>
      <c r="J430" s="6">
        <v>14.5</v>
      </c>
      <c r="K430" s="4" t="str">
        <f t="shared" si="6"/>
        <v>Mid</v>
      </c>
      <c r="L430" t="s">
        <v>3561</v>
      </c>
      <c r="M430" s="4" t="s">
        <v>3561</v>
      </c>
      <c r="N430" t="s">
        <v>457</v>
      </c>
      <c r="O430">
        <v>4</v>
      </c>
      <c r="P430" s="4" t="s">
        <v>3573</v>
      </c>
      <c r="Q430" t="s">
        <v>3573</v>
      </c>
      <c r="R430" t="s">
        <v>478</v>
      </c>
    </row>
    <row r="431" spans="1:18">
      <c r="A431" t="s">
        <v>837</v>
      </c>
      <c r="B431" t="s">
        <v>840</v>
      </c>
      <c r="C431" t="s">
        <v>2679</v>
      </c>
      <c r="D431" t="s">
        <v>3552</v>
      </c>
      <c r="E431">
        <v>44</v>
      </c>
      <c r="F431" s="4" t="s">
        <v>3557</v>
      </c>
      <c r="G431" s="4">
        <v>0</v>
      </c>
      <c r="H431">
        <v>0</v>
      </c>
      <c r="I431">
        <v>248746</v>
      </c>
      <c r="J431" s="6">
        <v>13</v>
      </c>
      <c r="K431" s="4" t="str">
        <f t="shared" si="6"/>
        <v>Mid</v>
      </c>
      <c r="L431" t="s">
        <v>3561</v>
      </c>
      <c r="M431" s="4" t="s">
        <v>3561</v>
      </c>
      <c r="N431" t="s">
        <v>457</v>
      </c>
      <c r="O431" t="s">
        <v>3569</v>
      </c>
      <c r="P431" s="4">
        <v>35</v>
      </c>
      <c r="Q431" t="s">
        <v>3574</v>
      </c>
      <c r="R431" t="s">
        <v>479</v>
      </c>
    </row>
    <row r="432" spans="1:18">
      <c r="A432" t="s">
        <v>837</v>
      </c>
      <c r="B432" t="s">
        <v>9</v>
      </c>
      <c r="C432" t="s">
        <v>2680</v>
      </c>
      <c r="D432" t="s">
        <v>3551</v>
      </c>
      <c r="E432">
        <v>6</v>
      </c>
      <c r="F432" s="4" t="s">
        <v>3556</v>
      </c>
      <c r="G432" s="4">
        <v>1</v>
      </c>
      <c r="H432">
        <v>0</v>
      </c>
      <c r="I432">
        <v>248727</v>
      </c>
      <c r="J432" s="6">
        <v>33</v>
      </c>
      <c r="K432" s="4" t="str">
        <f t="shared" si="6"/>
        <v>Mid</v>
      </c>
      <c r="L432" t="s">
        <v>3561</v>
      </c>
      <c r="M432" s="4" t="s">
        <v>3561</v>
      </c>
      <c r="N432" t="s">
        <v>457</v>
      </c>
      <c r="O432">
        <v>11</v>
      </c>
      <c r="P432" s="4" t="s">
        <v>3573</v>
      </c>
      <c r="Q432" t="s">
        <v>3573</v>
      </c>
      <c r="R432" t="s">
        <v>480</v>
      </c>
    </row>
    <row r="433" spans="1:18">
      <c r="A433" t="s">
        <v>837</v>
      </c>
      <c r="B433" t="s">
        <v>840</v>
      </c>
      <c r="C433" t="s">
        <v>2681</v>
      </c>
      <c r="D433" t="s">
        <v>3552</v>
      </c>
      <c r="E433">
        <v>28</v>
      </c>
      <c r="F433" s="4" t="s">
        <v>3555</v>
      </c>
      <c r="G433" s="4">
        <v>1</v>
      </c>
      <c r="H433">
        <v>0</v>
      </c>
      <c r="I433">
        <v>248727</v>
      </c>
      <c r="J433" s="6">
        <v>33</v>
      </c>
      <c r="K433" s="4" t="str">
        <f t="shared" si="6"/>
        <v>Mid</v>
      </c>
      <c r="L433" t="s">
        <v>3561</v>
      </c>
      <c r="M433" s="4" t="s">
        <v>3561</v>
      </c>
      <c r="N433" t="s">
        <v>457</v>
      </c>
      <c r="O433" t="s">
        <v>3569</v>
      </c>
      <c r="P433" s="4" t="s">
        <v>3573</v>
      </c>
      <c r="Q433" t="s">
        <v>3573</v>
      </c>
      <c r="R433" t="s">
        <v>480</v>
      </c>
    </row>
    <row r="434" spans="1:18">
      <c r="A434" t="s">
        <v>837</v>
      </c>
      <c r="B434" t="s">
        <v>9</v>
      </c>
      <c r="C434" t="s">
        <v>2682</v>
      </c>
      <c r="D434" t="s">
        <v>3552</v>
      </c>
      <c r="E434">
        <v>62</v>
      </c>
      <c r="F434" s="4" t="s">
        <v>3559</v>
      </c>
      <c r="G434" s="4">
        <v>0</v>
      </c>
      <c r="H434">
        <v>0</v>
      </c>
      <c r="I434" t="s">
        <v>481</v>
      </c>
      <c r="J434" s="6">
        <v>10.5</v>
      </c>
      <c r="K434" s="4" t="str">
        <f t="shared" si="6"/>
        <v>Mid</v>
      </c>
      <c r="L434" t="s">
        <v>3561</v>
      </c>
      <c r="M434" s="4" t="s">
        <v>3561</v>
      </c>
      <c r="N434" t="s">
        <v>457</v>
      </c>
      <c r="O434">
        <v>15</v>
      </c>
      <c r="P434" s="4" t="s">
        <v>3573</v>
      </c>
      <c r="Q434" t="s">
        <v>3573</v>
      </c>
      <c r="R434" t="s">
        <v>249</v>
      </c>
    </row>
    <row r="435" spans="1:18">
      <c r="A435" t="s">
        <v>837</v>
      </c>
      <c r="B435" t="s">
        <v>840</v>
      </c>
      <c r="C435" t="s">
        <v>2683</v>
      </c>
      <c r="D435" t="s">
        <v>3552</v>
      </c>
      <c r="E435">
        <v>30</v>
      </c>
      <c r="F435" s="4" t="s">
        <v>3557</v>
      </c>
      <c r="G435" s="4">
        <v>0</v>
      </c>
      <c r="H435">
        <v>0</v>
      </c>
      <c r="I435" t="s">
        <v>482</v>
      </c>
      <c r="J435" s="6">
        <v>10.5</v>
      </c>
      <c r="K435" s="4" t="str">
        <f t="shared" si="6"/>
        <v>Mid</v>
      </c>
      <c r="L435" t="s">
        <v>3561</v>
      </c>
      <c r="M435" s="4" t="s">
        <v>3561</v>
      </c>
      <c r="N435" t="s">
        <v>457</v>
      </c>
      <c r="O435" t="s">
        <v>3569</v>
      </c>
      <c r="P435" s="4" t="s">
        <v>3573</v>
      </c>
      <c r="Q435" t="s">
        <v>3573</v>
      </c>
      <c r="R435" t="s">
        <v>483</v>
      </c>
    </row>
    <row r="436" spans="1:18">
      <c r="A436" t="s">
        <v>837</v>
      </c>
      <c r="B436" t="s">
        <v>9</v>
      </c>
      <c r="C436" t="s">
        <v>2684</v>
      </c>
      <c r="D436" t="s">
        <v>3551</v>
      </c>
      <c r="E436">
        <v>7</v>
      </c>
      <c r="F436" s="4" t="s">
        <v>3556</v>
      </c>
      <c r="G436" s="4">
        <v>2</v>
      </c>
      <c r="H436">
        <v>0</v>
      </c>
      <c r="I436" t="s">
        <v>484</v>
      </c>
      <c r="J436" s="6">
        <v>26.25</v>
      </c>
      <c r="K436" s="4" t="str">
        <f t="shared" si="6"/>
        <v>Mid</v>
      </c>
      <c r="L436" t="s">
        <v>3561</v>
      </c>
      <c r="M436" s="4" t="s">
        <v>3561</v>
      </c>
      <c r="N436" t="s">
        <v>457</v>
      </c>
      <c r="O436">
        <v>14</v>
      </c>
      <c r="P436" s="4" t="s">
        <v>3573</v>
      </c>
      <c r="Q436" t="s">
        <v>3573</v>
      </c>
      <c r="R436" t="s">
        <v>485</v>
      </c>
    </row>
    <row r="437" spans="1:18">
      <c r="A437" t="s">
        <v>837</v>
      </c>
      <c r="B437" t="s">
        <v>840</v>
      </c>
      <c r="C437" t="s">
        <v>2685</v>
      </c>
      <c r="D437" t="s">
        <v>3552</v>
      </c>
      <c r="E437">
        <v>43</v>
      </c>
      <c r="F437" s="4" t="s">
        <v>3557</v>
      </c>
      <c r="G437" s="4">
        <v>1</v>
      </c>
      <c r="H437">
        <v>1</v>
      </c>
      <c r="I437" t="s">
        <v>484</v>
      </c>
      <c r="J437" s="6">
        <v>26.25</v>
      </c>
      <c r="K437" s="4" t="str">
        <f t="shared" si="6"/>
        <v>Mid</v>
      </c>
      <c r="L437" t="s">
        <v>3561</v>
      </c>
      <c r="M437" s="4" t="s">
        <v>3561</v>
      </c>
      <c r="N437" t="s">
        <v>457</v>
      </c>
      <c r="O437" t="s">
        <v>3569</v>
      </c>
      <c r="P437" s="4" t="s">
        <v>3573</v>
      </c>
      <c r="Q437" t="s">
        <v>3573</v>
      </c>
      <c r="R437" t="s">
        <v>485</v>
      </c>
    </row>
    <row r="438" spans="1:18">
      <c r="A438" t="s">
        <v>837</v>
      </c>
      <c r="B438" t="s">
        <v>9</v>
      </c>
      <c r="C438" t="s">
        <v>2686</v>
      </c>
      <c r="D438" t="s">
        <v>3551</v>
      </c>
      <c r="E438">
        <v>45</v>
      </c>
      <c r="F438" s="4" t="s">
        <v>3557</v>
      </c>
      <c r="G438" s="4">
        <v>1</v>
      </c>
      <c r="H438">
        <v>1</v>
      </c>
      <c r="I438" t="s">
        <v>484</v>
      </c>
      <c r="J438" s="6">
        <v>26.25</v>
      </c>
      <c r="K438" s="4" t="str">
        <f t="shared" si="6"/>
        <v>Mid</v>
      </c>
      <c r="L438" t="s">
        <v>3561</v>
      </c>
      <c r="M438" s="4" t="s">
        <v>3561</v>
      </c>
      <c r="N438" t="s">
        <v>457</v>
      </c>
      <c r="O438">
        <v>14</v>
      </c>
      <c r="P438" s="4" t="s">
        <v>3573</v>
      </c>
      <c r="Q438" t="s">
        <v>3573</v>
      </c>
      <c r="R438" t="s">
        <v>485</v>
      </c>
    </row>
    <row r="439" spans="1:18">
      <c r="A439" t="s">
        <v>837</v>
      </c>
      <c r="B439" t="s">
        <v>9</v>
      </c>
      <c r="C439" t="s">
        <v>2687</v>
      </c>
      <c r="D439" t="s">
        <v>3551</v>
      </c>
      <c r="E439">
        <v>24</v>
      </c>
      <c r="F439" s="4" t="s">
        <v>3555</v>
      </c>
      <c r="G439" s="4">
        <v>2</v>
      </c>
      <c r="H439">
        <v>1</v>
      </c>
      <c r="I439">
        <v>220845</v>
      </c>
      <c r="J439" s="6">
        <v>65</v>
      </c>
      <c r="K439" s="4" t="str">
        <f t="shared" si="6"/>
        <v>High</v>
      </c>
      <c r="L439" t="s">
        <v>3561</v>
      </c>
      <c r="M439" s="4" t="s">
        <v>3561</v>
      </c>
      <c r="N439" t="s">
        <v>457</v>
      </c>
      <c r="O439">
        <v>9</v>
      </c>
      <c r="P439" s="4" t="s">
        <v>3573</v>
      </c>
      <c r="Q439" t="s">
        <v>3573</v>
      </c>
      <c r="R439" t="s">
        <v>486</v>
      </c>
    </row>
    <row r="440" spans="1:18">
      <c r="A440" t="s">
        <v>837</v>
      </c>
      <c r="B440" t="s">
        <v>9</v>
      </c>
      <c r="C440" t="s">
        <v>2688</v>
      </c>
      <c r="D440" t="s">
        <v>3551</v>
      </c>
      <c r="E440">
        <v>24</v>
      </c>
      <c r="F440" s="4" t="s">
        <v>3555</v>
      </c>
      <c r="G440" s="4">
        <v>2</v>
      </c>
      <c r="H440">
        <v>1</v>
      </c>
      <c r="I440">
        <v>220845</v>
      </c>
      <c r="J440" s="6">
        <v>65</v>
      </c>
      <c r="K440" s="4" t="str">
        <f t="shared" si="6"/>
        <v>High</v>
      </c>
      <c r="L440" t="s">
        <v>3561</v>
      </c>
      <c r="M440" s="4" t="s">
        <v>3561</v>
      </c>
      <c r="N440" t="s">
        <v>457</v>
      </c>
      <c r="O440">
        <v>9</v>
      </c>
      <c r="P440" s="4" t="s">
        <v>3573</v>
      </c>
      <c r="Q440" t="s">
        <v>3573</v>
      </c>
      <c r="R440" t="s">
        <v>486</v>
      </c>
    </row>
    <row r="441" spans="1:18">
      <c r="A441" t="s">
        <v>837</v>
      </c>
      <c r="B441" t="s">
        <v>840</v>
      </c>
      <c r="C441" t="s">
        <v>2689</v>
      </c>
      <c r="D441" t="s">
        <v>3552</v>
      </c>
      <c r="E441">
        <v>49</v>
      </c>
      <c r="F441" s="4" t="s">
        <v>3557</v>
      </c>
      <c r="G441" s="4">
        <v>2</v>
      </c>
      <c r="H441">
        <v>1</v>
      </c>
      <c r="I441">
        <v>220845</v>
      </c>
      <c r="J441" s="6">
        <v>65</v>
      </c>
      <c r="K441" s="4" t="str">
        <f t="shared" si="6"/>
        <v>High</v>
      </c>
      <c r="L441" t="s">
        <v>3561</v>
      </c>
      <c r="M441" s="4" t="s">
        <v>3561</v>
      </c>
      <c r="N441" t="s">
        <v>457</v>
      </c>
      <c r="O441" t="s">
        <v>3569</v>
      </c>
      <c r="P441" s="4" t="s">
        <v>3573</v>
      </c>
      <c r="Q441" t="s">
        <v>3573</v>
      </c>
      <c r="R441" t="s">
        <v>486</v>
      </c>
    </row>
    <row r="442" spans="1:18">
      <c r="A442" t="s">
        <v>837</v>
      </c>
      <c r="B442" t="s">
        <v>9</v>
      </c>
      <c r="C442" t="s">
        <v>2690</v>
      </c>
      <c r="D442" t="s">
        <v>3551</v>
      </c>
      <c r="E442">
        <v>48</v>
      </c>
      <c r="F442" s="4" t="s">
        <v>3557</v>
      </c>
      <c r="G442" s="4">
        <v>2</v>
      </c>
      <c r="H442">
        <v>1</v>
      </c>
      <c r="I442">
        <v>220845</v>
      </c>
      <c r="J442" s="6">
        <v>65</v>
      </c>
      <c r="K442" s="4" t="str">
        <f t="shared" si="6"/>
        <v>High</v>
      </c>
      <c r="L442" t="s">
        <v>3561</v>
      </c>
      <c r="M442" s="4" t="s">
        <v>3561</v>
      </c>
      <c r="N442" t="s">
        <v>457</v>
      </c>
      <c r="O442">
        <v>9</v>
      </c>
      <c r="P442" s="4" t="s">
        <v>3573</v>
      </c>
      <c r="Q442" t="s">
        <v>3573</v>
      </c>
      <c r="R442" t="s">
        <v>486</v>
      </c>
    </row>
    <row r="443" spans="1:18">
      <c r="A443" t="s">
        <v>837</v>
      </c>
      <c r="B443" t="s">
        <v>9</v>
      </c>
      <c r="C443" t="s">
        <v>2691</v>
      </c>
      <c r="D443" t="s">
        <v>3551</v>
      </c>
      <c r="E443">
        <v>55</v>
      </c>
      <c r="F443" s="4" t="s">
        <v>3557</v>
      </c>
      <c r="G443" s="4">
        <v>0</v>
      </c>
      <c r="H443">
        <v>0</v>
      </c>
      <c r="I443">
        <v>248706</v>
      </c>
      <c r="J443" s="6">
        <v>16</v>
      </c>
      <c r="K443" s="4" t="str">
        <f t="shared" si="6"/>
        <v>Mid</v>
      </c>
      <c r="L443" t="s">
        <v>3561</v>
      </c>
      <c r="M443" s="4" t="s">
        <v>3561</v>
      </c>
      <c r="N443" t="s">
        <v>457</v>
      </c>
      <c r="O443">
        <v>13</v>
      </c>
      <c r="P443" s="4" t="s">
        <v>3573</v>
      </c>
      <c r="Q443" t="s">
        <v>3573</v>
      </c>
      <c r="R443" t="s">
        <v>487</v>
      </c>
    </row>
    <row r="444" spans="1:18">
      <c r="A444" t="s">
        <v>837</v>
      </c>
      <c r="B444" t="s">
        <v>840</v>
      </c>
      <c r="C444" t="s">
        <v>2692</v>
      </c>
      <c r="D444" t="s">
        <v>3552</v>
      </c>
      <c r="E444">
        <v>24</v>
      </c>
      <c r="F444" s="4" t="s">
        <v>3555</v>
      </c>
      <c r="G444" s="4">
        <v>0</v>
      </c>
      <c r="H444">
        <v>2</v>
      </c>
      <c r="I444" t="s">
        <v>448</v>
      </c>
      <c r="J444" s="6">
        <v>73.5</v>
      </c>
      <c r="K444" s="4" t="str">
        <f t="shared" si="6"/>
        <v>High</v>
      </c>
      <c r="L444" t="s">
        <v>3561</v>
      </c>
      <c r="M444" s="4" t="s">
        <v>3561</v>
      </c>
      <c r="N444" t="s">
        <v>457</v>
      </c>
      <c r="O444" t="s">
        <v>3569</v>
      </c>
      <c r="P444" s="4" t="s">
        <v>3573</v>
      </c>
      <c r="Q444" t="s">
        <v>3573</v>
      </c>
      <c r="R444" t="s">
        <v>488</v>
      </c>
    </row>
    <row r="445" spans="1:18">
      <c r="A445" t="s">
        <v>837</v>
      </c>
      <c r="B445" t="s">
        <v>840</v>
      </c>
      <c r="C445" t="s">
        <v>2693</v>
      </c>
      <c r="D445" t="s">
        <v>3552</v>
      </c>
      <c r="E445">
        <v>32</v>
      </c>
      <c r="F445" s="4" t="s">
        <v>3557</v>
      </c>
      <c r="G445" s="4">
        <v>0</v>
      </c>
      <c r="H445">
        <v>2</v>
      </c>
      <c r="I445" t="s">
        <v>448</v>
      </c>
      <c r="J445" s="6">
        <v>73.5</v>
      </c>
      <c r="K445" s="4" t="str">
        <f t="shared" si="6"/>
        <v>High</v>
      </c>
      <c r="L445" t="s">
        <v>3561</v>
      </c>
      <c r="M445" s="4" t="s">
        <v>3561</v>
      </c>
      <c r="N445" t="s">
        <v>457</v>
      </c>
      <c r="O445" t="s">
        <v>3569</v>
      </c>
      <c r="P445" s="4">
        <v>256</v>
      </c>
      <c r="Q445" t="s">
        <v>3574</v>
      </c>
      <c r="R445" t="s">
        <v>488</v>
      </c>
    </row>
    <row r="446" spans="1:18">
      <c r="A446" t="s">
        <v>837</v>
      </c>
      <c r="B446" t="s">
        <v>840</v>
      </c>
      <c r="C446" t="s">
        <v>2694</v>
      </c>
      <c r="D446" t="s">
        <v>3552</v>
      </c>
      <c r="E446">
        <v>21</v>
      </c>
      <c r="F446" s="4" t="s">
        <v>3555</v>
      </c>
      <c r="G446" s="4">
        <v>0</v>
      </c>
      <c r="H446">
        <v>2</v>
      </c>
      <c r="I446" t="s">
        <v>448</v>
      </c>
      <c r="J446" s="6">
        <v>73.5</v>
      </c>
      <c r="K446" s="4" t="str">
        <f t="shared" si="6"/>
        <v>High</v>
      </c>
      <c r="L446" t="s">
        <v>3561</v>
      </c>
      <c r="M446" s="4" t="s">
        <v>3561</v>
      </c>
      <c r="N446" t="s">
        <v>457</v>
      </c>
      <c r="O446" t="s">
        <v>3569</v>
      </c>
      <c r="P446" s="4" t="s">
        <v>3573</v>
      </c>
      <c r="Q446" t="s">
        <v>3573</v>
      </c>
      <c r="R446" t="s">
        <v>488</v>
      </c>
    </row>
    <row r="447" spans="1:18">
      <c r="A447" t="s">
        <v>837</v>
      </c>
      <c r="B447" t="s">
        <v>840</v>
      </c>
      <c r="C447" t="s">
        <v>2695</v>
      </c>
      <c r="D447" t="s">
        <v>3551</v>
      </c>
      <c r="E447">
        <v>18</v>
      </c>
      <c r="F447" s="4" t="s">
        <v>3555</v>
      </c>
      <c r="G447" s="4">
        <v>1</v>
      </c>
      <c r="H447">
        <v>1</v>
      </c>
      <c r="I447">
        <v>250650</v>
      </c>
      <c r="J447" s="6">
        <v>13</v>
      </c>
      <c r="K447" s="4" t="str">
        <f t="shared" si="6"/>
        <v>Mid</v>
      </c>
      <c r="L447" t="s">
        <v>3561</v>
      </c>
      <c r="M447" s="4" t="s">
        <v>3561</v>
      </c>
      <c r="N447" t="s">
        <v>457</v>
      </c>
      <c r="O447" t="s">
        <v>3569</v>
      </c>
      <c r="P447" s="4" t="s">
        <v>3573</v>
      </c>
      <c r="Q447" t="s">
        <v>3573</v>
      </c>
      <c r="R447" t="s">
        <v>489</v>
      </c>
    </row>
    <row r="448" spans="1:18">
      <c r="A448" t="s">
        <v>837</v>
      </c>
      <c r="B448" t="s">
        <v>9</v>
      </c>
      <c r="C448" t="s">
        <v>2696</v>
      </c>
      <c r="D448" t="s">
        <v>3551</v>
      </c>
      <c r="E448">
        <v>20</v>
      </c>
      <c r="F448" s="4" t="s">
        <v>3555</v>
      </c>
      <c r="G448" s="4">
        <v>1</v>
      </c>
      <c r="H448">
        <v>2</v>
      </c>
      <c r="I448">
        <v>29105</v>
      </c>
      <c r="J448" s="6">
        <v>23</v>
      </c>
      <c r="K448" s="4" t="str">
        <f t="shared" si="6"/>
        <v>Mid</v>
      </c>
      <c r="L448" t="s">
        <v>3561</v>
      </c>
      <c r="M448" s="4" t="s">
        <v>3561</v>
      </c>
      <c r="N448" t="s">
        <v>457</v>
      </c>
      <c r="O448">
        <v>4</v>
      </c>
      <c r="P448" s="4" t="s">
        <v>3573</v>
      </c>
      <c r="Q448" t="s">
        <v>3573</v>
      </c>
      <c r="R448" t="s">
        <v>490</v>
      </c>
    </row>
    <row r="449" spans="1:18">
      <c r="A449" t="s">
        <v>837</v>
      </c>
      <c r="B449" t="s">
        <v>840</v>
      </c>
      <c r="C449" t="s">
        <v>2697</v>
      </c>
      <c r="D449" t="s">
        <v>3552</v>
      </c>
      <c r="E449">
        <v>23</v>
      </c>
      <c r="F449" s="4" t="s">
        <v>3555</v>
      </c>
      <c r="G449" s="4">
        <v>1</v>
      </c>
      <c r="H449">
        <v>2</v>
      </c>
      <c r="I449">
        <v>29104</v>
      </c>
      <c r="J449" s="6">
        <v>11.5</v>
      </c>
      <c r="K449" s="4" t="str">
        <f t="shared" si="6"/>
        <v>Mid</v>
      </c>
      <c r="L449" t="s">
        <v>3561</v>
      </c>
      <c r="M449" s="4" t="s">
        <v>3561</v>
      </c>
      <c r="N449" t="s">
        <v>457</v>
      </c>
      <c r="O449" t="s">
        <v>3569</v>
      </c>
      <c r="P449" s="4" t="s">
        <v>3573</v>
      </c>
      <c r="Q449" t="s">
        <v>3573</v>
      </c>
      <c r="R449" t="s">
        <v>490</v>
      </c>
    </row>
    <row r="450" spans="1:18">
      <c r="A450" t="s">
        <v>837</v>
      </c>
      <c r="B450" t="s">
        <v>840</v>
      </c>
      <c r="C450" t="s">
        <v>2698</v>
      </c>
      <c r="D450" t="s">
        <v>3552</v>
      </c>
      <c r="E450">
        <v>36</v>
      </c>
      <c r="F450" s="4" t="s">
        <v>3557</v>
      </c>
      <c r="G450" s="4">
        <v>0</v>
      </c>
      <c r="H450">
        <v>0</v>
      </c>
      <c r="I450">
        <v>242963</v>
      </c>
      <c r="J450" s="6">
        <v>13</v>
      </c>
      <c r="K450" s="4" t="str">
        <f t="shared" si="6"/>
        <v>Mid</v>
      </c>
      <c r="L450" t="s">
        <v>3561</v>
      </c>
      <c r="M450" s="4" t="s">
        <v>3561</v>
      </c>
      <c r="N450" t="s">
        <v>457</v>
      </c>
      <c r="O450" t="s">
        <v>3569</v>
      </c>
      <c r="P450" s="4" t="s">
        <v>3573</v>
      </c>
      <c r="Q450" t="s">
        <v>3573</v>
      </c>
      <c r="R450" t="s">
        <v>491</v>
      </c>
    </row>
    <row r="451" spans="1:18">
      <c r="A451" t="s">
        <v>837</v>
      </c>
      <c r="B451" t="s">
        <v>9</v>
      </c>
      <c r="C451" t="s">
        <v>2699</v>
      </c>
      <c r="D451" t="s">
        <v>3551</v>
      </c>
      <c r="E451">
        <v>54</v>
      </c>
      <c r="F451" s="4" t="s">
        <v>3557</v>
      </c>
      <c r="G451" s="4">
        <v>3</v>
      </c>
      <c r="H451">
        <v>1</v>
      </c>
      <c r="I451">
        <v>29105</v>
      </c>
      <c r="J451" s="6">
        <v>23</v>
      </c>
      <c r="K451" s="4" t="str">
        <f t="shared" ref="K451:K514" si="7">IF(J451&lt;=10,"Low",IF(J451&lt;=50,"Mid","High"))</f>
        <v>Mid</v>
      </c>
      <c r="L451" t="s">
        <v>3561</v>
      </c>
      <c r="M451" s="4" t="s">
        <v>3561</v>
      </c>
      <c r="N451" t="s">
        <v>457</v>
      </c>
      <c r="O451">
        <v>4</v>
      </c>
      <c r="P451" s="4" t="s">
        <v>3573</v>
      </c>
      <c r="Q451" t="s">
        <v>3573</v>
      </c>
      <c r="R451" t="s">
        <v>490</v>
      </c>
    </row>
    <row r="452" spans="1:18">
      <c r="A452" t="s">
        <v>837</v>
      </c>
      <c r="B452" t="s">
        <v>840</v>
      </c>
      <c r="C452" t="s">
        <v>2700</v>
      </c>
      <c r="D452" t="s">
        <v>3552</v>
      </c>
      <c r="E452">
        <v>50</v>
      </c>
      <c r="F452" s="4" t="s">
        <v>3557</v>
      </c>
      <c r="G452" s="4">
        <v>0</v>
      </c>
      <c r="H452">
        <v>0</v>
      </c>
      <c r="I452">
        <v>250643</v>
      </c>
      <c r="J452" s="6">
        <v>13</v>
      </c>
      <c r="K452" s="4" t="str">
        <f t="shared" si="7"/>
        <v>Mid</v>
      </c>
      <c r="L452" t="s">
        <v>3561</v>
      </c>
      <c r="M452" s="4" t="s">
        <v>3561</v>
      </c>
      <c r="N452" t="s">
        <v>457</v>
      </c>
      <c r="O452" t="s">
        <v>3569</v>
      </c>
      <c r="P452" s="4">
        <v>149</v>
      </c>
      <c r="Q452" t="s">
        <v>3574</v>
      </c>
      <c r="R452" t="s">
        <v>457</v>
      </c>
    </row>
    <row r="453" spans="1:18">
      <c r="A453" t="s">
        <v>837</v>
      </c>
      <c r="B453" t="s">
        <v>840</v>
      </c>
      <c r="C453" t="s">
        <v>2701</v>
      </c>
      <c r="D453" t="s">
        <v>3552</v>
      </c>
      <c r="E453">
        <v>44</v>
      </c>
      <c r="F453" s="4" t="s">
        <v>3557</v>
      </c>
      <c r="G453" s="4">
        <v>0</v>
      </c>
      <c r="H453">
        <v>1</v>
      </c>
      <c r="I453">
        <v>26707</v>
      </c>
      <c r="J453" s="6">
        <v>26</v>
      </c>
      <c r="K453" s="4" t="str">
        <f t="shared" si="7"/>
        <v>Mid</v>
      </c>
      <c r="L453" t="s">
        <v>3561</v>
      </c>
      <c r="M453" s="4" t="s">
        <v>3561</v>
      </c>
      <c r="N453" t="s">
        <v>457</v>
      </c>
      <c r="O453" t="s">
        <v>3569</v>
      </c>
      <c r="P453" s="4" t="s">
        <v>3573</v>
      </c>
      <c r="Q453" t="s">
        <v>3573</v>
      </c>
      <c r="R453" t="s">
        <v>492</v>
      </c>
    </row>
    <row r="454" spans="1:18">
      <c r="A454" t="s">
        <v>837</v>
      </c>
      <c r="B454" t="s">
        <v>9</v>
      </c>
      <c r="C454" t="s">
        <v>2702</v>
      </c>
      <c r="D454" t="s">
        <v>3551</v>
      </c>
      <c r="E454">
        <v>29</v>
      </c>
      <c r="F454" s="4" t="s">
        <v>3555</v>
      </c>
      <c r="G454" s="4">
        <v>0</v>
      </c>
      <c r="H454">
        <v>1</v>
      </c>
      <c r="I454">
        <v>26707</v>
      </c>
      <c r="J454" s="6">
        <v>26</v>
      </c>
      <c r="K454" s="4" t="str">
        <f t="shared" si="7"/>
        <v>Mid</v>
      </c>
      <c r="L454" t="s">
        <v>3561</v>
      </c>
      <c r="M454" s="4" t="s">
        <v>3561</v>
      </c>
      <c r="N454" t="s">
        <v>457</v>
      </c>
      <c r="O454">
        <v>10</v>
      </c>
      <c r="P454" s="4" t="s">
        <v>3573</v>
      </c>
      <c r="Q454" t="s">
        <v>3573</v>
      </c>
      <c r="R454" t="s">
        <v>492</v>
      </c>
    </row>
    <row r="455" spans="1:18">
      <c r="A455" t="s">
        <v>837</v>
      </c>
      <c r="B455" t="s">
        <v>840</v>
      </c>
      <c r="C455" t="s">
        <v>2703</v>
      </c>
      <c r="D455" t="s">
        <v>3552</v>
      </c>
      <c r="E455">
        <v>21</v>
      </c>
      <c r="F455" s="4" t="s">
        <v>3555</v>
      </c>
      <c r="G455" s="4">
        <v>0</v>
      </c>
      <c r="H455">
        <v>0</v>
      </c>
      <c r="I455" t="s">
        <v>448</v>
      </c>
      <c r="J455" s="6">
        <v>73.5</v>
      </c>
      <c r="K455" s="4" t="str">
        <f t="shared" si="7"/>
        <v>High</v>
      </c>
      <c r="L455" t="s">
        <v>3561</v>
      </c>
      <c r="M455" s="4" t="s">
        <v>3561</v>
      </c>
      <c r="N455" t="s">
        <v>457</v>
      </c>
      <c r="O455" t="s">
        <v>3569</v>
      </c>
      <c r="P455" s="4" t="s">
        <v>3573</v>
      </c>
      <c r="Q455" t="s">
        <v>3573</v>
      </c>
      <c r="R455" t="s">
        <v>456</v>
      </c>
    </row>
    <row r="456" spans="1:18">
      <c r="A456" t="s">
        <v>837</v>
      </c>
      <c r="B456" t="s">
        <v>9</v>
      </c>
      <c r="C456" t="s">
        <v>2704</v>
      </c>
      <c r="D456" t="s">
        <v>3552</v>
      </c>
      <c r="E456">
        <v>42</v>
      </c>
      <c r="F456" s="4" t="s">
        <v>3557</v>
      </c>
      <c r="G456" s="4">
        <v>0</v>
      </c>
      <c r="H456">
        <v>0</v>
      </c>
      <c r="I456">
        <v>237798</v>
      </c>
      <c r="J456" s="6">
        <v>13</v>
      </c>
      <c r="K456" s="4" t="str">
        <f t="shared" si="7"/>
        <v>Mid</v>
      </c>
      <c r="L456" t="s">
        <v>3561</v>
      </c>
      <c r="M456" s="4" t="s">
        <v>3561</v>
      </c>
      <c r="N456" t="s">
        <v>457</v>
      </c>
      <c r="O456">
        <v>10</v>
      </c>
      <c r="P456" s="4" t="s">
        <v>3573</v>
      </c>
      <c r="Q456" t="s">
        <v>3573</v>
      </c>
      <c r="R456" t="s">
        <v>493</v>
      </c>
    </row>
    <row r="457" spans="1:18">
      <c r="A457" t="s">
        <v>837</v>
      </c>
      <c r="B457" t="s">
        <v>840</v>
      </c>
      <c r="C457" t="s">
        <v>2705</v>
      </c>
      <c r="D457" t="s">
        <v>3552</v>
      </c>
      <c r="E457">
        <v>63</v>
      </c>
      <c r="F457" s="4" t="s">
        <v>3559</v>
      </c>
      <c r="G457" s="4">
        <v>0</v>
      </c>
      <c r="H457">
        <v>1</v>
      </c>
      <c r="I457">
        <v>24065</v>
      </c>
      <c r="J457" s="6">
        <v>26</v>
      </c>
      <c r="K457" s="4" t="str">
        <f t="shared" si="7"/>
        <v>Mid</v>
      </c>
      <c r="L457" t="s">
        <v>3561</v>
      </c>
      <c r="M457" s="4" t="s">
        <v>3561</v>
      </c>
      <c r="N457" t="s">
        <v>457</v>
      </c>
      <c r="O457" t="s">
        <v>3569</v>
      </c>
      <c r="P457" s="4" t="s">
        <v>3573</v>
      </c>
      <c r="Q457" t="s">
        <v>3573</v>
      </c>
      <c r="R457" t="s">
        <v>494</v>
      </c>
    </row>
    <row r="458" spans="1:18">
      <c r="A458" t="s">
        <v>837</v>
      </c>
      <c r="B458" t="s">
        <v>840</v>
      </c>
      <c r="C458" t="s">
        <v>2706</v>
      </c>
      <c r="D458" t="s">
        <v>3551</v>
      </c>
      <c r="E458">
        <v>60</v>
      </c>
      <c r="F458" s="4" t="s">
        <v>3559</v>
      </c>
      <c r="G458" s="4">
        <v>0</v>
      </c>
      <c r="H458">
        <v>1</v>
      </c>
      <c r="I458">
        <v>24065</v>
      </c>
      <c r="J458" s="6">
        <v>26</v>
      </c>
      <c r="K458" s="4" t="str">
        <f t="shared" si="7"/>
        <v>Mid</v>
      </c>
      <c r="L458" t="s">
        <v>3561</v>
      </c>
      <c r="M458" s="4" t="s">
        <v>3561</v>
      </c>
      <c r="N458" t="s">
        <v>457</v>
      </c>
      <c r="O458" t="s">
        <v>3569</v>
      </c>
      <c r="P458" s="4" t="s">
        <v>3573</v>
      </c>
      <c r="Q458" t="s">
        <v>3573</v>
      </c>
      <c r="R458" t="s">
        <v>494</v>
      </c>
    </row>
    <row r="459" spans="1:18">
      <c r="A459" t="s">
        <v>837</v>
      </c>
      <c r="B459" t="s">
        <v>840</v>
      </c>
      <c r="C459" t="s">
        <v>2707</v>
      </c>
      <c r="D459" t="s">
        <v>3552</v>
      </c>
      <c r="E459">
        <v>33</v>
      </c>
      <c r="F459" s="4" t="s">
        <v>3557</v>
      </c>
      <c r="G459" s="4">
        <v>0</v>
      </c>
      <c r="H459">
        <v>0</v>
      </c>
      <c r="I459" t="s">
        <v>495</v>
      </c>
      <c r="J459" s="6">
        <v>12.275</v>
      </c>
      <c r="K459" s="4" t="str">
        <f t="shared" si="7"/>
        <v>Mid</v>
      </c>
      <c r="L459" t="s">
        <v>3561</v>
      </c>
      <c r="M459" s="4" t="s">
        <v>3561</v>
      </c>
      <c r="N459" t="s">
        <v>457</v>
      </c>
      <c r="O459" t="s">
        <v>3569</v>
      </c>
      <c r="P459" s="4" t="s">
        <v>3573</v>
      </c>
      <c r="Q459" t="s">
        <v>3573</v>
      </c>
      <c r="R459" t="s">
        <v>111</v>
      </c>
    </row>
    <row r="460" spans="1:18">
      <c r="A460" t="s">
        <v>837</v>
      </c>
      <c r="B460" t="s">
        <v>9</v>
      </c>
      <c r="C460" t="s">
        <v>2708</v>
      </c>
      <c r="D460" t="s">
        <v>3551</v>
      </c>
      <c r="E460">
        <v>17</v>
      </c>
      <c r="F460" s="4" t="s">
        <v>3560</v>
      </c>
      <c r="G460" s="4">
        <v>0</v>
      </c>
      <c r="H460">
        <v>0</v>
      </c>
      <c r="I460" t="s">
        <v>496</v>
      </c>
      <c r="J460" s="6">
        <v>10.5</v>
      </c>
      <c r="K460" s="4" t="str">
        <f t="shared" si="7"/>
        <v>Mid</v>
      </c>
      <c r="L460" t="s">
        <v>3561</v>
      </c>
      <c r="M460" s="4" t="s">
        <v>3561</v>
      </c>
      <c r="N460" t="s">
        <v>457</v>
      </c>
      <c r="O460" t="s">
        <v>3569</v>
      </c>
      <c r="P460" s="4" t="s">
        <v>3573</v>
      </c>
      <c r="Q460" t="s">
        <v>3573</v>
      </c>
      <c r="R460" t="s">
        <v>407</v>
      </c>
    </row>
    <row r="461" spans="1:18">
      <c r="A461" t="s">
        <v>837</v>
      </c>
      <c r="B461" t="s">
        <v>840</v>
      </c>
      <c r="C461" t="s">
        <v>2709</v>
      </c>
      <c r="D461" t="s">
        <v>3552</v>
      </c>
      <c r="E461">
        <v>42</v>
      </c>
      <c r="F461" s="4" t="s">
        <v>3557</v>
      </c>
      <c r="G461" s="4">
        <v>0</v>
      </c>
      <c r="H461">
        <v>1</v>
      </c>
      <c r="I461">
        <v>243847</v>
      </c>
      <c r="J461" s="6">
        <v>27</v>
      </c>
      <c r="K461" s="4" t="str">
        <f t="shared" si="7"/>
        <v>Mid</v>
      </c>
      <c r="L461" t="s">
        <v>3561</v>
      </c>
      <c r="M461" s="4" t="s">
        <v>3561</v>
      </c>
      <c r="N461" t="s">
        <v>457</v>
      </c>
      <c r="O461" t="s">
        <v>3569</v>
      </c>
      <c r="P461" s="4" t="s">
        <v>3573</v>
      </c>
      <c r="Q461" t="s">
        <v>3573</v>
      </c>
      <c r="R461" t="s">
        <v>249</v>
      </c>
    </row>
    <row r="462" spans="1:18">
      <c r="A462" t="s">
        <v>837</v>
      </c>
      <c r="B462" t="s">
        <v>9</v>
      </c>
      <c r="C462" t="s">
        <v>2710</v>
      </c>
      <c r="D462" t="s">
        <v>3551</v>
      </c>
      <c r="E462">
        <v>24</v>
      </c>
      <c r="F462" s="4" t="s">
        <v>3555</v>
      </c>
      <c r="G462" s="4">
        <v>1</v>
      </c>
      <c r="H462">
        <v>2</v>
      </c>
      <c r="I462">
        <v>243847</v>
      </c>
      <c r="J462" s="6">
        <v>27</v>
      </c>
      <c r="K462" s="4" t="str">
        <f t="shared" si="7"/>
        <v>Mid</v>
      </c>
      <c r="L462" t="s">
        <v>3561</v>
      </c>
      <c r="M462" s="4" t="s">
        <v>3561</v>
      </c>
      <c r="N462" t="s">
        <v>457</v>
      </c>
      <c r="O462">
        <v>12</v>
      </c>
      <c r="P462" s="4" t="s">
        <v>3573</v>
      </c>
      <c r="Q462" t="s">
        <v>3573</v>
      </c>
      <c r="R462" t="s">
        <v>249</v>
      </c>
    </row>
    <row r="463" spans="1:18">
      <c r="A463" t="s">
        <v>837</v>
      </c>
      <c r="B463" t="s">
        <v>840</v>
      </c>
      <c r="C463" t="s">
        <v>2711</v>
      </c>
      <c r="D463" t="s">
        <v>3552</v>
      </c>
      <c r="E463">
        <v>47</v>
      </c>
      <c r="F463" s="4" t="s">
        <v>3557</v>
      </c>
      <c r="G463" s="4">
        <v>0</v>
      </c>
      <c r="H463">
        <v>0</v>
      </c>
      <c r="I463">
        <v>237565</v>
      </c>
      <c r="J463" s="6">
        <v>15</v>
      </c>
      <c r="K463" s="4" t="str">
        <f t="shared" si="7"/>
        <v>Mid</v>
      </c>
      <c r="L463" t="s">
        <v>3561</v>
      </c>
      <c r="M463" s="4" t="s">
        <v>3561</v>
      </c>
      <c r="N463" t="s">
        <v>457</v>
      </c>
      <c r="O463" t="s">
        <v>3569</v>
      </c>
      <c r="P463" s="4" t="s">
        <v>3573</v>
      </c>
      <c r="Q463" t="s">
        <v>3573</v>
      </c>
      <c r="R463" t="s">
        <v>497</v>
      </c>
    </row>
    <row r="464" spans="1:18">
      <c r="A464" t="s">
        <v>837</v>
      </c>
      <c r="B464" t="s">
        <v>840</v>
      </c>
      <c r="C464" t="s">
        <v>2712</v>
      </c>
      <c r="D464" t="s">
        <v>3552</v>
      </c>
      <c r="E464">
        <v>24</v>
      </c>
      <c r="F464" s="4" t="s">
        <v>3555</v>
      </c>
      <c r="G464" s="4">
        <v>0</v>
      </c>
      <c r="H464">
        <v>2</v>
      </c>
      <c r="I464" t="s">
        <v>454</v>
      </c>
      <c r="J464" s="6">
        <v>31.5</v>
      </c>
      <c r="K464" s="4" t="str">
        <f t="shared" si="7"/>
        <v>Mid</v>
      </c>
      <c r="L464" t="s">
        <v>3561</v>
      </c>
      <c r="M464" s="4" t="s">
        <v>3561</v>
      </c>
      <c r="N464" t="s">
        <v>457</v>
      </c>
      <c r="O464" t="s">
        <v>3569</v>
      </c>
      <c r="P464" s="4" t="s">
        <v>3573</v>
      </c>
      <c r="Q464" t="s">
        <v>3573</v>
      </c>
      <c r="R464" t="s">
        <v>455</v>
      </c>
    </row>
    <row r="465" spans="1:18">
      <c r="A465" t="s">
        <v>837</v>
      </c>
      <c r="B465" t="s">
        <v>840</v>
      </c>
      <c r="C465" t="s">
        <v>2713</v>
      </c>
      <c r="D465" t="s">
        <v>3552</v>
      </c>
      <c r="E465">
        <v>22</v>
      </c>
      <c r="F465" s="4" t="s">
        <v>3555</v>
      </c>
      <c r="G465" s="4">
        <v>0</v>
      </c>
      <c r="H465">
        <v>2</v>
      </c>
      <c r="I465" t="s">
        <v>454</v>
      </c>
      <c r="J465" s="6">
        <v>31.5</v>
      </c>
      <c r="K465" s="4" t="str">
        <f t="shared" si="7"/>
        <v>Mid</v>
      </c>
      <c r="L465" t="s">
        <v>3561</v>
      </c>
      <c r="M465" s="4" t="s">
        <v>3561</v>
      </c>
      <c r="N465" t="s">
        <v>457</v>
      </c>
      <c r="O465" t="s">
        <v>3569</v>
      </c>
      <c r="P465" s="4" t="s">
        <v>3573</v>
      </c>
      <c r="Q465" t="s">
        <v>3573</v>
      </c>
      <c r="R465" t="s">
        <v>455</v>
      </c>
    </row>
    <row r="466" spans="1:18">
      <c r="A466" t="s">
        <v>837</v>
      </c>
      <c r="B466" t="s">
        <v>840</v>
      </c>
      <c r="C466" t="s">
        <v>2714</v>
      </c>
      <c r="D466" t="s">
        <v>3552</v>
      </c>
      <c r="E466">
        <v>32</v>
      </c>
      <c r="F466" s="4" t="s">
        <v>3557</v>
      </c>
      <c r="G466" s="4">
        <v>0</v>
      </c>
      <c r="H466">
        <v>0</v>
      </c>
      <c r="I466" t="s">
        <v>498</v>
      </c>
      <c r="J466" s="6">
        <v>10.5</v>
      </c>
      <c r="K466" s="4" t="str">
        <f t="shared" si="7"/>
        <v>Mid</v>
      </c>
      <c r="L466" t="s">
        <v>3561</v>
      </c>
      <c r="M466" s="4" t="s">
        <v>3561</v>
      </c>
      <c r="N466" t="s">
        <v>457</v>
      </c>
      <c r="O466" t="s">
        <v>3569</v>
      </c>
      <c r="P466" s="4" t="s">
        <v>3573</v>
      </c>
      <c r="Q466" t="s">
        <v>3573</v>
      </c>
      <c r="R466" t="s">
        <v>499</v>
      </c>
    </row>
    <row r="467" spans="1:18">
      <c r="A467" t="s">
        <v>837</v>
      </c>
      <c r="B467" t="s">
        <v>9</v>
      </c>
      <c r="C467" t="s">
        <v>2715</v>
      </c>
      <c r="D467" t="s">
        <v>3551</v>
      </c>
      <c r="E467">
        <v>23</v>
      </c>
      <c r="F467" s="4" t="s">
        <v>3555</v>
      </c>
      <c r="G467" s="4">
        <v>0</v>
      </c>
      <c r="H467">
        <v>0</v>
      </c>
      <c r="I467" t="s">
        <v>500</v>
      </c>
      <c r="J467" s="6">
        <v>13.791700000000001</v>
      </c>
      <c r="K467" s="4" t="str">
        <f t="shared" si="7"/>
        <v>Mid</v>
      </c>
      <c r="L467" t="s">
        <v>59</v>
      </c>
      <c r="M467" s="4" t="s">
        <v>59</v>
      </c>
      <c r="N467" t="s">
        <v>3566</v>
      </c>
      <c r="O467">
        <v>11</v>
      </c>
      <c r="P467" s="4" t="s">
        <v>3573</v>
      </c>
      <c r="Q467" t="s">
        <v>3573</v>
      </c>
      <c r="R467" t="s">
        <v>53</v>
      </c>
    </row>
    <row r="468" spans="1:18">
      <c r="A468" t="s">
        <v>837</v>
      </c>
      <c r="B468" t="s">
        <v>840</v>
      </c>
      <c r="C468" t="s">
        <v>2716</v>
      </c>
      <c r="D468" t="s">
        <v>3552</v>
      </c>
      <c r="E468">
        <v>34</v>
      </c>
      <c r="F468" s="4" t="s">
        <v>3557</v>
      </c>
      <c r="G468" s="4">
        <v>0</v>
      </c>
      <c r="H468">
        <v>1</v>
      </c>
      <c r="I468">
        <v>244367</v>
      </c>
      <c r="J468" s="6">
        <v>26</v>
      </c>
      <c r="K468" s="4" t="str">
        <f t="shared" si="7"/>
        <v>Mid</v>
      </c>
      <c r="L468" t="s">
        <v>3561</v>
      </c>
      <c r="M468" s="4" t="s">
        <v>3561</v>
      </c>
      <c r="N468" t="s">
        <v>457</v>
      </c>
      <c r="O468" t="s">
        <v>3569</v>
      </c>
      <c r="P468" s="4">
        <v>283</v>
      </c>
      <c r="Q468" t="s">
        <v>3574</v>
      </c>
      <c r="R468" t="s">
        <v>501</v>
      </c>
    </row>
    <row r="469" spans="1:18">
      <c r="A469" t="s">
        <v>837</v>
      </c>
      <c r="B469" t="s">
        <v>9</v>
      </c>
      <c r="C469" t="s">
        <v>2717</v>
      </c>
      <c r="D469" t="s">
        <v>3551</v>
      </c>
      <c r="E469">
        <v>24</v>
      </c>
      <c r="F469" s="4" t="s">
        <v>3555</v>
      </c>
      <c r="G469" s="4">
        <v>0</v>
      </c>
      <c r="H469">
        <v>1</v>
      </c>
      <c r="I469">
        <v>244367</v>
      </c>
      <c r="J469" s="6">
        <v>26</v>
      </c>
      <c r="K469" s="4" t="str">
        <f t="shared" si="7"/>
        <v>Mid</v>
      </c>
      <c r="L469" t="s">
        <v>3561</v>
      </c>
      <c r="M469" s="4" t="s">
        <v>3561</v>
      </c>
      <c r="N469" t="s">
        <v>457</v>
      </c>
      <c r="O469">
        <v>12</v>
      </c>
      <c r="P469" s="4" t="s">
        <v>3573</v>
      </c>
      <c r="Q469" t="s">
        <v>3573</v>
      </c>
      <c r="R469" t="s">
        <v>501</v>
      </c>
    </row>
    <row r="470" spans="1:18">
      <c r="A470" t="s">
        <v>837</v>
      </c>
      <c r="B470" t="s">
        <v>840</v>
      </c>
      <c r="C470" t="s">
        <v>2718</v>
      </c>
      <c r="D470" t="s">
        <v>3551</v>
      </c>
      <c r="E470">
        <v>22</v>
      </c>
      <c r="F470" s="4" t="s">
        <v>3555</v>
      </c>
      <c r="G470" s="4">
        <v>0</v>
      </c>
      <c r="H470">
        <v>0</v>
      </c>
      <c r="I470" t="s">
        <v>444</v>
      </c>
      <c r="J470" s="6">
        <v>21</v>
      </c>
      <c r="K470" s="4" t="str">
        <f t="shared" si="7"/>
        <v>Mid</v>
      </c>
      <c r="L470" t="s">
        <v>3561</v>
      </c>
      <c r="M470" s="4" t="s">
        <v>3561</v>
      </c>
      <c r="N470" t="s">
        <v>457</v>
      </c>
      <c r="O470" t="s">
        <v>3569</v>
      </c>
      <c r="P470" s="4" t="s">
        <v>3573</v>
      </c>
      <c r="Q470" t="s">
        <v>3573</v>
      </c>
      <c r="R470" t="s">
        <v>502</v>
      </c>
    </row>
    <row r="471" spans="1:18">
      <c r="A471" t="s">
        <v>837</v>
      </c>
      <c r="B471" t="s">
        <v>9</v>
      </c>
      <c r="C471" t="s">
        <v>2719</v>
      </c>
      <c r="D471" t="s">
        <v>3551</v>
      </c>
      <c r="E471">
        <v>28</v>
      </c>
      <c r="F471" s="4" t="s">
        <v>3555</v>
      </c>
      <c r="G471" s="4">
        <v>0</v>
      </c>
      <c r="H471">
        <v>0</v>
      </c>
      <c r="I471">
        <v>226593</v>
      </c>
      <c r="J471" s="6">
        <v>12.35</v>
      </c>
      <c r="K471" s="4" t="str">
        <f t="shared" si="7"/>
        <v>Mid</v>
      </c>
      <c r="L471" t="s">
        <v>503</v>
      </c>
      <c r="M471" s="4" t="s">
        <v>3564</v>
      </c>
      <c r="N471" t="s">
        <v>3567</v>
      </c>
      <c r="O471">
        <v>10</v>
      </c>
      <c r="P471" s="4" t="s">
        <v>3573</v>
      </c>
      <c r="Q471" t="s">
        <v>3573</v>
      </c>
      <c r="R471" t="s">
        <v>504</v>
      </c>
    </row>
    <row r="472" spans="1:18">
      <c r="A472" t="s">
        <v>837</v>
      </c>
      <c r="B472" t="s">
        <v>840</v>
      </c>
      <c r="C472" t="s">
        <v>2720</v>
      </c>
      <c r="D472" t="s">
        <v>3552</v>
      </c>
      <c r="E472">
        <v>35</v>
      </c>
      <c r="F472" s="4" t="s">
        <v>3557</v>
      </c>
      <c r="G472" s="4">
        <v>0</v>
      </c>
      <c r="H472">
        <v>0</v>
      </c>
      <c r="I472">
        <v>233734</v>
      </c>
      <c r="J472" s="6">
        <v>12.35</v>
      </c>
      <c r="K472" s="4" t="str">
        <f t="shared" si="7"/>
        <v>Mid</v>
      </c>
      <c r="L472" t="s">
        <v>3561</v>
      </c>
      <c r="M472" s="4" t="s">
        <v>3561</v>
      </c>
      <c r="N472" t="s">
        <v>3567</v>
      </c>
      <c r="O472" t="s">
        <v>3569</v>
      </c>
      <c r="P472" s="4" t="s">
        <v>3573</v>
      </c>
      <c r="Q472" t="s">
        <v>3573</v>
      </c>
    </row>
    <row r="473" spans="1:18">
      <c r="A473" t="s">
        <v>837</v>
      </c>
      <c r="B473" t="s">
        <v>9</v>
      </c>
      <c r="C473" t="s">
        <v>2721</v>
      </c>
      <c r="D473" t="s">
        <v>3551</v>
      </c>
      <c r="E473">
        <v>45</v>
      </c>
      <c r="F473" s="4" t="s">
        <v>3557</v>
      </c>
      <c r="G473" s="4">
        <v>0</v>
      </c>
      <c r="H473">
        <v>0</v>
      </c>
      <c r="I473">
        <v>223596</v>
      </c>
      <c r="J473" s="6">
        <v>13.5</v>
      </c>
      <c r="K473" s="4" t="str">
        <f t="shared" si="7"/>
        <v>Mid</v>
      </c>
      <c r="L473" t="s">
        <v>3561</v>
      </c>
      <c r="M473" s="4" t="s">
        <v>3561</v>
      </c>
      <c r="N473" t="s">
        <v>457</v>
      </c>
      <c r="O473">
        <v>9</v>
      </c>
      <c r="P473" s="4" t="s">
        <v>3573</v>
      </c>
      <c r="Q473" t="s">
        <v>3573</v>
      </c>
      <c r="R473" t="s">
        <v>268</v>
      </c>
    </row>
    <row r="474" spans="1:18">
      <c r="A474" t="s">
        <v>837</v>
      </c>
      <c r="B474" t="s">
        <v>840</v>
      </c>
      <c r="C474" t="s">
        <v>2722</v>
      </c>
      <c r="D474" t="s">
        <v>3552</v>
      </c>
      <c r="E474">
        <v>57</v>
      </c>
      <c r="F474" s="4" t="s">
        <v>3557</v>
      </c>
      <c r="G474" s="4">
        <v>0</v>
      </c>
      <c r="H474">
        <v>0</v>
      </c>
      <c r="I474">
        <v>219533</v>
      </c>
      <c r="J474" s="6">
        <v>12.35</v>
      </c>
      <c r="K474" s="4" t="str">
        <f t="shared" si="7"/>
        <v>Mid</v>
      </c>
      <c r="L474" t="s">
        <v>3561</v>
      </c>
      <c r="M474" s="4" t="s">
        <v>3561</v>
      </c>
      <c r="N474" t="s">
        <v>3567</v>
      </c>
      <c r="O474" t="s">
        <v>3569</v>
      </c>
      <c r="P474" s="4" t="s">
        <v>3573</v>
      </c>
      <c r="Q474" t="s">
        <v>3573</v>
      </c>
      <c r="R474" t="s">
        <v>505</v>
      </c>
    </row>
    <row r="475" spans="1:18">
      <c r="A475" t="s">
        <v>837</v>
      </c>
      <c r="B475" t="s">
        <v>840</v>
      </c>
      <c r="C475" t="s">
        <v>2723</v>
      </c>
      <c r="D475" t="s">
        <v>3552</v>
      </c>
      <c r="E475">
        <v>28</v>
      </c>
      <c r="F475" s="4" t="s">
        <v>3555</v>
      </c>
      <c r="G475" s="4">
        <v>0</v>
      </c>
      <c r="H475">
        <v>0</v>
      </c>
      <c r="I475">
        <v>239855</v>
      </c>
      <c r="J475" s="6">
        <v>0</v>
      </c>
      <c r="K475" s="4" t="str">
        <f t="shared" si="7"/>
        <v>Low</v>
      </c>
      <c r="L475" t="s">
        <v>3561</v>
      </c>
      <c r="M475" s="4" t="s">
        <v>3561</v>
      </c>
      <c r="N475" t="s">
        <v>457</v>
      </c>
      <c r="O475" t="s">
        <v>3569</v>
      </c>
      <c r="P475" s="4" t="s">
        <v>3573</v>
      </c>
      <c r="Q475" t="s">
        <v>3573</v>
      </c>
      <c r="R475" t="s">
        <v>305</v>
      </c>
    </row>
    <row r="476" spans="1:18">
      <c r="A476" t="s">
        <v>837</v>
      </c>
      <c r="B476" t="s">
        <v>840</v>
      </c>
      <c r="C476" t="s">
        <v>2724</v>
      </c>
      <c r="D476" t="s">
        <v>3552</v>
      </c>
      <c r="E476">
        <v>31</v>
      </c>
      <c r="F476" s="4" t="s">
        <v>3557</v>
      </c>
      <c r="G476" s="4">
        <v>0</v>
      </c>
      <c r="H476">
        <v>0</v>
      </c>
      <c r="I476" t="s">
        <v>506</v>
      </c>
      <c r="J476" s="6">
        <v>10.5</v>
      </c>
      <c r="K476" s="4" t="str">
        <f t="shared" si="7"/>
        <v>Mid</v>
      </c>
      <c r="L476" t="s">
        <v>3561</v>
      </c>
      <c r="M476" s="4" t="s">
        <v>3561</v>
      </c>
      <c r="N476" t="s">
        <v>457</v>
      </c>
      <c r="O476" t="s">
        <v>3569</v>
      </c>
      <c r="P476" s="4">
        <v>165</v>
      </c>
      <c r="Q476" t="s">
        <v>3574</v>
      </c>
      <c r="R476" t="s">
        <v>507</v>
      </c>
    </row>
    <row r="477" spans="1:18">
      <c r="A477" t="s">
        <v>837</v>
      </c>
      <c r="B477" t="s">
        <v>840</v>
      </c>
      <c r="C477" t="s">
        <v>2725</v>
      </c>
      <c r="D477" t="s">
        <v>3551</v>
      </c>
      <c r="E477">
        <v>26</v>
      </c>
      <c r="F477" s="4" t="s">
        <v>3555</v>
      </c>
      <c r="G477" s="4">
        <v>1</v>
      </c>
      <c r="H477">
        <v>1</v>
      </c>
      <c r="I477">
        <v>250651</v>
      </c>
      <c r="J477" s="6">
        <v>26</v>
      </c>
      <c r="K477" s="4" t="str">
        <f t="shared" si="7"/>
        <v>Mid</v>
      </c>
      <c r="L477" t="s">
        <v>3561</v>
      </c>
      <c r="M477" s="4" t="s">
        <v>3561</v>
      </c>
      <c r="N477" t="s">
        <v>457</v>
      </c>
      <c r="O477" t="s">
        <v>3569</v>
      </c>
      <c r="P477" s="4" t="s">
        <v>3573</v>
      </c>
      <c r="Q477" t="s">
        <v>3573</v>
      </c>
      <c r="R477" t="s">
        <v>351</v>
      </c>
    </row>
    <row r="478" spans="1:18">
      <c r="A478" t="s">
        <v>837</v>
      </c>
      <c r="B478" t="s">
        <v>840</v>
      </c>
      <c r="C478" t="s">
        <v>2726</v>
      </c>
      <c r="D478" t="s">
        <v>3552</v>
      </c>
      <c r="E478">
        <v>30</v>
      </c>
      <c r="F478" s="4" t="s">
        <v>3557</v>
      </c>
      <c r="G478" s="4">
        <v>1</v>
      </c>
      <c r="H478">
        <v>1</v>
      </c>
      <c r="I478">
        <v>250651</v>
      </c>
      <c r="J478" s="6">
        <v>26</v>
      </c>
      <c r="K478" s="4" t="str">
        <f t="shared" si="7"/>
        <v>Mid</v>
      </c>
      <c r="L478" t="s">
        <v>3561</v>
      </c>
      <c r="M478" s="4" t="s">
        <v>3561</v>
      </c>
      <c r="N478" t="s">
        <v>457</v>
      </c>
      <c r="O478" t="s">
        <v>3569</v>
      </c>
      <c r="P478" s="4" t="s">
        <v>3573</v>
      </c>
      <c r="Q478" t="s">
        <v>3573</v>
      </c>
      <c r="R478" t="s">
        <v>351</v>
      </c>
    </row>
    <row r="479" spans="1:18">
      <c r="A479" t="s">
        <v>837</v>
      </c>
      <c r="B479" t="s">
        <v>840</v>
      </c>
      <c r="C479" t="s">
        <v>2727</v>
      </c>
      <c r="D479" t="s">
        <v>3552</v>
      </c>
      <c r="E479">
        <v>28</v>
      </c>
      <c r="F479" s="4" t="s">
        <v>3555</v>
      </c>
      <c r="G479" s="4">
        <v>0</v>
      </c>
      <c r="H479">
        <v>0</v>
      </c>
      <c r="I479">
        <v>240261</v>
      </c>
      <c r="J479" s="6">
        <v>10.708299999999999</v>
      </c>
      <c r="K479" s="4" t="str">
        <f t="shared" si="7"/>
        <v>Mid</v>
      </c>
      <c r="L479" t="s">
        <v>3561</v>
      </c>
      <c r="M479" s="4" t="s">
        <v>3561</v>
      </c>
      <c r="N479" t="s">
        <v>3567</v>
      </c>
      <c r="O479" t="s">
        <v>3569</v>
      </c>
      <c r="P479" s="4" t="s">
        <v>3573</v>
      </c>
      <c r="Q479" t="s">
        <v>3573</v>
      </c>
    </row>
    <row r="480" spans="1:18">
      <c r="A480" t="s">
        <v>837</v>
      </c>
      <c r="B480" t="s">
        <v>9</v>
      </c>
      <c r="C480" t="s">
        <v>2728</v>
      </c>
      <c r="D480" t="s">
        <v>3551</v>
      </c>
      <c r="E480">
        <v>1</v>
      </c>
      <c r="F480" s="4" t="s">
        <v>3556</v>
      </c>
      <c r="G480" s="4">
        <v>2</v>
      </c>
      <c r="H480">
        <v>1</v>
      </c>
      <c r="I480" t="s">
        <v>508</v>
      </c>
      <c r="J480" s="6">
        <v>41.5792</v>
      </c>
      <c r="K480" s="4" t="str">
        <f t="shared" si="7"/>
        <v>Mid</v>
      </c>
      <c r="L480" t="s">
        <v>3561</v>
      </c>
      <c r="M480" s="4" t="s">
        <v>3561</v>
      </c>
      <c r="N480" t="s">
        <v>3566</v>
      </c>
      <c r="O480">
        <v>14</v>
      </c>
      <c r="P480" s="4" t="s">
        <v>3573</v>
      </c>
      <c r="Q480" t="s">
        <v>3573</v>
      </c>
      <c r="R480" t="s">
        <v>509</v>
      </c>
    </row>
    <row r="481" spans="1:18">
      <c r="A481" t="s">
        <v>837</v>
      </c>
      <c r="B481" t="s">
        <v>9</v>
      </c>
      <c r="C481" t="s">
        <v>2729</v>
      </c>
      <c r="D481" t="s">
        <v>3551</v>
      </c>
      <c r="E481">
        <v>3</v>
      </c>
      <c r="F481" s="4" t="s">
        <v>3556</v>
      </c>
      <c r="G481" s="4">
        <v>2</v>
      </c>
      <c r="H481">
        <v>1</v>
      </c>
      <c r="I481" t="s">
        <v>508</v>
      </c>
      <c r="J481" s="6">
        <v>41.5792</v>
      </c>
      <c r="K481" s="4" t="str">
        <f t="shared" si="7"/>
        <v>Mid</v>
      </c>
      <c r="L481" t="s">
        <v>3561</v>
      </c>
      <c r="M481" s="4" t="s">
        <v>3561</v>
      </c>
      <c r="N481" t="s">
        <v>3566</v>
      </c>
      <c r="O481">
        <v>14</v>
      </c>
      <c r="P481" s="4" t="s">
        <v>3573</v>
      </c>
      <c r="Q481" t="s">
        <v>3573</v>
      </c>
      <c r="R481" t="s">
        <v>509</v>
      </c>
    </row>
    <row r="482" spans="1:18">
      <c r="A482" t="s">
        <v>837</v>
      </c>
      <c r="B482" t="s">
        <v>840</v>
      </c>
      <c r="C482" t="s">
        <v>2730</v>
      </c>
      <c r="D482" t="s">
        <v>3552</v>
      </c>
      <c r="E482">
        <v>25</v>
      </c>
      <c r="F482" s="4" t="s">
        <v>3555</v>
      </c>
      <c r="G482" s="4">
        <v>2</v>
      </c>
      <c r="H482">
        <v>1</v>
      </c>
      <c r="I482" t="s">
        <v>508</v>
      </c>
      <c r="J482" s="6">
        <v>41.5792</v>
      </c>
      <c r="K482" s="4" t="str">
        <f t="shared" si="7"/>
        <v>Mid</v>
      </c>
      <c r="L482" t="s">
        <v>3561</v>
      </c>
      <c r="M482" s="4" t="s">
        <v>3561</v>
      </c>
      <c r="N482" t="s">
        <v>3566</v>
      </c>
      <c r="O482" t="s">
        <v>3569</v>
      </c>
      <c r="P482" s="4" t="s">
        <v>3573</v>
      </c>
      <c r="Q482" t="s">
        <v>3573</v>
      </c>
      <c r="R482" t="s">
        <v>509</v>
      </c>
    </row>
    <row r="483" spans="1:18">
      <c r="A483" t="s">
        <v>837</v>
      </c>
      <c r="B483" t="s">
        <v>9</v>
      </c>
      <c r="C483" t="s">
        <v>2731</v>
      </c>
      <c r="D483" t="s">
        <v>3551</v>
      </c>
      <c r="E483">
        <v>22</v>
      </c>
      <c r="F483" s="4" t="s">
        <v>3555</v>
      </c>
      <c r="G483" s="4">
        <v>2</v>
      </c>
      <c r="H483">
        <v>1</v>
      </c>
      <c r="I483" t="s">
        <v>508</v>
      </c>
      <c r="J483" s="6">
        <v>41.5792</v>
      </c>
      <c r="K483" s="4" t="str">
        <f t="shared" si="7"/>
        <v>Mid</v>
      </c>
      <c r="L483" t="s">
        <v>3561</v>
      </c>
      <c r="M483" s="4" t="s">
        <v>3561</v>
      </c>
      <c r="N483" t="s">
        <v>3566</v>
      </c>
      <c r="O483">
        <v>14</v>
      </c>
      <c r="P483" s="4" t="s">
        <v>3573</v>
      </c>
      <c r="Q483" t="s">
        <v>3573</v>
      </c>
      <c r="R483" t="s">
        <v>509</v>
      </c>
    </row>
    <row r="484" spans="1:18">
      <c r="A484" t="s">
        <v>837</v>
      </c>
      <c r="B484" t="s">
        <v>9</v>
      </c>
      <c r="C484" t="s">
        <v>2732</v>
      </c>
      <c r="D484" t="s">
        <v>3551</v>
      </c>
      <c r="E484">
        <v>17</v>
      </c>
      <c r="F484" s="4" t="s">
        <v>3560</v>
      </c>
      <c r="G484" s="4">
        <v>0</v>
      </c>
      <c r="H484">
        <v>0</v>
      </c>
      <c r="I484" t="s">
        <v>510</v>
      </c>
      <c r="J484" s="6">
        <v>12</v>
      </c>
      <c r="K484" s="4" t="str">
        <f t="shared" si="7"/>
        <v>Mid</v>
      </c>
      <c r="L484" t="s">
        <v>3561</v>
      </c>
      <c r="M484" s="4" t="s">
        <v>3561</v>
      </c>
      <c r="N484" t="s">
        <v>3566</v>
      </c>
      <c r="O484">
        <v>12</v>
      </c>
      <c r="P484" s="4" t="s">
        <v>3573</v>
      </c>
      <c r="Q484" t="s">
        <v>3573</v>
      </c>
      <c r="R484" t="s">
        <v>511</v>
      </c>
    </row>
    <row r="485" spans="1:18">
      <c r="A485" t="s">
        <v>837</v>
      </c>
      <c r="B485" t="s">
        <v>9</v>
      </c>
      <c r="C485" t="s">
        <v>2733</v>
      </c>
      <c r="D485" t="s">
        <v>3551</v>
      </c>
      <c r="E485">
        <v>28</v>
      </c>
      <c r="F485" s="4" t="s">
        <v>3555</v>
      </c>
      <c r="G485" s="4">
        <v>0</v>
      </c>
      <c r="H485">
        <v>0</v>
      </c>
      <c r="I485">
        <v>248727</v>
      </c>
      <c r="J485" s="6">
        <v>33</v>
      </c>
      <c r="K485" s="4" t="str">
        <f t="shared" si="7"/>
        <v>Mid</v>
      </c>
      <c r="L485" t="s">
        <v>3561</v>
      </c>
      <c r="M485" s="4" t="s">
        <v>3561</v>
      </c>
      <c r="N485" t="s">
        <v>457</v>
      </c>
      <c r="O485">
        <v>11</v>
      </c>
      <c r="P485" s="4" t="s">
        <v>3573</v>
      </c>
      <c r="Q485" t="s">
        <v>3573</v>
      </c>
      <c r="R485" t="s">
        <v>512</v>
      </c>
    </row>
    <row r="486" spans="1:18">
      <c r="A486" t="s">
        <v>837</v>
      </c>
      <c r="B486" t="s">
        <v>9</v>
      </c>
      <c r="C486" t="s">
        <v>2734</v>
      </c>
      <c r="D486" t="s">
        <v>3551</v>
      </c>
      <c r="E486">
        <v>34</v>
      </c>
      <c r="F486" s="4" t="s">
        <v>3557</v>
      </c>
      <c r="G486" s="4">
        <v>0</v>
      </c>
      <c r="H486">
        <v>0</v>
      </c>
      <c r="I486" t="s">
        <v>513</v>
      </c>
      <c r="J486" s="6">
        <v>10.5</v>
      </c>
      <c r="K486" s="4" t="str">
        <f t="shared" si="7"/>
        <v>Mid</v>
      </c>
      <c r="L486" t="s">
        <v>422</v>
      </c>
      <c r="M486" s="4" t="s">
        <v>586</v>
      </c>
      <c r="N486" t="s">
        <v>457</v>
      </c>
      <c r="O486">
        <v>14</v>
      </c>
      <c r="P486" s="4" t="s">
        <v>3573</v>
      </c>
      <c r="Q486" t="s">
        <v>3573</v>
      </c>
      <c r="R486" t="s">
        <v>235</v>
      </c>
    </row>
    <row r="487" spans="1:18">
      <c r="A487" t="s">
        <v>837</v>
      </c>
      <c r="B487" t="s">
        <v>840</v>
      </c>
      <c r="C487" t="s">
        <v>2735</v>
      </c>
      <c r="D487" t="s">
        <v>3552</v>
      </c>
      <c r="E487">
        <v>36</v>
      </c>
      <c r="F487" s="4" t="s">
        <v>3557</v>
      </c>
      <c r="G487" s="4">
        <v>0</v>
      </c>
      <c r="H487">
        <v>0</v>
      </c>
      <c r="I487" t="s">
        <v>514</v>
      </c>
      <c r="J487" s="6">
        <v>12.875</v>
      </c>
      <c r="K487" s="4" t="str">
        <f t="shared" si="7"/>
        <v>Mid</v>
      </c>
      <c r="L487" t="s">
        <v>59</v>
      </c>
      <c r="M487" s="4" t="s">
        <v>59</v>
      </c>
      <c r="N487" t="s">
        <v>3566</v>
      </c>
      <c r="O487" t="s">
        <v>3569</v>
      </c>
      <c r="P487" s="4" t="s">
        <v>3573</v>
      </c>
      <c r="Q487" t="s">
        <v>3573</v>
      </c>
      <c r="R487" t="s">
        <v>75</v>
      </c>
    </row>
    <row r="488" spans="1:18">
      <c r="A488" t="s">
        <v>837</v>
      </c>
      <c r="B488" t="s">
        <v>840</v>
      </c>
      <c r="C488" t="s">
        <v>2736</v>
      </c>
      <c r="D488" t="s">
        <v>3552</v>
      </c>
      <c r="E488">
        <v>24</v>
      </c>
      <c r="F488" s="4" t="s">
        <v>3555</v>
      </c>
      <c r="G488" s="4">
        <v>0</v>
      </c>
      <c r="H488">
        <v>0</v>
      </c>
      <c r="I488" t="s">
        <v>515</v>
      </c>
      <c r="J488" s="6">
        <v>10.5</v>
      </c>
      <c r="K488" s="4" t="str">
        <f t="shared" si="7"/>
        <v>Mid</v>
      </c>
      <c r="L488" t="s">
        <v>3561</v>
      </c>
      <c r="M488" s="4" t="s">
        <v>3561</v>
      </c>
      <c r="N488" t="s">
        <v>457</v>
      </c>
      <c r="O488" t="s">
        <v>3569</v>
      </c>
      <c r="P488" s="4">
        <v>108</v>
      </c>
      <c r="Q488" t="s">
        <v>3574</v>
      </c>
    </row>
    <row r="489" spans="1:18">
      <c r="A489" t="s">
        <v>837</v>
      </c>
      <c r="B489" t="s">
        <v>840</v>
      </c>
      <c r="C489" t="s">
        <v>2737</v>
      </c>
      <c r="D489" t="s">
        <v>3552</v>
      </c>
      <c r="E489">
        <v>61</v>
      </c>
      <c r="F489" s="4" t="s">
        <v>3559</v>
      </c>
      <c r="G489" s="4">
        <v>0</v>
      </c>
      <c r="H489">
        <v>0</v>
      </c>
      <c r="I489">
        <v>235509</v>
      </c>
      <c r="J489" s="6">
        <v>12.35</v>
      </c>
      <c r="K489" s="4" t="str">
        <f t="shared" si="7"/>
        <v>Mid</v>
      </c>
      <c r="L489" t="s">
        <v>3561</v>
      </c>
      <c r="M489" s="4" t="s">
        <v>3561</v>
      </c>
      <c r="N489" t="s">
        <v>3567</v>
      </c>
      <c r="O489" t="s">
        <v>3569</v>
      </c>
      <c r="P489" s="4" t="s">
        <v>3573</v>
      </c>
      <c r="Q489" t="s">
        <v>3573</v>
      </c>
    </row>
    <row r="490" spans="1:18">
      <c r="A490" t="s">
        <v>837</v>
      </c>
      <c r="B490" t="s">
        <v>840</v>
      </c>
      <c r="C490" t="s">
        <v>2738</v>
      </c>
      <c r="D490" t="s">
        <v>3552</v>
      </c>
      <c r="E490">
        <v>50</v>
      </c>
      <c r="F490" s="4" t="s">
        <v>3557</v>
      </c>
      <c r="G490" s="4">
        <v>0</v>
      </c>
      <c r="H490">
        <v>1</v>
      </c>
      <c r="I490" t="s">
        <v>516</v>
      </c>
      <c r="J490" s="6">
        <v>26</v>
      </c>
      <c r="K490" s="4" t="str">
        <f t="shared" si="7"/>
        <v>Mid</v>
      </c>
      <c r="L490" t="s">
        <v>3561</v>
      </c>
      <c r="M490" s="4" t="s">
        <v>3561</v>
      </c>
      <c r="N490" t="s">
        <v>457</v>
      </c>
      <c r="O490" t="s">
        <v>3569</v>
      </c>
      <c r="P490" s="4">
        <v>121</v>
      </c>
      <c r="Q490" t="s">
        <v>3574</v>
      </c>
      <c r="R490" t="s">
        <v>517</v>
      </c>
    </row>
    <row r="491" spans="1:18">
      <c r="A491" t="s">
        <v>837</v>
      </c>
      <c r="B491" t="s">
        <v>9</v>
      </c>
      <c r="C491" t="s">
        <v>2739</v>
      </c>
      <c r="D491" t="s">
        <v>3551</v>
      </c>
      <c r="E491">
        <v>42</v>
      </c>
      <c r="F491" s="4" t="s">
        <v>3557</v>
      </c>
      <c r="G491" s="4">
        <v>0</v>
      </c>
      <c r="H491">
        <v>1</v>
      </c>
      <c r="I491" t="s">
        <v>516</v>
      </c>
      <c r="J491" s="6">
        <v>26</v>
      </c>
      <c r="K491" s="4" t="str">
        <f t="shared" si="7"/>
        <v>Mid</v>
      </c>
      <c r="L491" t="s">
        <v>3561</v>
      </c>
      <c r="M491" s="4" t="s">
        <v>3561</v>
      </c>
      <c r="N491" t="s">
        <v>457</v>
      </c>
      <c r="O491" t="s">
        <v>3569</v>
      </c>
      <c r="P491" s="4" t="s">
        <v>3573</v>
      </c>
      <c r="Q491" t="s">
        <v>3573</v>
      </c>
      <c r="R491" t="s">
        <v>517</v>
      </c>
    </row>
    <row r="492" spans="1:18">
      <c r="A492" t="s">
        <v>837</v>
      </c>
      <c r="B492" t="s">
        <v>840</v>
      </c>
      <c r="C492" t="s">
        <v>2740</v>
      </c>
      <c r="D492" t="s">
        <v>3551</v>
      </c>
      <c r="E492">
        <v>57</v>
      </c>
      <c r="F492" s="4" t="s">
        <v>3557</v>
      </c>
      <c r="G492" s="4">
        <v>0</v>
      </c>
      <c r="H492">
        <v>0</v>
      </c>
      <c r="I492" t="s">
        <v>518</v>
      </c>
      <c r="J492" s="6">
        <v>10.5</v>
      </c>
      <c r="K492" s="4" t="str">
        <f t="shared" si="7"/>
        <v>Mid</v>
      </c>
      <c r="L492" t="s">
        <v>519</v>
      </c>
      <c r="M492" s="4" t="s">
        <v>3564</v>
      </c>
      <c r="N492" t="s">
        <v>457</v>
      </c>
      <c r="O492" t="s">
        <v>3569</v>
      </c>
      <c r="P492" s="4">
        <v>52</v>
      </c>
      <c r="Q492" t="s">
        <v>3574</v>
      </c>
      <c r="R492" t="s">
        <v>520</v>
      </c>
    </row>
    <row r="493" spans="1:18">
      <c r="A493" t="s">
        <v>837</v>
      </c>
      <c r="B493" t="s">
        <v>840</v>
      </c>
      <c r="C493" t="s">
        <v>2741</v>
      </c>
      <c r="D493" t="s">
        <v>3552</v>
      </c>
      <c r="E493">
        <v>28</v>
      </c>
      <c r="F493" s="4" t="s">
        <v>3555</v>
      </c>
      <c r="G493" s="4">
        <v>0</v>
      </c>
      <c r="H493">
        <v>0</v>
      </c>
      <c r="I493">
        <v>237735</v>
      </c>
      <c r="J493" s="6">
        <v>15.0458</v>
      </c>
      <c r="K493" s="4" t="str">
        <f t="shared" si="7"/>
        <v>Mid</v>
      </c>
      <c r="L493" t="s">
        <v>59</v>
      </c>
      <c r="M493" s="4" t="s">
        <v>59</v>
      </c>
      <c r="N493" t="s">
        <v>3566</v>
      </c>
      <c r="O493" t="s">
        <v>3569</v>
      </c>
      <c r="P493" s="4" t="s">
        <v>3573</v>
      </c>
      <c r="Q493" t="s">
        <v>3573</v>
      </c>
      <c r="R493" t="s">
        <v>521</v>
      </c>
    </row>
    <row r="494" spans="1:18">
      <c r="A494" t="s">
        <v>837</v>
      </c>
      <c r="B494" t="s">
        <v>9</v>
      </c>
      <c r="C494" t="s">
        <v>2742</v>
      </c>
      <c r="D494" t="s">
        <v>3552</v>
      </c>
      <c r="E494">
        <v>1</v>
      </c>
      <c r="F494" s="4" t="s">
        <v>3556</v>
      </c>
      <c r="G494" s="4">
        <v>2</v>
      </c>
      <c r="H494">
        <v>0</v>
      </c>
      <c r="I494" t="s">
        <v>522</v>
      </c>
      <c r="J494" s="6">
        <v>37.004199999999997</v>
      </c>
      <c r="K494" s="4" t="str">
        <f t="shared" si="7"/>
        <v>Mid</v>
      </c>
      <c r="L494" t="s">
        <v>3561</v>
      </c>
      <c r="M494" s="4" t="s">
        <v>3561</v>
      </c>
      <c r="N494" t="s">
        <v>3566</v>
      </c>
      <c r="O494">
        <v>10</v>
      </c>
      <c r="P494" s="4" t="s">
        <v>3573</v>
      </c>
      <c r="Q494" t="s">
        <v>3573</v>
      </c>
      <c r="R494" t="s">
        <v>523</v>
      </c>
    </row>
    <row r="495" spans="1:18">
      <c r="A495" t="s">
        <v>837</v>
      </c>
      <c r="B495" t="s">
        <v>840</v>
      </c>
      <c r="C495" t="s">
        <v>2743</v>
      </c>
      <c r="D495" t="s">
        <v>3552</v>
      </c>
      <c r="E495">
        <v>31</v>
      </c>
      <c r="F495" s="4" t="s">
        <v>3557</v>
      </c>
      <c r="G495" s="4">
        <v>1</v>
      </c>
      <c r="H495">
        <v>1</v>
      </c>
      <c r="I495" t="s">
        <v>522</v>
      </c>
      <c r="J495" s="6">
        <v>37.004199999999997</v>
      </c>
      <c r="K495" s="4" t="str">
        <f t="shared" si="7"/>
        <v>Mid</v>
      </c>
      <c r="L495" t="s">
        <v>3561</v>
      </c>
      <c r="M495" s="4" t="s">
        <v>3561</v>
      </c>
      <c r="N495" t="s">
        <v>3566</v>
      </c>
      <c r="O495" t="s">
        <v>3569</v>
      </c>
      <c r="P495" s="4" t="s">
        <v>3573</v>
      </c>
      <c r="Q495" t="s">
        <v>3573</v>
      </c>
      <c r="R495" t="s">
        <v>523</v>
      </c>
    </row>
    <row r="496" spans="1:18">
      <c r="A496" t="s">
        <v>837</v>
      </c>
      <c r="B496" t="s">
        <v>9</v>
      </c>
      <c r="C496" t="s">
        <v>2744</v>
      </c>
      <c r="D496" t="s">
        <v>3551</v>
      </c>
      <c r="E496">
        <v>24</v>
      </c>
      <c r="F496" s="4" t="s">
        <v>3555</v>
      </c>
      <c r="G496" s="4">
        <v>1</v>
      </c>
      <c r="H496">
        <v>1</v>
      </c>
      <c r="I496" t="s">
        <v>522</v>
      </c>
      <c r="J496" s="6">
        <v>37.004199999999997</v>
      </c>
      <c r="K496" s="4" t="str">
        <f t="shared" si="7"/>
        <v>Mid</v>
      </c>
      <c r="L496" t="s">
        <v>3561</v>
      </c>
      <c r="M496" s="4" t="s">
        <v>3561</v>
      </c>
      <c r="N496" t="s">
        <v>3566</v>
      </c>
      <c r="O496">
        <v>10</v>
      </c>
      <c r="P496" s="4" t="s">
        <v>3573</v>
      </c>
      <c r="Q496" t="s">
        <v>3573</v>
      </c>
      <c r="R496" t="s">
        <v>523</v>
      </c>
    </row>
    <row r="497" spans="1:18">
      <c r="A497" t="s">
        <v>837</v>
      </c>
      <c r="B497" t="s">
        <v>840</v>
      </c>
      <c r="C497" t="s">
        <v>2745</v>
      </c>
      <c r="D497" t="s">
        <v>3552</v>
      </c>
      <c r="E497">
        <v>28</v>
      </c>
      <c r="F497" s="4" t="s">
        <v>3555</v>
      </c>
      <c r="G497" s="4">
        <v>0</v>
      </c>
      <c r="H497">
        <v>0</v>
      </c>
      <c r="I497" t="s">
        <v>524</v>
      </c>
      <c r="J497" s="6">
        <v>15.5792</v>
      </c>
      <c r="K497" s="4" t="str">
        <f t="shared" si="7"/>
        <v>Mid</v>
      </c>
      <c r="L497" t="s">
        <v>3561</v>
      </c>
      <c r="M497" s="4" t="s">
        <v>3561</v>
      </c>
      <c r="N497" t="s">
        <v>3566</v>
      </c>
      <c r="O497" t="s">
        <v>3569</v>
      </c>
      <c r="P497" s="4" t="s">
        <v>3573</v>
      </c>
      <c r="Q497" t="s">
        <v>3573</v>
      </c>
      <c r="R497" t="s">
        <v>53</v>
      </c>
    </row>
    <row r="498" spans="1:18">
      <c r="A498" t="s">
        <v>837</v>
      </c>
      <c r="B498" t="s">
        <v>840</v>
      </c>
      <c r="C498" t="s">
        <v>2746</v>
      </c>
      <c r="D498" t="s">
        <v>3552</v>
      </c>
      <c r="E498">
        <v>30</v>
      </c>
      <c r="F498" s="4" t="s">
        <v>3557</v>
      </c>
      <c r="G498" s="4">
        <v>0</v>
      </c>
      <c r="H498">
        <v>0</v>
      </c>
      <c r="I498">
        <v>28228</v>
      </c>
      <c r="J498" s="6">
        <v>13</v>
      </c>
      <c r="K498" s="4" t="str">
        <f t="shared" si="7"/>
        <v>Mid</v>
      </c>
      <c r="L498" t="s">
        <v>3561</v>
      </c>
      <c r="M498" s="4" t="s">
        <v>3561</v>
      </c>
      <c r="N498" t="s">
        <v>457</v>
      </c>
      <c r="O498" t="s">
        <v>3569</v>
      </c>
      <c r="P498" s="4" t="s">
        <v>3573</v>
      </c>
      <c r="Q498" t="s">
        <v>3573</v>
      </c>
      <c r="R498" t="s">
        <v>525</v>
      </c>
    </row>
    <row r="499" spans="1:18">
      <c r="A499" t="s">
        <v>837</v>
      </c>
      <c r="B499" t="s">
        <v>840</v>
      </c>
      <c r="C499" t="s">
        <v>2747</v>
      </c>
      <c r="D499" t="s">
        <v>3552</v>
      </c>
      <c r="E499">
        <v>40</v>
      </c>
      <c r="F499" s="4" t="s">
        <v>3557</v>
      </c>
      <c r="G499" s="4">
        <v>0</v>
      </c>
      <c r="H499">
        <v>0</v>
      </c>
      <c r="I499">
        <v>239059</v>
      </c>
      <c r="J499" s="6">
        <v>16</v>
      </c>
      <c r="K499" s="4" t="str">
        <f t="shared" si="7"/>
        <v>Mid</v>
      </c>
      <c r="L499" t="s">
        <v>3561</v>
      </c>
      <c r="M499" s="4" t="s">
        <v>3561</v>
      </c>
      <c r="N499" t="s">
        <v>457</v>
      </c>
      <c r="O499" t="s">
        <v>3569</v>
      </c>
      <c r="P499" s="4" t="s">
        <v>3573</v>
      </c>
      <c r="Q499" t="s">
        <v>3573</v>
      </c>
      <c r="R499" t="s">
        <v>526</v>
      </c>
    </row>
    <row r="500" spans="1:18">
      <c r="A500" t="s">
        <v>837</v>
      </c>
      <c r="B500" t="s">
        <v>840</v>
      </c>
      <c r="C500" t="s">
        <v>2748</v>
      </c>
      <c r="D500" t="s">
        <v>3552</v>
      </c>
      <c r="E500">
        <v>32</v>
      </c>
      <c r="F500" s="4" t="s">
        <v>3557</v>
      </c>
      <c r="G500" s="4">
        <v>0</v>
      </c>
      <c r="H500">
        <v>0</v>
      </c>
      <c r="I500">
        <v>237216</v>
      </c>
      <c r="J500" s="6">
        <v>13.5</v>
      </c>
      <c r="K500" s="4" t="str">
        <f t="shared" si="7"/>
        <v>Mid</v>
      </c>
      <c r="L500" t="s">
        <v>3561</v>
      </c>
      <c r="M500" s="4" t="s">
        <v>3561</v>
      </c>
      <c r="N500" t="s">
        <v>457</v>
      </c>
      <c r="O500" t="s">
        <v>3569</v>
      </c>
      <c r="P500" s="4">
        <v>209</v>
      </c>
      <c r="Q500" t="s">
        <v>3574</v>
      </c>
      <c r="R500" t="s">
        <v>527</v>
      </c>
    </row>
    <row r="501" spans="1:18">
      <c r="A501" t="s">
        <v>837</v>
      </c>
      <c r="B501" t="s">
        <v>840</v>
      </c>
      <c r="C501" t="s">
        <v>2749</v>
      </c>
      <c r="D501" t="s">
        <v>3552</v>
      </c>
      <c r="E501">
        <v>30</v>
      </c>
      <c r="F501" s="4" t="s">
        <v>3557</v>
      </c>
      <c r="G501" s="4">
        <v>0</v>
      </c>
      <c r="H501">
        <v>0</v>
      </c>
      <c r="I501">
        <v>233478</v>
      </c>
      <c r="J501" s="6">
        <v>13</v>
      </c>
      <c r="K501" s="4" t="str">
        <f t="shared" si="7"/>
        <v>Mid</v>
      </c>
      <c r="L501" t="s">
        <v>3561</v>
      </c>
      <c r="M501" s="4" t="s">
        <v>3561</v>
      </c>
      <c r="N501" t="s">
        <v>457</v>
      </c>
      <c r="O501" t="s">
        <v>3569</v>
      </c>
      <c r="P501" s="4" t="s">
        <v>3573</v>
      </c>
      <c r="Q501" t="s">
        <v>3573</v>
      </c>
      <c r="R501" t="s">
        <v>528</v>
      </c>
    </row>
    <row r="502" spans="1:18">
      <c r="A502" t="s">
        <v>837</v>
      </c>
      <c r="B502" t="s">
        <v>840</v>
      </c>
      <c r="C502" t="s">
        <v>2750</v>
      </c>
      <c r="D502" t="s">
        <v>3552</v>
      </c>
      <c r="E502">
        <v>46</v>
      </c>
      <c r="F502" s="4" t="s">
        <v>3557</v>
      </c>
      <c r="G502" s="4">
        <v>0</v>
      </c>
      <c r="H502">
        <v>0</v>
      </c>
      <c r="I502">
        <v>28403</v>
      </c>
      <c r="J502" s="6">
        <v>26</v>
      </c>
      <c r="K502" s="4" t="str">
        <f t="shared" si="7"/>
        <v>Mid</v>
      </c>
      <c r="L502" t="s">
        <v>3561</v>
      </c>
      <c r="M502" s="4" t="s">
        <v>3561</v>
      </c>
      <c r="N502" t="s">
        <v>457</v>
      </c>
      <c r="O502" t="s">
        <v>3569</v>
      </c>
      <c r="P502" s="4" t="s">
        <v>3573</v>
      </c>
      <c r="Q502" t="s">
        <v>3573</v>
      </c>
      <c r="R502" t="s">
        <v>418</v>
      </c>
    </row>
    <row r="503" spans="1:18">
      <c r="A503" t="s">
        <v>837</v>
      </c>
      <c r="B503" t="s">
        <v>9</v>
      </c>
      <c r="C503" t="s">
        <v>2751</v>
      </c>
      <c r="D503" t="s">
        <v>3551</v>
      </c>
      <c r="E503">
        <v>13</v>
      </c>
      <c r="F503" s="4" t="s">
        <v>3560</v>
      </c>
      <c r="G503" s="4">
        <v>1</v>
      </c>
      <c r="H503">
        <v>0</v>
      </c>
      <c r="I503">
        <v>250644</v>
      </c>
      <c r="J503" s="6">
        <v>19.5</v>
      </c>
      <c r="K503" s="4" t="str">
        <f t="shared" si="7"/>
        <v>Mid</v>
      </c>
      <c r="L503" t="s">
        <v>3561</v>
      </c>
      <c r="M503" s="4" t="s">
        <v>3561</v>
      </c>
      <c r="N503" t="s">
        <v>457</v>
      </c>
      <c r="O503">
        <v>14</v>
      </c>
      <c r="P503" s="4" t="s">
        <v>3573</v>
      </c>
      <c r="Q503" t="s">
        <v>3573</v>
      </c>
      <c r="R503" t="s">
        <v>529</v>
      </c>
    </row>
    <row r="504" spans="1:18">
      <c r="A504" t="s">
        <v>837</v>
      </c>
      <c r="B504" t="s">
        <v>9</v>
      </c>
      <c r="C504" t="s">
        <v>2752</v>
      </c>
      <c r="D504" t="s">
        <v>3551</v>
      </c>
      <c r="E504">
        <v>41</v>
      </c>
      <c r="F504" s="4" t="s">
        <v>3557</v>
      </c>
      <c r="G504" s="4">
        <v>1</v>
      </c>
      <c r="H504">
        <v>0</v>
      </c>
      <c r="I504">
        <v>250644</v>
      </c>
      <c r="J504" s="6">
        <v>19.5</v>
      </c>
      <c r="K504" s="4" t="str">
        <f t="shared" si="7"/>
        <v>Mid</v>
      </c>
      <c r="L504" t="s">
        <v>3561</v>
      </c>
      <c r="M504" s="4" t="s">
        <v>3561</v>
      </c>
      <c r="N504" t="s">
        <v>457</v>
      </c>
      <c r="O504">
        <v>14</v>
      </c>
      <c r="P504" s="4" t="s">
        <v>3573</v>
      </c>
      <c r="Q504" t="s">
        <v>3573</v>
      </c>
      <c r="R504" t="s">
        <v>529</v>
      </c>
    </row>
    <row r="505" spans="1:18">
      <c r="A505" t="s">
        <v>837</v>
      </c>
      <c r="B505" t="s">
        <v>9</v>
      </c>
      <c r="C505" t="s">
        <v>2753</v>
      </c>
      <c r="D505" t="s">
        <v>3552</v>
      </c>
      <c r="E505">
        <v>19</v>
      </c>
      <c r="F505" s="4" t="s">
        <v>3555</v>
      </c>
      <c r="G505" s="4">
        <v>0</v>
      </c>
      <c r="H505">
        <v>0</v>
      </c>
      <c r="I505" t="s">
        <v>530</v>
      </c>
      <c r="J505" s="6">
        <v>10.5</v>
      </c>
      <c r="K505" s="4" t="str">
        <f t="shared" si="7"/>
        <v>Mid</v>
      </c>
      <c r="L505" t="s">
        <v>3561</v>
      </c>
      <c r="M505" s="4" t="s">
        <v>3561</v>
      </c>
      <c r="N505" t="s">
        <v>457</v>
      </c>
      <c r="O505" t="s">
        <v>70</v>
      </c>
      <c r="P505" s="4" t="s">
        <v>3573</v>
      </c>
      <c r="Q505" t="s">
        <v>3573</v>
      </c>
      <c r="R505" t="s">
        <v>531</v>
      </c>
    </row>
    <row r="506" spans="1:18">
      <c r="A506" t="s">
        <v>837</v>
      </c>
      <c r="B506" t="s">
        <v>840</v>
      </c>
      <c r="C506" t="s">
        <v>2754</v>
      </c>
      <c r="D506" t="s">
        <v>3552</v>
      </c>
      <c r="E506">
        <v>39</v>
      </c>
      <c r="F506" s="4" t="s">
        <v>3557</v>
      </c>
      <c r="G506" s="4">
        <v>0</v>
      </c>
      <c r="H506">
        <v>0</v>
      </c>
      <c r="I506">
        <v>248723</v>
      </c>
      <c r="J506" s="6">
        <v>13</v>
      </c>
      <c r="K506" s="4" t="str">
        <f t="shared" si="7"/>
        <v>Mid</v>
      </c>
      <c r="L506" t="s">
        <v>3561</v>
      </c>
      <c r="M506" s="4" t="s">
        <v>3561</v>
      </c>
      <c r="N506" t="s">
        <v>457</v>
      </c>
      <c r="O506" t="s">
        <v>3569</v>
      </c>
      <c r="P506" s="4" t="s">
        <v>3573</v>
      </c>
      <c r="Q506" t="s">
        <v>3573</v>
      </c>
      <c r="R506" t="s">
        <v>532</v>
      </c>
    </row>
    <row r="507" spans="1:18">
      <c r="A507" t="s">
        <v>837</v>
      </c>
      <c r="B507" t="s">
        <v>840</v>
      </c>
      <c r="C507" t="s">
        <v>2755</v>
      </c>
      <c r="D507" t="s">
        <v>3552</v>
      </c>
      <c r="E507">
        <v>48</v>
      </c>
      <c r="F507" s="4" t="s">
        <v>3557</v>
      </c>
      <c r="G507" s="4">
        <v>0</v>
      </c>
      <c r="H507">
        <v>0</v>
      </c>
      <c r="I507">
        <v>234360</v>
      </c>
      <c r="J507" s="6">
        <v>13</v>
      </c>
      <c r="K507" s="4" t="str">
        <f t="shared" si="7"/>
        <v>Mid</v>
      </c>
      <c r="L507" t="s">
        <v>3561</v>
      </c>
      <c r="M507" s="4" t="s">
        <v>3561</v>
      </c>
      <c r="N507" t="s">
        <v>457</v>
      </c>
      <c r="O507" t="s">
        <v>3569</v>
      </c>
      <c r="P507" s="4">
        <v>271</v>
      </c>
      <c r="Q507" t="s">
        <v>3574</v>
      </c>
      <c r="R507" t="s">
        <v>533</v>
      </c>
    </row>
    <row r="508" spans="1:18">
      <c r="A508" t="s">
        <v>837</v>
      </c>
      <c r="B508" t="s">
        <v>840</v>
      </c>
      <c r="C508" t="s">
        <v>2756</v>
      </c>
      <c r="D508" t="s">
        <v>3552</v>
      </c>
      <c r="E508">
        <v>70</v>
      </c>
      <c r="F508" s="4" t="s">
        <v>3559</v>
      </c>
      <c r="G508" s="4">
        <v>0</v>
      </c>
      <c r="H508">
        <v>0</v>
      </c>
      <c r="I508" t="s">
        <v>534</v>
      </c>
      <c r="J508" s="6">
        <v>10.5</v>
      </c>
      <c r="K508" s="4" t="str">
        <f t="shared" si="7"/>
        <v>Mid</v>
      </c>
      <c r="L508" t="s">
        <v>3561</v>
      </c>
      <c r="M508" s="4" t="s">
        <v>3561</v>
      </c>
      <c r="N508" t="s">
        <v>457</v>
      </c>
      <c r="O508" t="s">
        <v>3569</v>
      </c>
      <c r="P508" s="4" t="s">
        <v>3573</v>
      </c>
      <c r="Q508" t="s">
        <v>3573</v>
      </c>
      <c r="R508" t="s">
        <v>535</v>
      </c>
    </row>
    <row r="509" spans="1:18">
      <c r="A509" t="s">
        <v>837</v>
      </c>
      <c r="B509" t="s">
        <v>840</v>
      </c>
      <c r="C509" t="s">
        <v>2757</v>
      </c>
      <c r="D509" t="s">
        <v>3552</v>
      </c>
      <c r="E509">
        <v>27</v>
      </c>
      <c r="F509" s="4" t="s">
        <v>3555</v>
      </c>
      <c r="G509" s="4">
        <v>0</v>
      </c>
      <c r="H509">
        <v>0</v>
      </c>
      <c r="I509">
        <v>211536</v>
      </c>
      <c r="J509" s="6">
        <v>13</v>
      </c>
      <c r="K509" s="4" t="str">
        <f t="shared" si="7"/>
        <v>Mid</v>
      </c>
      <c r="L509" t="s">
        <v>3561</v>
      </c>
      <c r="M509" s="4" t="s">
        <v>3561</v>
      </c>
      <c r="N509" t="s">
        <v>457</v>
      </c>
      <c r="O509" t="s">
        <v>3569</v>
      </c>
      <c r="P509" s="4" t="s">
        <v>3573</v>
      </c>
      <c r="Q509" t="s">
        <v>3573</v>
      </c>
      <c r="R509" t="s">
        <v>316</v>
      </c>
    </row>
    <row r="510" spans="1:18">
      <c r="A510" t="s">
        <v>837</v>
      </c>
      <c r="B510" t="s">
        <v>840</v>
      </c>
      <c r="C510" t="s">
        <v>2758</v>
      </c>
      <c r="D510" t="s">
        <v>3552</v>
      </c>
      <c r="E510">
        <v>54</v>
      </c>
      <c r="F510" s="4" t="s">
        <v>3557</v>
      </c>
      <c r="G510" s="4">
        <v>0</v>
      </c>
      <c r="H510">
        <v>0</v>
      </c>
      <c r="I510">
        <v>29011</v>
      </c>
      <c r="J510" s="6">
        <v>14</v>
      </c>
      <c r="K510" s="4" t="str">
        <f t="shared" si="7"/>
        <v>Mid</v>
      </c>
      <c r="L510" t="s">
        <v>3561</v>
      </c>
      <c r="M510" s="4" t="s">
        <v>3561</v>
      </c>
      <c r="N510" t="s">
        <v>457</v>
      </c>
      <c r="O510" t="s">
        <v>3569</v>
      </c>
      <c r="P510" s="4" t="s">
        <v>3573</v>
      </c>
      <c r="Q510" t="s">
        <v>3573</v>
      </c>
      <c r="R510" t="s">
        <v>536</v>
      </c>
    </row>
    <row r="511" spans="1:18">
      <c r="A511" t="s">
        <v>837</v>
      </c>
      <c r="B511" t="s">
        <v>840</v>
      </c>
      <c r="C511" t="s">
        <v>2759</v>
      </c>
      <c r="D511" t="s">
        <v>3552</v>
      </c>
      <c r="E511">
        <v>39</v>
      </c>
      <c r="F511" s="4" t="s">
        <v>3557</v>
      </c>
      <c r="G511" s="4">
        <v>0</v>
      </c>
      <c r="H511">
        <v>0</v>
      </c>
      <c r="I511">
        <v>250655</v>
      </c>
      <c r="J511" s="6">
        <v>26</v>
      </c>
      <c r="K511" s="4" t="str">
        <f t="shared" si="7"/>
        <v>Mid</v>
      </c>
      <c r="L511" t="s">
        <v>3561</v>
      </c>
      <c r="M511" s="4" t="s">
        <v>3561</v>
      </c>
      <c r="N511" t="s">
        <v>457</v>
      </c>
      <c r="O511" t="s">
        <v>3569</v>
      </c>
      <c r="P511" s="4" t="s">
        <v>3573</v>
      </c>
      <c r="Q511" t="s">
        <v>3573</v>
      </c>
    </row>
    <row r="512" spans="1:18">
      <c r="A512" t="s">
        <v>837</v>
      </c>
      <c r="B512" t="s">
        <v>840</v>
      </c>
      <c r="C512" t="s">
        <v>2760</v>
      </c>
      <c r="D512" t="s">
        <v>3552</v>
      </c>
      <c r="E512">
        <v>16</v>
      </c>
      <c r="F512" s="4" t="s">
        <v>3560</v>
      </c>
      <c r="G512" s="4">
        <v>0</v>
      </c>
      <c r="H512">
        <v>0</v>
      </c>
      <c r="I512" t="s">
        <v>518</v>
      </c>
      <c r="J512" s="6">
        <v>10.5</v>
      </c>
      <c r="K512" s="4" t="str">
        <f t="shared" si="7"/>
        <v>Mid</v>
      </c>
      <c r="L512" t="s">
        <v>3561</v>
      </c>
      <c r="M512" s="4" t="s">
        <v>3561</v>
      </c>
      <c r="N512" t="s">
        <v>457</v>
      </c>
      <c r="O512" t="s">
        <v>3569</v>
      </c>
      <c r="P512" s="4" t="s">
        <v>3573</v>
      </c>
      <c r="Q512" t="s">
        <v>3573</v>
      </c>
      <c r="R512" t="s">
        <v>537</v>
      </c>
    </row>
    <row r="513" spans="1:18">
      <c r="A513" t="s">
        <v>837</v>
      </c>
      <c r="B513" t="s">
        <v>840</v>
      </c>
      <c r="C513" t="s">
        <v>2761</v>
      </c>
      <c r="D513" t="s">
        <v>3552</v>
      </c>
      <c r="E513">
        <v>62</v>
      </c>
      <c r="F513" s="4" t="s">
        <v>3559</v>
      </c>
      <c r="G513" s="4">
        <v>0</v>
      </c>
      <c r="H513">
        <v>0</v>
      </c>
      <c r="I513">
        <v>240276</v>
      </c>
      <c r="J513" s="6">
        <v>9.6875</v>
      </c>
      <c r="K513" s="4" t="str">
        <f t="shared" si="7"/>
        <v>Low</v>
      </c>
      <c r="L513" t="s">
        <v>3561</v>
      </c>
      <c r="M513" s="4" t="s">
        <v>3561</v>
      </c>
      <c r="N513" t="s">
        <v>3567</v>
      </c>
      <c r="O513" t="s">
        <v>3569</v>
      </c>
      <c r="P513" s="4" t="s">
        <v>3573</v>
      </c>
      <c r="Q513" t="s">
        <v>3573</v>
      </c>
      <c r="R513" t="s">
        <v>538</v>
      </c>
    </row>
    <row r="514" spans="1:18">
      <c r="A514" t="s">
        <v>837</v>
      </c>
      <c r="B514" t="s">
        <v>840</v>
      </c>
      <c r="C514" t="s">
        <v>2762</v>
      </c>
      <c r="D514" t="s">
        <v>3552</v>
      </c>
      <c r="E514">
        <v>33</v>
      </c>
      <c r="F514" s="4" t="s">
        <v>3557</v>
      </c>
      <c r="G514" s="4">
        <v>0</v>
      </c>
      <c r="H514">
        <v>1</v>
      </c>
      <c r="I514">
        <v>237736</v>
      </c>
      <c r="J514" s="6">
        <v>30.070799999999998</v>
      </c>
      <c r="K514" s="4" t="str">
        <f t="shared" si="7"/>
        <v>Mid</v>
      </c>
      <c r="L514" t="s">
        <v>3561</v>
      </c>
      <c r="M514" s="4" t="s">
        <v>3561</v>
      </c>
      <c r="N514" t="s">
        <v>3566</v>
      </c>
      <c r="O514" t="s">
        <v>3569</v>
      </c>
      <c r="P514" s="4">
        <v>43</v>
      </c>
      <c r="Q514" t="s">
        <v>3574</v>
      </c>
      <c r="R514" t="s">
        <v>53</v>
      </c>
    </row>
    <row r="515" spans="1:18">
      <c r="A515" t="s">
        <v>837</v>
      </c>
      <c r="B515" t="s">
        <v>9</v>
      </c>
      <c r="C515" t="s">
        <v>2763</v>
      </c>
      <c r="D515" t="s">
        <v>3551</v>
      </c>
      <c r="E515">
        <v>14</v>
      </c>
      <c r="F515" s="4" t="s">
        <v>3560</v>
      </c>
      <c r="G515" s="4">
        <v>0</v>
      </c>
      <c r="H515">
        <v>1</v>
      </c>
      <c r="I515">
        <v>237736</v>
      </c>
      <c r="J515" s="6">
        <v>30.070799999999998</v>
      </c>
      <c r="K515" s="4" t="str">
        <f t="shared" ref="K515:K578" si="8">IF(J515&lt;=10,"Low",IF(J515&lt;=50,"Mid","High"))</f>
        <v>Mid</v>
      </c>
      <c r="L515" t="s">
        <v>3561</v>
      </c>
      <c r="M515" s="4" t="s">
        <v>3561</v>
      </c>
      <c r="N515" t="s">
        <v>3566</v>
      </c>
      <c r="O515" t="s">
        <v>3569</v>
      </c>
      <c r="P515" s="4" t="s">
        <v>3573</v>
      </c>
      <c r="Q515" t="s">
        <v>3573</v>
      </c>
      <c r="R515" t="s">
        <v>53</v>
      </c>
    </row>
    <row r="516" spans="1:18">
      <c r="A516" t="s">
        <v>837</v>
      </c>
      <c r="B516" t="s">
        <v>9</v>
      </c>
      <c r="C516" t="s">
        <v>2764</v>
      </c>
      <c r="D516" t="s">
        <v>3552</v>
      </c>
      <c r="E516">
        <v>2</v>
      </c>
      <c r="F516" s="4" t="s">
        <v>3556</v>
      </c>
      <c r="G516" s="4">
        <v>1</v>
      </c>
      <c r="H516">
        <v>1</v>
      </c>
      <c r="I516">
        <v>230080</v>
      </c>
      <c r="J516" s="6">
        <v>26</v>
      </c>
      <c r="K516" s="4" t="str">
        <f t="shared" si="8"/>
        <v>Mid</v>
      </c>
      <c r="L516" t="s">
        <v>539</v>
      </c>
      <c r="M516" s="4" t="s">
        <v>586</v>
      </c>
      <c r="N516" t="s">
        <v>457</v>
      </c>
      <c r="O516" t="s">
        <v>59</v>
      </c>
      <c r="P516" s="4" t="s">
        <v>3573</v>
      </c>
      <c r="Q516" t="s">
        <v>3573</v>
      </c>
      <c r="R516" t="s">
        <v>540</v>
      </c>
    </row>
    <row r="517" spans="1:18">
      <c r="A517" t="s">
        <v>837</v>
      </c>
      <c r="B517" t="s">
        <v>9</v>
      </c>
      <c r="C517" t="s">
        <v>2765</v>
      </c>
      <c r="D517" t="s">
        <v>3552</v>
      </c>
      <c r="E517">
        <v>3</v>
      </c>
      <c r="F517" s="4" t="s">
        <v>3556</v>
      </c>
      <c r="G517" s="4">
        <v>1</v>
      </c>
      <c r="H517">
        <v>1</v>
      </c>
      <c r="I517">
        <v>230080</v>
      </c>
      <c r="J517" s="6">
        <v>26</v>
      </c>
      <c r="K517" s="4" t="str">
        <f t="shared" si="8"/>
        <v>Mid</v>
      </c>
      <c r="L517" t="s">
        <v>539</v>
      </c>
      <c r="M517" s="4" t="s">
        <v>586</v>
      </c>
      <c r="N517" t="s">
        <v>457</v>
      </c>
      <c r="O517" t="s">
        <v>59</v>
      </c>
      <c r="P517" s="4" t="s">
        <v>3573</v>
      </c>
      <c r="Q517" t="s">
        <v>3573</v>
      </c>
      <c r="R517" t="s">
        <v>540</v>
      </c>
    </row>
    <row r="518" spans="1:18">
      <c r="A518" t="s">
        <v>837</v>
      </c>
      <c r="B518" t="s">
        <v>840</v>
      </c>
      <c r="C518" t="s">
        <v>2766</v>
      </c>
      <c r="D518" t="s">
        <v>3552</v>
      </c>
      <c r="E518">
        <v>37</v>
      </c>
      <c r="F518" s="4" t="s">
        <v>3557</v>
      </c>
      <c r="G518" s="4">
        <v>2</v>
      </c>
      <c r="H518">
        <v>0</v>
      </c>
      <c r="I518">
        <v>230080</v>
      </c>
      <c r="J518" s="6">
        <v>26</v>
      </c>
      <c r="K518" s="4" t="str">
        <f t="shared" si="8"/>
        <v>Mid</v>
      </c>
      <c r="L518" t="s">
        <v>539</v>
      </c>
      <c r="M518" s="4" t="s">
        <v>586</v>
      </c>
      <c r="N518" t="s">
        <v>457</v>
      </c>
      <c r="O518" t="s">
        <v>3569</v>
      </c>
      <c r="P518" s="4">
        <v>15</v>
      </c>
      <c r="Q518" t="s">
        <v>3574</v>
      </c>
      <c r="R518" t="s">
        <v>540</v>
      </c>
    </row>
    <row r="519" spans="1:18">
      <c r="A519" t="s">
        <v>837</v>
      </c>
      <c r="B519" t="s">
        <v>840</v>
      </c>
      <c r="C519" t="s">
        <v>2767</v>
      </c>
      <c r="D519" t="s">
        <v>3552</v>
      </c>
      <c r="E519">
        <v>26</v>
      </c>
      <c r="F519" s="4" t="s">
        <v>3555</v>
      </c>
      <c r="G519" s="4">
        <v>0</v>
      </c>
      <c r="H519">
        <v>0</v>
      </c>
      <c r="I519">
        <v>244368</v>
      </c>
      <c r="J519" s="6">
        <v>13</v>
      </c>
      <c r="K519" s="4" t="str">
        <f t="shared" si="8"/>
        <v>Mid</v>
      </c>
      <c r="L519" t="s">
        <v>539</v>
      </c>
      <c r="M519" s="4" t="s">
        <v>586</v>
      </c>
      <c r="N519" t="s">
        <v>457</v>
      </c>
      <c r="O519" t="s">
        <v>3569</v>
      </c>
      <c r="P519" s="4" t="s">
        <v>3573</v>
      </c>
      <c r="Q519" t="s">
        <v>3573</v>
      </c>
      <c r="R519" t="s">
        <v>256</v>
      </c>
    </row>
    <row r="520" spans="1:18">
      <c r="A520" t="s">
        <v>837</v>
      </c>
      <c r="B520" t="s">
        <v>840</v>
      </c>
      <c r="C520" t="s">
        <v>2768</v>
      </c>
      <c r="D520" t="s">
        <v>3552</v>
      </c>
      <c r="E520">
        <v>19</v>
      </c>
      <c r="F520" s="4" t="s">
        <v>3555</v>
      </c>
      <c r="G520" s="4">
        <v>1</v>
      </c>
      <c r="H520">
        <v>1</v>
      </c>
      <c r="I520" t="s">
        <v>446</v>
      </c>
      <c r="J520" s="6">
        <v>36.75</v>
      </c>
      <c r="K520" s="4" t="str">
        <f t="shared" si="8"/>
        <v>Mid</v>
      </c>
      <c r="L520" t="s">
        <v>3561</v>
      </c>
      <c r="M520" s="4" t="s">
        <v>3561</v>
      </c>
      <c r="N520" t="s">
        <v>457</v>
      </c>
      <c r="O520" t="s">
        <v>3569</v>
      </c>
      <c r="P520" s="4">
        <v>101</v>
      </c>
      <c r="Q520" t="s">
        <v>3574</v>
      </c>
      <c r="R520" t="s">
        <v>541</v>
      </c>
    </row>
    <row r="521" spans="1:18">
      <c r="A521" t="s">
        <v>837</v>
      </c>
      <c r="B521" t="s">
        <v>840</v>
      </c>
      <c r="C521" t="s">
        <v>2769</v>
      </c>
      <c r="D521" t="s">
        <v>3552</v>
      </c>
      <c r="E521">
        <v>28</v>
      </c>
      <c r="F521" s="4" t="s">
        <v>3555</v>
      </c>
      <c r="G521" s="4">
        <v>0</v>
      </c>
      <c r="H521">
        <v>0</v>
      </c>
      <c r="I521">
        <v>218629</v>
      </c>
      <c r="J521" s="6">
        <v>13.5</v>
      </c>
      <c r="K521" s="4" t="str">
        <f t="shared" si="8"/>
        <v>Mid</v>
      </c>
      <c r="L521" t="s">
        <v>3561</v>
      </c>
      <c r="M521" s="4" t="s">
        <v>3561</v>
      </c>
      <c r="N521" t="s">
        <v>457</v>
      </c>
      <c r="O521" t="s">
        <v>3569</v>
      </c>
      <c r="P521" s="4">
        <v>287</v>
      </c>
      <c r="Q521" t="s">
        <v>3574</v>
      </c>
      <c r="R521" t="s">
        <v>542</v>
      </c>
    </row>
    <row r="522" spans="1:18">
      <c r="A522" t="s">
        <v>837</v>
      </c>
      <c r="B522" t="s">
        <v>9</v>
      </c>
      <c r="C522" t="s">
        <v>2770</v>
      </c>
      <c r="D522" t="s">
        <v>3552</v>
      </c>
      <c r="E522">
        <v>20</v>
      </c>
      <c r="F522" s="4" t="s">
        <v>3555</v>
      </c>
      <c r="G522" s="4">
        <v>0</v>
      </c>
      <c r="H522">
        <v>0</v>
      </c>
      <c r="I522" t="s">
        <v>543</v>
      </c>
      <c r="J522" s="6">
        <v>13.862500000000001</v>
      </c>
      <c r="K522" s="4" t="str">
        <f t="shared" si="8"/>
        <v>Mid</v>
      </c>
      <c r="L522" t="s">
        <v>544</v>
      </c>
      <c r="M522" s="4" t="s">
        <v>59</v>
      </c>
      <c r="N522" t="s">
        <v>3566</v>
      </c>
      <c r="O522">
        <v>7</v>
      </c>
      <c r="P522" s="4" t="s">
        <v>3573</v>
      </c>
      <c r="Q522" t="s">
        <v>3573</v>
      </c>
      <c r="R522" t="s">
        <v>545</v>
      </c>
    </row>
    <row r="523" spans="1:18">
      <c r="A523" t="s">
        <v>837</v>
      </c>
      <c r="B523" t="s">
        <v>9</v>
      </c>
      <c r="C523" t="s">
        <v>2771</v>
      </c>
      <c r="D523" t="s">
        <v>3551</v>
      </c>
      <c r="E523">
        <v>29</v>
      </c>
      <c r="F523" s="4" t="s">
        <v>3555</v>
      </c>
      <c r="G523" s="4">
        <v>0</v>
      </c>
      <c r="H523">
        <v>0</v>
      </c>
      <c r="I523" t="s">
        <v>546</v>
      </c>
      <c r="J523" s="6">
        <v>10.5</v>
      </c>
      <c r="K523" s="4" t="str">
        <f t="shared" si="8"/>
        <v>Mid</v>
      </c>
      <c r="L523" t="s">
        <v>422</v>
      </c>
      <c r="M523" s="4" t="s">
        <v>586</v>
      </c>
      <c r="N523" t="s">
        <v>457</v>
      </c>
      <c r="O523">
        <v>11</v>
      </c>
      <c r="P523" s="4" t="s">
        <v>3573</v>
      </c>
      <c r="Q523" t="s">
        <v>3573</v>
      </c>
      <c r="R523" t="s">
        <v>547</v>
      </c>
    </row>
    <row r="524" spans="1:18">
      <c r="A524" t="s">
        <v>837</v>
      </c>
      <c r="B524" t="s">
        <v>840</v>
      </c>
      <c r="C524" t="s">
        <v>2772</v>
      </c>
      <c r="D524" t="s">
        <v>3552</v>
      </c>
      <c r="E524">
        <v>39</v>
      </c>
      <c r="F524" s="4" t="s">
        <v>3557</v>
      </c>
      <c r="G524" s="4">
        <v>0</v>
      </c>
      <c r="H524">
        <v>0</v>
      </c>
      <c r="I524">
        <v>28213</v>
      </c>
      <c r="J524" s="6">
        <v>13</v>
      </c>
      <c r="K524" s="4" t="str">
        <f t="shared" si="8"/>
        <v>Mid</v>
      </c>
      <c r="L524" t="s">
        <v>3561</v>
      </c>
      <c r="M524" s="4" t="s">
        <v>3561</v>
      </c>
      <c r="N524" t="s">
        <v>457</v>
      </c>
      <c r="O524" t="s">
        <v>3569</v>
      </c>
      <c r="P524" s="4" t="s">
        <v>3573</v>
      </c>
      <c r="Q524" t="s">
        <v>3573</v>
      </c>
      <c r="R524" t="s">
        <v>548</v>
      </c>
    </row>
    <row r="525" spans="1:18">
      <c r="A525" t="s">
        <v>837</v>
      </c>
      <c r="B525" t="s">
        <v>9</v>
      </c>
      <c r="C525" t="s">
        <v>2773</v>
      </c>
      <c r="D525" t="s">
        <v>3552</v>
      </c>
      <c r="E525">
        <v>22</v>
      </c>
      <c r="F525" s="4" t="s">
        <v>3555</v>
      </c>
      <c r="G525" s="4">
        <v>0</v>
      </c>
      <c r="H525">
        <v>0</v>
      </c>
      <c r="I525" t="s">
        <v>549</v>
      </c>
      <c r="J525" s="6">
        <v>10.5</v>
      </c>
      <c r="K525" s="4" t="str">
        <f t="shared" si="8"/>
        <v>Mid</v>
      </c>
      <c r="L525" t="s">
        <v>3561</v>
      </c>
      <c r="M525" s="4" t="s">
        <v>3561</v>
      </c>
      <c r="N525" t="s">
        <v>457</v>
      </c>
      <c r="O525">
        <v>13</v>
      </c>
      <c r="P525" s="4" t="s">
        <v>3573</v>
      </c>
      <c r="Q525" t="s">
        <v>3573</v>
      </c>
      <c r="R525" t="s">
        <v>550</v>
      </c>
    </row>
    <row r="526" spans="1:18">
      <c r="A526" t="s">
        <v>837</v>
      </c>
      <c r="B526" t="s">
        <v>9</v>
      </c>
      <c r="C526" t="s">
        <v>2774</v>
      </c>
      <c r="D526" t="s">
        <v>3552</v>
      </c>
      <c r="E526">
        <v>28</v>
      </c>
      <c r="F526" s="4" t="s">
        <v>3555</v>
      </c>
      <c r="G526" s="4">
        <v>0</v>
      </c>
      <c r="H526">
        <v>0</v>
      </c>
      <c r="I526" t="s">
        <v>551</v>
      </c>
      <c r="J526" s="6">
        <v>13.862500000000001</v>
      </c>
      <c r="K526" s="4" t="str">
        <f t="shared" si="8"/>
        <v>Mid</v>
      </c>
      <c r="L526" t="s">
        <v>3561</v>
      </c>
      <c r="M526" s="4" t="s">
        <v>3561</v>
      </c>
      <c r="N526" t="s">
        <v>3566</v>
      </c>
      <c r="O526">
        <v>9</v>
      </c>
      <c r="P526" s="4" t="s">
        <v>3573</v>
      </c>
      <c r="Q526" t="s">
        <v>3573</v>
      </c>
      <c r="R526" t="s">
        <v>552</v>
      </c>
    </row>
    <row r="527" spans="1:18">
      <c r="A527" t="s">
        <v>837</v>
      </c>
      <c r="B527" t="s">
        <v>840</v>
      </c>
      <c r="C527" t="s">
        <v>2775</v>
      </c>
      <c r="D527" t="s">
        <v>3552</v>
      </c>
      <c r="E527">
        <v>23</v>
      </c>
      <c r="F527" s="4" t="s">
        <v>3555</v>
      </c>
      <c r="G527" s="4">
        <v>0</v>
      </c>
      <c r="H527">
        <v>0</v>
      </c>
      <c r="I527">
        <v>244278</v>
      </c>
      <c r="J527" s="6">
        <v>10.5</v>
      </c>
      <c r="K527" s="4" t="str">
        <f t="shared" si="8"/>
        <v>Mid</v>
      </c>
      <c r="L527" t="s">
        <v>3561</v>
      </c>
      <c r="M527" s="4" t="s">
        <v>3561</v>
      </c>
      <c r="N527" t="s">
        <v>457</v>
      </c>
      <c r="O527" t="s">
        <v>3569</v>
      </c>
      <c r="P527" s="4" t="s">
        <v>3573</v>
      </c>
      <c r="Q527" t="s">
        <v>3573</v>
      </c>
      <c r="R527" t="s">
        <v>553</v>
      </c>
    </row>
    <row r="528" spans="1:18">
      <c r="A528" t="s">
        <v>837</v>
      </c>
      <c r="B528" t="s">
        <v>9</v>
      </c>
      <c r="C528" t="s">
        <v>2776</v>
      </c>
      <c r="D528" t="s">
        <v>3552</v>
      </c>
      <c r="E528">
        <v>29</v>
      </c>
      <c r="F528" s="4" t="s">
        <v>3555</v>
      </c>
      <c r="G528" s="4">
        <v>0</v>
      </c>
      <c r="H528">
        <v>0</v>
      </c>
      <c r="I528" t="s">
        <v>554</v>
      </c>
      <c r="J528" s="6">
        <v>13.8583</v>
      </c>
      <c r="K528" s="4" t="str">
        <f t="shared" si="8"/>
        <v>Mid</v>
      </c>
      <c r="L528" t="s">
        <v>3561</v>
      </c>
      <c r="M528" s="4" t="s">
        <v>3561</v>
      </c>
      <c r="N528" t="s">
        <v>3566</v>
      </c>
      <c r="O528">
        <v>9</v>
      </c>
      <c r="P528" s="4" t="s">
        <v>3573</v>
      </c>
      <c r="Q528" t="s">
        <v>3573</v>
      </c>
      <c r="R528" t="s">
        <v>552</v>
      </c>
    </row>
    <row r="529" spans="1:18">
      <c r="A529" t="s">
        <v>837</v>
      </c>
      <c r="B529" t="s">
        <v>840</v>
      </c>
      <c r="C529" t="s">
        <v>2777</v>
      </c>
      <c r="D529" t="s">
        <v>3552</v>
      </c>
      <c r="E529">
        <v>28</v>
      </c>
      <c r="F529" s="4" t="s">
        <v>3555</v>
      </c>
      <c r="G529" s="4">
        <v>0</v>
      </c>
      <c r="H529">
        <v>0</v>
      </c>
      <c r="I529" t="s">
        <v>555</v>
      </c>
      <c r="J529" s="6">
        <v>10.5</v>
      </c>
      <c r="K529" s="4" t="str">
        <f t="shared" si="8"/>
        <v>Mid</v>
      </c>
      <c r="L529" t="s">
        <v>3561</v>
      </c>
      <c r="M529" s="4" t="s">
        <v>3561</v>
      </c>
      <c r="N529" t="s">
        <v>457</v>
      </c>
      <c r="O529" t="s">
        <v>3569</v>
      </c>
      <c r="P529" s="4" t="s">
        <v>3573</v>
      </c>
      <c r="Q529" t="s">
        <v>3573</v>
      </c>
      <c r="R529" t="s">
        <v>556</v>
      </c>
    </row>
    <row r="530" spans="1:18">
      <c r="A530" t="s">
        <v>837</v>
      </c>
      <c r="B530" t="s">
        <v>840</v>
      </c>
      <c r="C530" t="s">
        <v>2778</v>
      </c>
      <c r="D530" t="s">
        <v>3552</v>
      </c>
      <c r="E530">
        <v>28</v>
      </c>
      <c r="F530" s="4" t="s">
        <v>3555</v>
      </c>
      <c r="G530" s="4">
        <v>0</v>
      </c>
      <c r="H530">
        <v>0</v>
      </c>
      <c r="I530">
        <v>239853</v>
      </c>
      <c r="J530" s="6">
        <v>0</v>
      </c>
      <c r="K530" s="4" t="str">
        <f t="shared" si="8"/>
        <v>Low</v>
      </c>
      <c r="L530" t="s">
        <v>3561</v>
      </c>
      <c r="M530" s="4" t="s">
        <v>3561</v>
      </c>
      <c r="N530" t="s">
        <v>457</v>
      </c>
      <c r="O530" t="s">
        <v>3569</v>
      </c>
      <c r="P530" s="4" t="s">
        <v>3573</v>
      </c>
      <c r="Q530" t="s">
        <v>3573</v>
      </c>
      <c r="R530" t="s">
        <v>305</v>
      </c>
    </row>
    <row r="531" spans="1:18">
      <c r="A531" t="s">
        <v>837</v>
      </c>
      <c r="B531" t="s">
        <v>9</v>
      </c>
      <c r="C531" t="s">
        <v>2779</v>
      </c>
      <c r="D531" t="s">
        <v>3551</v>
      </c>
      <c r="E531">
        <v>50</v>
      </c>
      <c r="F531" s="4" t="s">
        <v>3557</v>
      </c>
      <c r="G531" s="4">
        <v>1</v>
      </c>
      <c r="H531">
        <v>0</v>
      </c>
      <c r="I531">
        <v>230433</v>
      </c>
      <c r="J531" s="6">
        <v>26</v>
      </c>
      <c r="K531" s="4" t="str">
        <f t="shared" si="8"/>
        <v>Mid</v>
      </c>
      <c r="L531" t="s">
        <v>3561</v>
      </c>
      <c r="M531" s="4" t="s">
        <v>3561</v>
      </c>
      <c r="N531" t="s">
        <v>457</v>
      </c>
      <c r="O531">
        <v>12</v>
      </c>
      <c r="P531" s="4" t="s">
        <v>3573</v>
      </c>
      <c r="Q531" t="s">
        <v>3573</v>
      </c>
      <c r="R531" t="s">
        <v>557</v>
      </c>
    </row>
    <row r="532" spans="1:18">
      <c r="A532" t="s">
        <v>837</v>
      </c>
      <c r="B532" t="s">
        <v>840</v>
      </c>
      <c r="C532" t="s">
        <v>2780</v>
      </c>
      <c r="D532" t="s">
        <v>3552</v>
      </c>
      <c r="E532">
        <v>19</v>
      </c>
      <c r="F532" s="4" t="s">
        <v>3555</v>
      </c>
      <c r="G532" s="4">
        <v>0</v>
      </c>
      <c r="H532">
        <v>0</v>
      </c>
      <c r="I532">
        <v>28665</v>
      </c>
      <c r="J532" s="6">
        <v>10.5</v>
      </c>
      <c r="K532" s="4" t="str">
        <f t="shared" si="8"/>
        <v>Mid</v>
      </c>
      <c r="L532" t="s">
        <v>3561</v>
      </c>
      <c r="M532" s="4" t="s">
        <v>3561</v>
      </c>
      <c r="N532" t="s">
        <v>457</v>
      </c>
      <c r="O532" t="s">
        <v>3569</v>
      </c>
      <c r="P532" s="4" t="s">
        <v>3573</v>
      </c>
      <c r="Q532" t="s">
        <v>3573</v>
      </c>
      <c r="R532" t="s">
        <v>558</v>
      </c>
    </row>
    <row r="533" spans="1:18">
      <c r="A533" t="s">
        <v>837</v>
      </c>
      <c r="B533" t="s">
        <v>840</v>
      </c>
      <c r="C533" t="s">
        <v>2781</v>
      </c>
      <c r="D533" t="s">
        <v>3552</v>
      </c>
      <c r="E533">
        <v>28</v>
      </c>
      <c r="F533" s="4" t="s">
        <v>3555</v>
      </c>
      <c r="G533" s="4">
        <v>0</v>
      </c>
      <c r="H533">
        <v>0</v>
      </c>
      <c r="I533" t="s">
        <v>559</v>
      </c>
      <c r="J533" s="6">
        <v>15.05</v>
      </c>
      <c r="K533" s="4" t="str">
        <f t="shared" si="8"/>
        <v>Mid</v>
      </c>
      <c r="L533" t="s">
        <v>3561</v>
      </c>
      <c r="M533" s="4" t="s">
        <v>3561</v>
      </c>
      <c r="N533" t="s">
        <v>3566</v>
      </c>
      <c r="O533" t="s">
        <v>3569</v>
      </c>
      <c r="P533" s="4" t="s">
        <v>3573</v>
      </c>
      <c r="Q533" t="s">
        <v>3573</v>
      </c>
    </row>
    <row r="534" spans="1:18">
      <c r="A534" t="s">
        <v>837</v>
      </c>
      <c r="B534" t="s">
        <v>840</v>
      </c>
      <c r="C534" t="s">
        <v>2782</v>
      </c>
      <c r="D534" t="s">
        <v>3552</v>
      </c>
      <c r="E534">
        <v>41</v>
      </c>
      <c r="F534" s="4" t="s">
        <v>3557</v>
      </c>
      <c r="G534" s="4">
        <v>0</v>
      </c>
      <c r="H534">
        <v>0</v>
      </c>
      <c r="I534">
        <v>237393</v>
      </c>
      <c r="J534" s="6">
        <v>13</v>
      </c>
      <c r="K534" s="4" t="str">
        <f t="shared" si="8"/>
        <v>Mid</v>
      </c>
      <c r="L534" t="s">
        <v>3561</v>
      </c>
      <c r="M534" s="4" t="s">
        <v>3561</v>
      </c>
      <c r="N534" t="s">
        <v>457</v>
      </c>
      <c r="O534" t="s">
        <v>3569</v>
      </c>
      <c r="P534" s="4" t="s">
        <v>3573</v>
      </c>
      <c r="Q534" t="s">
        <v>3573</v>
      </c>
    </row>
    <row r="535" spans="1:18">
      <c r="A535" t="s">
        <v>837</v>
      </c>
      <c r="B535" t="s">
        <v>9</v>
      </c>
      <c r="C535" t="s">
        <v>2783</v>
      </c>
      <c r="D535" t="s">
        <v>3551</v>
      </c>
      <c r="E535">
        <v>21</v>
      </c>
      <c r="F535" s="4" t="s">
        <v>3555</v>
      </c>
      <c r="G535" s="4">
        <v>1</v>
      </c>
      <c r="H535">
        <v>0</v>
      </c>
      <c r="I535" t="s">
        <v>560</v>
      </c>
      <c r="J535" s="6">
        <v>21</v>
      </c>
      <c r="K535" s="4" t="str">
        <f t="shared" si="8"/>
        <v>Mid</v>
      </c>
      <c r="L535" t="s">
        <v>3561</v>
      </c>
      <c r="M535" s="4" t="s">
        <v>3561</v>
      </c>
      <c r="N535" t="s">
        <v>457</v>
      </c>
      <c r="O535">
        <v>12</v>
      </c>
      <c r="P535" s="4" t="s">
        <v>3573</v>
      </c>
      <c r="Q535" t="s">
        <v>3573</v>
      </c>
      <c r="R535" t="s">
        <v>561</v>
      </c>
    </row>
    <row r="536" spans="1:18">
      <c r="A536" t="s">
        <v>837</v>
      </c>
      <c r="B536" t="s">
        <v>9</v>
      </c>
      <c r="C536" t="s">
        <v>2784</v>
      </c>
      <c r="D536" t="s">
        <v>3551</v>
      </c>
      <c r="E536">
        <v>19</v>
      </c>
      <c r="F536" s="4" t="s">
        <v>3555</v>
      </c>
      <c r="G536" s="4">
        <v>0</v>
      </c>
      <c r="H536">
        <v>0</v>
      </c>
      <c r="I536">
        <v>250655</v>
      </c>
      <c r="J536" s="6">
        <v>26</v>
      </c>
      <c r="K536" s="4" t="str">
        <f t="shared" si="8"/>
        <v>Mid</v>
      </c>
      <c r="L536" t="s">
        <v>3561</v>
      </c>
      <c r="M536" s="4" t="s">
        <v>3561</v>
      </c>
      <c r="N536" t="s">
        <v>457</v>
      </c>
      <c r="O536">
        <v>11</v>
      </c>
      <c r="P536" s="4" t="s">
        <v>3573</v>
      </c>
      <c r="Q536" t="s">
        <v>3573</v>
      </c>
      <c r="R536" t="s">
        <v>562</v>
      </c>
    </row>
    <row r="537" spans="1:18">
      <c r="A537" t="s">
        <v>837</v>
      </c>
      <c r="B537" t="s">
        <v>840</v>
      </c>
      <c r="C537" t="s">
        <v>2785</v>
      </c>
      <c r="D537" t="s">
        <v>3552</v>
      </c>
      <c r="E537">
        <v>43</v>
      </c>
      <c r="F537" s="4" t="s">
        <v>3557</v>
      </c>
      <c r="G537" s="4">
        <v>1</v>
      </c>
      <c r="H537">
        <v>0</v>
      </c>
      <c r="I537" t="s">
        <v>560</v>
      </c>
      <c r="J537" s="6">
        <v>21</v>
      </c>
      <c r="K537" s="4" t="str">
        <f t="shared" si="8"/>
        <v>Mid</v>
      </c>
      <c r="L537" t="s">
        <v>3561</v>
      </c>
      <c r="M537" s="4" t="s">
        <v>3561</v>
      </c>
      <c r="N537" t="s">
        <v>457</v>
      </c>
      <c r="O537" t="s">
        <v>3569</v>
      </c>
      <c r="P537" s="4" t="s">
        <v>3573</v>
      </c>
      <c r="Q537" t="s">
        <v>3573</v>
      </c>
      <c r="R537" t="s">
        <v>561</v>
      </c>
    </row>
    <row r="538" spans="1:18">
      <c r="A538" t="s">
        <v>837</v>
      </c>
      <c r="B538" t="s">
        <v>9</v>
      </c>
      <c r="C538" t="s">
        <v>2786</v>
      </c>
      <c r="D538" t="s">
        <v>3551</v>
      </c>
      <c r="E538">
        <v>32</v>
      </c>
      <c r="F538" s="4" t="s">
        <v>3557</v>
      </c>
      <c r="G538" s="4">
        <v>0</v>
      </c>
      <c r="H538">
        <v>0</v>
      </c>
      <c r="I538">
        <v>234604</v>
      </c>
      <c r="J538" s="6">
        <v>13</v>
      </c>
      <c r="K538" s="4" t="str">
        <f t="shared" si="8"/>
        <v>Mid</v>
      </c>
      <c r="L538" t="s">
        <v>3561</v>
      </c>
      <c r="M538" s="4" t="s">
        <v>3561</v>
      </c>
      <c r="N538" t="s">
        <v>457</v>
      </c>
      <c r="O538">
        <v>9</v>
      </c>
      <c r="P538" s="4" t="s">
        <v>3573</v>
      </c>
      <c r="Q538" t="s">
        <v>3573</v>
      </c>
      <c r="R538" t="s">
        <v>563</v>
      </c>
    </row>
    <row r="539" spans="1:18">
      <c r="A539" t="s">
        <v>837</v>
      </c>
      <c r="B539" t="s">
        <v>840</v>
      </c>
      <c r="C539" t="s">
        <v>2787</v>
      </c>
      <c r="D539" t="s">
        <v>3552</v>
      </c>
      <c r="E539">
        <v>34</v>
      </c>
      <c r="F539" s="4" t="s">
        <v>3557</v>
      </c>
      <c r="G539" s="4">
        <v>0</v>
      </c>
      <c r="H539">
        <v>0</v>
      </c>
      <c r="I539">
        <v>250647</v>
      </c>
      <c r="J539" s="6">
        <v>13</v>
      </c>
      <c r="K539" s="4" t="str">
        <f t="shared" si="8"/>
        <v>Mid</v>
      </c>
      <c r="L539" t="s">
        <v>3561</v>
      </c>
      <c r="M539" s="4" t="s">
        <v>3561</v>
      </c>
      <c r="N539" t="s">
        <v>457</v>
      </c>
      <c r="O539" t="s">
        <v>3569</v>
      </c>
      <c r="P539" s="4" t="s">
        <v>3573</v>
      </c>
      <c r="Q539" t="s">
        <v>3573</v>
      </c>
      <c r="R539" t="s">
        <v>564</v>
      </c>
    </row>
    <row r="540" spans="1:18">
      <c r="A540" t="s">
        <v>837</v>
      </c>
      <c r="B540" t="s">
        <v>9</v>
      </c>
      <c r="C540" t="s">
        <v>2788</v>
      </c>
      <c r="D540" t="s">
        <v>3552</v>
      </c>
      <c r="E540">
        <v>30</v>
      </c>
      <c r="F540" s="4" t="s">
        <v>3557</v>
      </c>
      <c r="G540" s="4">
        <v>0</v>
      </c>
      <c r="H540">
        <v>0</v>
      </c>
      <c r="I540" t="s">
        <v>565</v>
      </c>
      <c r="J540" s="6">
        <v>12.737500000000001</v>
      </c>
      <c r="K540" s="4" t="str">
        <f t="shared" si="8"/>
        <v>Mid</v>
      </c>
      <c r="L540" t="s">
        <v>3561</v>
      </c>
      <c r="M540" s="4" t="s">
        <v>3561</v>
      </c>
      <c r="N540" t="s">
        <v>3566</v>
      </c>
      <c r="O540">
        <v>14</v>
      </c>
      <c r="P540" s="4" t="s">
        <v>3573</v>
      </c>
      <c r="Q540" t="s">
        <v>3573</v>
      </c>
      <c r="R540" t="s">
        <v>566</v>
      </c>
    </row>
    <row r="541" spans="1:18">
      <c r="A541" t="s">
        <v>837</v>
      </c>
      <c r="B541" t="s">
        <v>840</v>
      </c>
      <c r="C541" t="s">
        <v>2789</v>
      </c>
      <c r="D541" t="s">
        <v>3552</v>
      </c>
      <c r="E541">
        <v>27</v>
      </c>
      <c r="F541" s="4" t="s">
        <v>3555</v>
      </c>
      <c r="G541" s="4">
        <v>0</v>
      </c>
      <c r="H541">
        <v>0</v>
      </c>
      <c r="I541" t="s">
        <v>567</v>
      </c>
      <c r="J541" s="6">
        <v>15.033300000000001</v>
      </c>
      <c r="K541" s="4" t="str">
        <f t="shared" si="8"/>
        <v>Mid</v>
      </c>
      <c r="L541" t="s">
        <v>3561</v>
      </c>
      <c r="M541" s="4" t="s">
        <v>3561</v>
      </c>
      <c r="N541" t="s">
        <v>3566</v>
      </c>
      <c r="O541" t="s">
        <v>3569</v>
      </c>
      <c r="P541" s="4" t="s">
        <v>3573</v>
      </c>
      <c r="Q541" t="s">
        <v>3573</v>
      </c>
      <c r="R541" t="s">
        <v>521</v>
      </c>
    </row>
    <row r="542" spans="1:18">
      <c r="A542" t="s">
        <v>837</v>
      </c>
      <c r="B542" t="s">
        <v>9</v>
      </c>
      <c r="C542" t="s">
        <v>2790</v>
      </c>
      <c r="D542" t="s">
        <v>3551</v>
      </c>
      <c r="E542">
        <v>2</v>
      </c>
      <c r="F542" s="4" t="s">
        <v>3556</v>
      </c>
      <c r="G542" s="4">
        <v>1</v>
      </c>
      <c r="H542">
        <v>1</v>
      </c>
      <c r="I542">
        <v>26360</v>
      </c>
      <c r="J542" s="6">
        <v>26</v>
      </c>
      <c r="K542" s="4" t="str">
        <f t="shared" si="8"/>
        <v>Mid</v>
      </c>
      <c r="L542" t="s">
        <v>3561</v>
      </c>
      <c r="M542" s="4" t="s">
        <v>3561</v>
      </c>
      <c r="N542" t="s">
        <v>457</v>
      </c>
      <c r="O542">
        <v>11</v>
      </c>
      <c r="P542" s="4" t="s">
        <v>3573</v>
      </c>
      <c r="Q542" t="s">
        <v>3573</v>
      </c>
      <c r="R542" t="s">
        <v>568</v>
      </c>
    </row>
    <row r="543" spans="1:18">
      <c r="A543" t="s">
        <v>837</v>
      </c>
      <c r="B543" t="s">
        <v>9</v>
      </c>
      <c r="C543" t="s">
        <v>2791</v>
      </c>
      <c r="D543" t="s">
        <v>3551</v>
      </c>
      <c r="E543">
        <v>8</v>
      </c>
      <c r="F543" s="4" t="s">
        <v>3556</v>
      </c>
      <c r="G543" s="4">
        <v>1</v>
      </c>
      <c r="H543">
        <v>1</v>
      </c>
      <c r="I543">
        <v>26360</v>
      </c>
      <c r="J543" s="6">
        <v>26</v>
      </c>
      <c r="K543" s="4" t="str">
        <f t="shared" si="8"/>
        <v>Mid</v>
      </c>
      <c r="L543" t="s">
        <v>3561</v>
      </c>
      <c r="M543" s="4" t="s">
        <v>3561</v>
      </c>
      <c r="N543" t="s">
        <v>457</v>
      </c>
      <c r="O543">
        <v>11</v>
      </c>
      <c r="P543" s="4" t="s">
        <v>3573</v>
      </c>
      <c r="Q543" t="s">
        <v>3573</v>
      </c>
      <c r="R543" t="s">
        <v>568</v>
      </c>
    </row>
    <row r="544" spans="1:18">
      <c r="A544" t="s">
        <v>837</v>
      </c>
      <c r="B544" t="s">
        <v>9</v>
      </c>
      <c r="C544" t="s">
        <v>2792</v>
      </c>
      <c r="D544" t="s">
        <v>3551</v>
      </c>
      <c r="E544">
        <v>33</v>
      </c>
      <c r="F544" s="4" t="s">
        <v>3557</v>
      </c>
      <c r="G544" s="4">
        <v>2</v>
      </c>
      <c r="H544">
        <v>0</v>
      </c>
      <c r="I544">
        <v>26360</v>
      </c>
      <c r="J544" s="6">
        <v>26</v>
      </c>
      <c r="K544" s="4" t="str">
        <f t="shared" si="8"/>
        <v>Mid</v>
      </c>
      <c r="L544" t="s">
        <v>3561</v>
      </c>
      <c r="M544" s="4" t="s">
        <v>3561</v>
      </c>
      <c r="N544" t="s">
        <v>457</v>
      </c>
      <c r="O544">
        <v>11</v>
      </c>
      <c r="P544" s="4" t="s">
        <v>3573</v>
      </c>
      <c r="Q544" t="s">
        <v>3573</v>
      </c>
      <c r="R544" t="s">
        <v>568</v>
      </c>
    </row>
    <row r="545" spans="1:18">
      <c r="A545" t="s">
        <v>837</v>
      </c>
      <c r="B545" t="s">
        <v>840</v>
      </c>
      <c r="C545" t="s">
        <v>2793</v>
      </c>
      <c r="D545" t="s">
        <v>3552</v>
      </c>
      <c r="E545">
        <v>36</v>
      </c>
      <c r="F545" s="4" t="s">
        <v>3557</v>
      </c>
      <c r="G545" s="4">
        <v>0</v>
      </c>
      <c r="H545">
        <v>0</v>
      </c>
      <c r="I545" t="s">
        <v>569</v>
      </c>
      <c r="J545" s="6">
        <v>10.5</v>
      </c>
      <c r="K545" s="4" t="str">
        <f t="shared" si="8"/>
        <v>Mid</v>
      </c>
      <c r="L545" t="s">
        <v>3561</v>
      </c>
      <c r="M545" s="4" t="s">
        <v>3561</v>
      </c>
      <c r="N545" t="s">
        <v>457</v>
      </c>
      <c r="O545" t="s">
        <v>3569</v>
      </c>
      <c r="P545" s="4" t="s">
        <v>3573</v>
      </c>
      <c r="Q545" t="s">
        <v>3573</v>
      </c>
      <c r="R545" t="s">
        <v>570</v>
      </c>
    </row>
    <row r="546" spans="1:18">
      <c r="A546" t="s">
        <v>837</v>
      </c>
      <c r="B546" t="s">
        <v>840</v>
      </c>
      <c r="C546" t="s">
        <v>2794</v>
      </c>
      <c r="D546" t="s">
        <v>3552</v>
      </c>
      <c r="E546">
        <v>34</v>
      </c>
      <c r="F546" s="4" t="s">
        <v>3557</v>
      </c>
      <c r="G546" s="4">
        <v>0</v>
      </c>
      <c r="H546">
        <v>1</v>
      </c>
      <c r="I546">
        <v>31027</v>
      </c>
      <c r="J546" s="6">
        <v>21</v>
      </c>
      <c r="K546" s="4" t="str">
        <f t="shared" si="8"/>
        <v>Mid</v>
      </c>
      <c r="L546" t="s">
        <v>3561</v>
      </c>
      <c r="M546" s="4" t="s">
        <v>3561</v>
      </c>
      <c r="N546" t="s">
        <v>457</v>
      </c>
      <c r="O546">
        <v>12</v>
      </c>
      <c r="P546" s="4" t="s">
        <v>3573</v>
      </c>
      <c r="Q546" t="s">
        <v>3573</v>
      </c>
      <c r="R546" t="s">
        <v>571</v>
      </c>
    </row>
    <row r="547" spans="1:18">
      <c r="A547" t="s">
        <v>837</v>
      </c>
      <c r="B547" t="s">
        <v>9</v>
      </c>
      <c r="C547" t="s">
        <v>2795</v>
      </c>
      <c r="D547" t="s">
        <v>3551</v>
      </c>
      <c r="E547">
        <v>30</v>
      </c>
      <c r="F547" s="4" t="s">
        <v>3557</v>
      </c>
      <c r="G547" s="4">
        <v>0</v>
      </c>
      <c r="H547">
        <v>3</v>
      </c>
      <c r="I547">
        <v>31027</v>
      </c>
      <c r="J547" s="6">
        <v>21</v>
      </c>
      <c r="K547" s="4" t="str">
        <f t="shared" si="8"/>
        <v>Mid</v>
      </c>
      <c r="L547" t="s">
        <v>3561</v>
      </c>
      <c r="M547" s="4" t="s">
        <v>3561</v>
      </c>
      <c r="N547" t="s">
        <v>457</v>
      </c>
      <c r="O547" t="s">
        <v>3569</v>
      </c>
      <c r="P547" s="4" t="s">
        <v>3573</v>
      </c>
      <c r="Q547" t="s">
        <v>3573</v>
      </c>
      <c r="R547" t="s">
        <v>571</v>
      </c>
    </row>
    <row r="548" spans="1:18">
      <c r="A548" t="s">
        <v>837</v>
      </c>
      <c r="B548" t="s">
        <v>9</v>
      </c>
      <c r="C548" t="s">
        <v>2796</v>
      </c>
      <c r="D548" t="s">
        <v>3551</v>
      </c>
      <c r="E548">
        <v>28</v>
      </c>
      <c r="F548" s="4" t="s">
        <v>3555</v>
      </c>
      <c r="G548" s="4">
        <v>0</v>
      </c>
      <c r="H548">
        <v>0</v>
      </c>
      <c r="I548">
        <v>230434</v>
      </c>
      <c r="J548" s="6">
        <v>13</v>
      </c>
      <c r="K548" s="4" t="str">
        <f t="shared" si="8"/>
        <v>Mid</v>
      </c>
      <c r="L548" t="s">
        <v>3561</v>
      </c>
      <c r="M548" s="4" t="s">
        <v>3561</v>
      </c>
      <c r="N548" t="s">
        <v>457</v>
      </c>
      <c r="O548">
        <v>9</v>
      </c>
      <c r="P548" s="4" t="s">
        <v>3573</v>
      </c>
      <c r="Q548" t="s">
        <v>3573</v>
      </c>
      <c r="R548" t="s">
        <v>572</v>
      </c>
    </row>
    <row r="549" spans="1:18">
      <c r="A549" t="s">
        <v>837</v>
      </c>
      <c r="B549" t="s">
        <v>840</v>
      </c>
      <c r="C549" t="s">
        <v>2797</v>
      </c>
      <c r="D549" t="s">
        <v>3552</v>
      </c>
      <c r="E549">
        <v>23</v>
      </c>
      <c r="F549" s="4" t="s">
        <v>3555</v>
      </c>
      <c r="G549" s="4">
        <v>0</v>
      </c>
      <c r="H549">
        <v>0</v>
      </c>
      <c r="I549" t="s">
        <v>573</v>
      </c>
      <c r="J549" s="6">
        <v>15.0458</v>
      </c>
      <c r="K549" s="4" t="str">
        <f t="shared" si="8"/>
        <v>Mid</v>
      </c>
      <c r="L549" t="s">
        <v>3561</v>
      </c>
      <c r="M549" s="4" t="s">
        <v>3561</v>
      </c>
      <c r="N549" t="s">
        <v>3566</v>
      </c>
      <c r="O549" t="s">
        <v>3569</v>
      </c>
      <c r="P549" s="4" t="s">
        <v>3573</v>
      </c>
      <c r="Q549" t="s">
        <v>3573</v>
      </c>
      <c r="R549" t="s">
        <v>523</v>
      </c>
    </row>
    <row r="550" spans="1:18">
      <c r="A550" t="s">
        <v>837</v>
      </c>
      <c r="B550" t="s">
        <v>9</v>
      </c>
      <c r="C550" t="s">
        <v>2798</v>
      </c>
      <c r="D550" t="s">
        <v>3552</v>
      </c>
      <c r="E550">
        <v>1</v>
      </c>
      <c r="F550" s="4" t="s">
        <v>3556</v>
      </c>
      <c r="G550" s="4">
        <v>1</v>
      </c>
      <c r="H550">
        <v>1</v>
      </c>
      <c r="I550">
        <v>29106</v>
      </c>
      <c r="J550" s="6">
        <v>18.75</v>
      </c>
      <c r="K550" s="4" t="str">
        <f t="shared" si="8"/>
        <v>Mid</v>
      </c>
      <c r="L550" t="s">
        <v>3561</v>
      </c>
      <c r="M550" s="4" t="s">
        <v>3561</v>
      </c>
      <c r="N550" t="s">
        <v>457</v>
      </c>
      <c r="O550">
        <v>4</v>
      </c>
      <c r="P550" s="4" t="s">
        <v>3573</v>
      </c>
      <c r="Q550" t="s">
        <v>3573</v>
      </c>
      <c r="R550" t="s">
        <v>490</v>
      </c>
    </row>
    <row r="551" spans="1:18">
      <c r="A551" t="s">
        <v>837</v>
      </c>
      <c r="B551" t="s">
        <v>9</v>
      </c>
      <c r="C551" t="s">
        <v>2799</v>
      </c>
      <c r="D551" t="s">
        <v>3552</v>
      </c>
      <c r="E551">
        <v>3</v>
      </c>
      <c r="F551" s="4" t="s">
        <v>3556</v>
      </c>
      <c r="G551" s="4">
        <v>1</v>
      </c>
      <c r="H551">
        <v>1</v>
      </c>
      <c r="I551">
        <v>29106</v>
      </c>
      <c r="J551" s="6">
        <v>18.75</v>
      </c>
      <c r="K551" s="4" t="str">
        <f t="shared" si="8"/>
        <v>Mid</v>
      </c>
      <c r="L551" t="s">
        <v>3561</v>
      </c>
      <c r="M551" s="4" t="s">
        <v>3561</v>
      </c>
      <c r="N551" t="s">
        <v>457</v>
      </c>
      <c r="O551">
        <v>4</v>
      </c>
      <c r="P551" s="4" t="s">
        <v>3573</v>
      </c>
      <c r="Q551" t="s">
        <v>3573</v>
      </c>
      <c r="R551" t="s">
        <v>490</v>
      </c>
    </row>
    <row r="552" spans="1:18">
      <c r="A552" t="s">
        <v>837</v>
      </c>
      <c r="B552" t="s">
        <v>9</v>
      </c>
      <c r="C552" t="s">
        <v>2800</v>
      </c>
      <c r="D552" t="s">
        <v>3551</v>
      </c>
      <c r="E552">
        <v>24</v>
      </c>
      <c r="F552" s="4" t="s">
        <v>3555</v>
      </c>
      <c r="G552" s="4">
        <v>3</v>
      </c>
      <c r="H552">
        <v>2</v>
      </c>
      <c r="I552">
        <v>29106</v>
      </c>
      <c r="J552" s="6">
        <v>18.75</v>
      </c>
      <c r="K552" s="4" t="str">
        <f t="shared" si="8"/>
        <v>Mid</v>
      </c>
      <c r="L552" t="s">
        <v>3561</v>
      </c>
      <c r="M552" s="4" t="s">
        <v>3561</v>
      </c>
      <c r="N552" t="s">
        <v>457</v>
      </c>
      <c r="O552">
        <v>4</v>
      </c>
      <c r="P552" s="4" t="s">
        <v>3573</v>
      </c>
      <c r="Q552" t="s">
        <v>3573</v>
      </c>
      <c r="R552" t="s">
        <v>490</v>
      </c>
    </row>
    <row r="553" spans="1:18">
      <c r="A553" t="s">
        <v>837</v>
      </c>
      <c r="B553" t="s">
        <v>9</v>
      </c>
      <c r="C553" t="s">
        <v>2801</v>
      </c>
      <c r="D553" t="s">
        <v>3551</v>
      </c>
      <c r="E553">
        <v>50</v>
      </c>
      <c r="F553" s="4" t="s">
        <v>3557</v>
      </c>
      <c r="G553" s="4">
        <v>0</v>
      </c>
      <c r="H553">
        <v>0</v>
      </c>
      <c r="I553" t="s">
        <v>574</v>
      </c>
      <c r="J553" s="6">
        <v>10.5</v>
      </c>
      <c r="K553" s="4" t="str">
        <f t="shared" si="8"/>
        <v>Mid</v>
      </c>
      <c r="L553" t="s">
        <v>3561</v>
      </c>
      <c r="M553" s="4" t="s">
        <v>3561</v>
      </c>
      <c r="N553" t="s">
        <v>457</v>
      </c>
      <c r="O553">
        <v>13</v>
      </c>
      <c r="P553" s="4" t="s">
        <v>3573</v>
      </c>
      <c r="Q553" t="s">
        <v>3573</v>
      </c>
      <c r="R553" t="s">
        <v>575</v>
      </c>
    </row>
    <row r="554" spans="1:18">
      <c r="A554" t="s">
        <v>837</v>
      </c>
      <c r="B554" t="s">
        <v>840</v>
      </c>
      <c r="C554" t="s">
        <v>2802</v>
      </c>
      <c r="D554" t="s">
        <v>3552</v>
      </c>
      <c r="E554">
        <v>19</v>
      </c>
      <c r="F554" s="4" t="s">
        <v>3555</v>
      </c>
      <c r="G554" s="4">
        <v>0</v>
      </c>
      <c r="H554">
        <v>0</v>
      </c>
      <c r="I554">
        <v>28004</v>
      </c>
      <c r="J554" s="6">
        <v>10.5</v>
      </c>
      <c r="K554" s="4" t="str">
        <f t="shared" si="8"/>
        <v>Mid</v>
      </c>
      <c r="L554" t="s">
        <v>3561</v>
      </c>
      <c r="M554" s="4" t="s">
        <v>3561</v>
      </c>
      <c r="N554" t="s">
        <v>457</v>
      </c>
      <c r="O554" t="s">
        <v>3569</v>
      </c>
      <c r="P554" s="4" t="s">
        <v>3573</v>
      </c>
      <c r="Q554" t="s">
        <v>3573</v>
      </c>
    </row>
    <row r="555" spans="1:18">
      <c r="A555" t="s">
        <v>837</v>
      </c>
      <c r="B555" t="s">
        <v>9</v>
      </c>
      <c r="C555" t="s">
        <v>2803</v>
      </c>
      <c r="D555" t="s">
        <v>3551</v>
      </c>
      <c r="E555">
        <v>21</v>
      </c>
      <c r="F555" s="4" t="s">
        <v>3555</v>
      </c>
      <c r="G555" s="4">
        <v>0</v>
      </c>
      <c r="H555">
        <v>0</v>
      </c>
      <c r="I555" t="s">
        <v>576</v>
      </c>
      <c r="J555" s="6">
        <v>10.5</v>
      </c>
      <c r="K555" s="4" t="str">
        <f t="shared" si="8"/>
        <v>Mid</v>
      </c>
      <c r="L555" t="s">
        <v>3561</v>
      </c>
      <c r="M555" s="4" t="s">
        <v>3561</v>
      </c>
      <c r="N555" t="s">
        <v>457</v>
      </c>
      <c r="O555">
        <v>12</v>
      </c>
      <c r="P555" s="4" t="s">
        <v>3573</v>
      </c>
      <c r="Q555" t="s">
        <v>3573</v>
      </c>
      <c r="R555" t="s">
        <v>577</v>
      </c>
    </row>
    <row r="556" spans="1:18">
      <c r="A556" t="s">
        <v>837</v>
      </c>
      <c r="B556" t="s">
        <v>840</v>
      </c>
      <c r="C556" t="s">
        <v>2804</v>
      </c>
      <c r="D556" t="s">
        <v>3552</v>
      </c>
      <c r="E556">
        <v>26</v>
      </c>
      <c r="F556" s="4" t="s">
        <v>3555</v>
      </c>
      <c r="G556" s="4">
        <v>0</v>
      </c>
      <c r="H556">
        <v>0</v>
      </c>
      <c r="I556">
        <v>248659</v>
      </c>
      <c r="J556" s="6">
        <v>13</v>
      </c>
      <c r="K556" s="4" t="str">
        <f t="shared" si="8"/>
        <v>Mid</v>
      </c>
      <c r="L556" t="s">
        <v>3561</v>
      </c>
      <c r="M556" s="4" t="s">
        <v>3561</v>
      </c>
      <c r="N556" t="s">
        <v>457</v>
      </c>
      <c r="O556" t="s">
        <v>3569</v>
      </c>
      <c r="P556" s="4" t="s">
        <v>3573</v>
      </c>
      <c r="Q556" t="s">
        <v>3573</v>
      </c>
      <c r="R556" t="s">
        <v>359</v>
      </c>
    </row>
    <row r="557" spans="1:18">
      <c r="A557" t="s">
        <v>837</v>
      </c>
      <c r="B557" t="s">
        <v>840</v>
      </c>
      <c r="C557" t="s">
        <v>2805</v>
      </c>
      <c r="D557" t="s">
        <v>3552</v>
      </c>
      <c r="E557">
        <v>25</v>
      </c>
      <c r="F557" s="4" t="s">
        <v>3555</v>
      </c>
      <c r="G557" s="4">
        <v>0</v>
      </c>
      <c r="H557">
        <v>0</v>
      </c>
      <c r="I557">
        <v>244361</v>
      </c>
      <c r="J557" s="6">
        <v>13</v>
      </c>
      <c r="K557" s="4" t="str">
        <f t="shared" si="8"/>
        <v>Mid</v>
      </c>
      <c r="L557" t="s">
        <v>3561</v>
      </c>
      <c r="M557" s="4" t="s">
        <v>3561</v>
      </c>
      <c r="N557" t="s">
        <v>457</v>
      </c>
      <c r="O557" t="s">
        <v>3569</v>
      </c>
      <c r="P557" s="4" t="s">
        <v>3573</v>
      </c>
      <c r="Q557" t="s">
        <v>3573</v>
      </c>
      <c r="R557" t="s">
        <v>246</v>
      </c>
    </row>
    <row r="558" spans="1:18">
      <c r="A558" t="s">
        <v>837</v>
      </c>
      <c r="B558" t="s">
        <v>840</v>
      </c>
      <c r="C558" t="s">
        <v>2806</v>
      </c>
      <c r="D558" t="s">
        <v>3552</v>
      </c>
      <c r="E558">
        <v>27</v>
      </c>
      <c r="F558" s="4" t="s">
        <v>3555</v>
      </c>
      <c r="G558" s="4">
        <v>0</v>
      </c>
      <c r="H558">
        <v>0</v>
      </c>
      <c r="I558">
        <v>244358</v>
      </c>
      <c r="J558" s="6">
        <v>26</v>
      </c>
      <c r="K558" s="4" t="str">
        <f t="shared" si="8"/>
        <v>Mid</v>
      </c>
      <c r="L558" t="s">
        <v>3561</v>
      </c>
      <c r="M558" s="4" t="s">
        <v>3561</v>
      </c>
      <c r="N558" t="s">
        <v>457</v>
      </c>
      <c r="O558" t="s">
        <v>3569</v>
      </c>
      <c r="P558" s="4" t="s">
        <v>3573</v>
      </c>
      <c r="Q558" t="s">
        <v>3573</v>
      </c>
      <c r="R558" t="s">
        <v>578</v>
      </c>
    </row>
    <row r="559" spans="1:18">
      <c r="A559" t="s">
        <v>837</v>
      </c>
      <c r="B559" t="s">
        <v>9</v>
      </c>
      <c r="C559" t="s">
        <v>2807</v>
      </c>
      <c r="D559" t="s">
        <v>3551</v>
      </c>
      <c r="E559">
        <v>25</v>
      </c>
      <c r="F559" s="4" t="s">
        <v>3555</v>
      </c>
      <c r="G559" s="4">
        <v>1</v>
      </c>
      <c r="H559">
        <v>0</v>
      </c>
      <c r="I559">
        <v>230433</v>
      </c>
      <c r="J559" s="6">
        <v>26</v>
      </c>
      <c r="K559" s="4" t="str">
        <f t="shared" si="8"/>
        <v>Mid</v>
      </c>
      <c r="L559" t="s">
        <v>3561</v>
      </c>
      <c r="M559" s="4" t="s">
        <v>3561</v>
      </c>
      <c r="N559" t="s">
        <v>457</v>
      </c>
      <c r="O559">
        <v>12</v>
      </c>
      <c r="P559" s="4" t="s">
        <v>3573</v>
      </c>
      <c r="Q559" t="s">
        <v>3573</v>
      </c>
      <c r="R559" t="s">
        <v>579</v>
      </c>
    </row>
    <row r="560" spans="1:18">
      <c r="A560" t="s">
        <v>837</v>
      </c>
      <c r="B560" t="s">
        <v>9</v>
      </c>
      <c r="C560" t="s">
        <v>2808</v>
      </c>
      <c r="D560" t="s">
        <v>3551</v>
      </c>
      <c r="E560">
        <v>18</v>
      </c>
      <c r="F560" s="4" t="s">
        <v>3555</v>
      </c>
      <c r="G560" s="4">
        <v>2</v>
      </c>
      <c r="H560">
        <v>0</v>
      </c>
      <c r="I560">
        <v>250652</v>
      </c>
      <c r="J560" s="6">
        <v>13</v>
      </c>
      <c r="K560" s="4" t="str">
        <f t="shared" si="8"/>
        <v>Mid</v>
      </c>
      <c r="L560" t="s">
        <v>3561</v>
      </c>
      <c r="M560" s="4" t="s">
        <v>3561</v>
      </c>
      <c r="N560" t="s">
        <v>457</v>
      </c>
      <c r="O560">
        <v>16</v>
      </c>
      <c r="P560" s="4" t="s">
        <v>3573</v>
      </c>
      <c r="Q560" t="s">
        <v>3573</v>
      </c>
      <c r="R560" t="s">
        <v>580</v>
      </c>
    </row>
    <row r="561" spans="1:18">
      <c r="A561" t="s">
        <v>837</v>
      </c>
      <c r="B561" t="s">
        <v>9</v>
      </c>
      <c r="C561" t="s">
        <v>2809</v>
      </c>
      <c r="D561" t="s">
        <v>3551</v>
      </c>
      <c r="E561">
        <v>20</v>
      </c>
      <c r="F561" s="4" t="s">
        <v>3555</v>
      </c>
      <c r="G561" s="4">
        <v>0</v>
      </c>
      <c r="H561">
        <v>0</v>
      </c>
      <c r="I561" t="s">
        <v>446</v>
      </c>
      <c r="J561" s="6">
        <v>36.75</v>
      </c>
      <c r="K561" s="4" t="str">
        <f t="shared" si="8"/>
        <v>Mid</v>
      </c>
      <c r="L561" t="s">
        <v>3561</v>
      </c>
      <c r="M561" s="4" t="s">
        <v>3561</v>
      </c>
      <c r="N561" t="s">
        <v>457</v>
      </c>
      <c r="O561">
        <v>11</v>
      </c>
      <c r="P561" s="4" t="s">
        <v>3573</v>
      </c>
      <c r="Q561" t="s">
        <v>3573</v>
      </c>
      <c r="R561" t="s">
        <v>541</v>
      </c>
    </row>
    <row r="562" spans="1:18">
      <c r="A562" t="s">
        <v>837</v>
      </c>
      <c r="B562" t="s">
        <v>9</v>
      </c>
      <c r="C562" t="s">
        <v>2810</v>
      </c>
      <c r="D562" t="s">
        <v>3551</v>
      </c>
      <c r="E562">
        <v>30</v>
      </c>
      <c r="F562" s="4" t="s">
        <v>3557</v>
      </c>
      <c r="G562" s="4">
        <v>0</v>
      </c>
      <c r="H562">
        <v>0</v>
      </c>
      <c r="I562">
        <v>250648</v>
      </c>
      <c r="J562" s="6">
        <v>13</v>
      </c>
      <c r="K562" s="4" t="str">
        <f t="shared" si="8"/>
        <v>Mid</v>
      </c>
      <c r="L562" t="s">
        <v>3561</v>
      </c>
      <c r="M562" s="4" t="s">
        <v>3561</v>
      </c>
      <c r="N562" t="s">
        <v>457</v>
      </c>
      <c r="O562">
        <v>10</v>
      </c>
      <c r="P562" s="4" t="s">
        <v>3573</v>
      </c>
      <c r="Q562" t="s">
        <v>3573</v>
      </c>
      <c r="R562" t="s">
        <v>581</v>
      </c>
    </row>
    <row r="563" spans="1:18">
      <c r="A563" t="s">
        <v>837</v>
      </c>
      <c r="B563" t="s">
        <v>840</v>
      </c>
      <c r="C563" t="s">
        <v>2811</v>
      </c>
      <c r="D563" t="s">
        <v>3552</v>
      </c>
      <c r="E563">
        <v>59</v>
      </c>
      <c r="F563" s="4" t="s">
        <v>3557</v>
      </c>
      <c r="G563" s="4">
        <v>0</v>
      </c>
      <c r="H563">
        <v>0</v>
      </c>
      <c r="I563">
        <v>237442</v>
      </c>
      <c r="J563" s="6">
        <v>13.5</v>
      </c>
      <c r="K563" s="4" t="str">
        <f t="shared" si="8"/>
        <v>Mid</v>
      </c>
      <c r="L563" t="s">
        <v>3561</v>
      </c>
      <c r="M563" s="4" t="s">
        <v>3561</v>
      </c>
      <c r="N563" t="s">
        <v>457</v>
      </c>
      <c r="O563" t="s">
        <v>3569</v>
      </c>
      <c r="P563" s="4" t="s">
        <v>3573</v>
      </c>
      <c r="Q563" t="s">
        <v>3573</v>
      </c>
      <c r="R563" t="s">
        <v>582</v>
      </c>
    </row>
    <row r="564" spans="1:18">
      <c r="A564" t="s">
        <v>837</v>
      </c>
      <c r="B564" t="s">
        <v>9</v>
      </c>
      <c r="C564" t="s">
        <v>2812</v>
      </c>
      <c r="D564" t="s">
        <v>3551</v>
      </c>
      <c r="E564">
        <v>30</v>
      </c>
      <c r="F564" s="4" t="s">
        <v>3557</v>
      </c>
      <c r="G564" s="4">
        <v>0</v>
      </c>
      <c r="H564">
        <v>0</v>
      </c>
      <c r="I564">
        <v>234818</v>
      </c>
      <c r="J564" s="6">
        <v>12.35</v>
      </c>
      <c r="K564" s="4" t="str">
        <f t="shared" si="8"/>
        <v>Mid</v>
      </c>
      <c r="L564" t="s">
        <v>3561</v>
      </c>
      <c r="M564" s="4" t="s">
        <v>3561</v>
      </c>
      <c r="N564" t="s">
        <v>3567</v>
      </c>
      <c r="O564">
        <v>13</v>
      </c>
      <c r="P564" s="4" t="s">
        <v>3573</v>
      </c>
      <c r="Q564" t="s">
        <v>3573</v>
      </c>
      <c r="R564" t="s">
        <v>395</v>
      </c>
    </row>
    <row r="565" spans="1:18">
      <c r="A565" t="s">
        <v>837</v>
      </c>
      <c r="B565" t="s">
        <v>840</v>
      </c>
      <c r="C565" t="s">
        <v>2813</v>
      </c>
      <c r="D565" t="s">
        <v>3552</v>
      </c>
      <c r="E565">
        <v>35</v>
      </c>
      <c r="F565" s="4" t="s">
        <v>3557</v>
      </c>
      <c r="G565" s="4">
        <v>0</v>
      </c>
      <c r="H565">
        <v>0</v>
      </c>
      <c r="I565">
        <v>28206</v>
      </c>
      <c r="J565" s="6">
        <v>10.5</v>
      </c>
      <c r="K565" s="4" t="str">
        <f t="shared" si="8"/>
        <v>Mid</v>
      </c>
      <c r="L565" t="s">
        <v>3561</v>
      </c>
      <c r="M565" s="4" t="s">
        <v>3561</v>
      </c>
      <c r="N565" t="s">
        <v>457</v>
      </c>
      <c r="O565" t="s">
        <v>3569</v>
      </c>
      <c r="P565" s="4" t="s">
        <v>3573</v>
      </c>
      <c r="Q565" t="s">
        <v>3573</v>
      </c>
      <c r="R565" t="s">
        <v>473</v>
      </c>
    </row>
    <row r="566" spans="1:18">
      <c r="A566" t="s">
        <v>837</v>
      </c>
      <c r="B566" t="s">
        <v>9</v>
      </c>
      <c r="C566" t="s">
        <v>2814</v>
      </c>
      <c r="D566" t="s">
        <v>3551</v>
      </c>
      <c r="E566">
        <v>40</v>
      </c>
      <c r="F566" s="4" t="s">
        <v>3557</v>
      </c>
      <c r="G566" s="4">
        <v>0</v>
      </c>
      <c r="H566">
        <v>0</v>
      </c>
      <c r="I566">
        <v>31418</v>
      </c>
      <c r="J566" s="6">
        <v>13</v>
      </c>
      <c r="K566" s="4" t="str">
        <f t="shared" si="8"/>
        <v>Mid</v>
      </c>
      <c r="L566" t="s">
        <v>3561</v>
      </c>
      <c r="M566" s="4" t="s">
        <v>3561</v>
      </c>
      <c r="N566" t="s">
        <v>457</v>
      </c>
      <c r="O566">
        <v>9</v>
      </c>
      <c r="P566" s="4" t="s">
        <v>3573</v>
      </c>
      <c r="Q566" t="s">
        <v>3573</v>
      </c>
    </row>
    <row r="567" spans="1:18">
      <c r="A567" t="s">
        <v>837</v>
      </c>
      <c r="B567" t="s">
        <v>840</v>
      </c>
      <c r="C567" t="s">
        <v>2815</v>
      </c>
      <c r="D567" t="s">
        <v>3552</v>
      </c>
      <c r="E567">
        <v>25</v>
      </c>
      <c r="F567" s="4" t="s">
        <v>3555</v>
      </c>
      <c r="G567" s="4">
        <v>0</v>
      </c>
      <c r="H567">
        <v>0</v>
      </c>
      <c r="I567" t="s">
        <v>583</v>
      </c>
      <c r="J567" s="6">
        <v>13</v>
      </c>
      <c r="K567" s="4" t="str">
        <f t="shared" si="8"/>
        <v>Mid</v>
      </c>
      <c r="L567" t="s">
        <v>3561</v>
      </c>
      <c r="M567" s="4" t="s">
        <v>3561</v>
      </c>
      <c r="N567" t="s">
        <v>457</v>
      </c>
      <c r="O567" t="s">
        <v>3569</v>
      </c>
      <c r="P567" s="4" t="s">
        <v>3573</v>
      </c>
      <c r="Q567" t="s">
        <v>3573</v>
      </c>
      <c r="R567" t="s">
        <v>468</v>
      </c>
    </row>
    <row r="568" spans="1:18">
      <c r="A568" t="s">
        <v>837</v>
      </c>
      <c r="B568" t="s">
        <v>840</v>
      </c>
      <c r="C568" t="s">
        <v>2816</v>
      </c>
      <c r="D568" t="s">
        <v>3552</v>
      </c>
      <c r="E568">
        <v>41</v>
      </c>
      <c r="F568" s="4" t="s">
        <v>3557</v>
      </c>
      <c r="G568" s="4">
        <v>0</v>
      </c>
      <c r="H568">
        <v>0</v>
      </c>
      <c r="I568">
        <v>237734</v>
      </c>
      <c r="J568" s="6">
        <v>15.0458</v>
      </c>
      <c r="K568" s="4" t="str">
        <f t="shared" si="8"/>
        <v>Mid</v>
      </c>
      <c r="L568" t="s">
        <v>3561</v>
      </c>
      <c r="M568" s="4" t="s">
        <v>3561</v>
      </c>
      <c r="N568" t="s">
        <v>3566</v>
      </c>
      <c r="O568" t="s">
        <v>3569</v>
      </c>
      <c r="P568" s="4" t="s">
        <v>3573</v>
      </c>
      <c r="Q568" t="s">
        <v>3573</v>
      </c>
      <c r="R568" t="s">
        <v>53</v>
      </c>
    </row>
    <row r="569" spans="1:18">
      <c r="A569" t="s">
        <v>837</v>
      </c>
      <c r="B569" t="s">
        <v>840</v>
      </c>
      <c r="C569" t="s">
        <v>2817</v>
      </c>
      <c r="D569" t="s">
        <v>3552</v>
      </c>
      <c r="E569">
        <v>25</v>
      </c>
      <c r="F569" s="4" t="s">
        <v>3555</v>
      </c>
      <c r="G569" s="4">
        <v>0</v>
      </c>
      <c r="H569">
        <v>0</v>
      </c>
      <c r="I569" t="s">
        <v>584</v>
      </c>
      <c r="J569" s="6">
        <v>10.5</v>
      </c>
      <c r="K569" s="4" t="str">
        <f t="shared" si="8"/>
        <v>Mid</v>
      </c>
      <c r="L569" t="s">
        <v>3561</v>
      </c>
      <c r="M569" s="4" t="s">
        <v>3561</v>
      </c>
      <c r="N569" t="s">
        <v>457</v>
      </c>
      <c r="O569" t="s">
        <v>3569</v>
      </c>
      <c r="P569" s="4">
        <v>81</v>
      </c>
      <c r="Q569" t="s">
        <v>3574</v>
      </c>
      <c r="R569" t="s">
        <v>585</v>
      </c>
    </row>
    <row r="570" spans="1:18">
      <c r="A570" t="s">
        <v>837</v>
      </c>
      <c r="B570" t="s">
        <v>840</v>
      </c>
      <c r="C570" t="s">
        <v>2818</v>
      </c>
      <c r="D570" t="s">
        <v>3552</v>
      </c>
      <c r="E570">
        <v>19</v>
      </c>
      <c r="F570" s="4" t="s">
        <v>3555</v>
      </c>
      <c r="G570" s="4">
        <v>0</v>
      </c>
      <c r="H570">
        <v>0</v>
      </c>
      <c r="I570">
        <v>248734</v>
      </c>
      <c r="J570" s="6">
        <v>13</v>
      </c>
      <c r="K570" s="4" t="str">
        <f t="shared" si="8"/>
        <v>Mid</v>
      </c>
      <c r="L570" t="s">
        <v>586</v>
      </c>
      <c r="M570" s="4" t="s">
        <v>586</v>
      </c>
      <c r="N570" t="s">
        <v>457</v>
      </c>
      <c r="O570" t="s">
        <v>3569</v>
      </c>
      <c r="P570" s="4">
        <v>294</v>
      </c>
      <c r="Q570" t="s">
        <v>3574</v>
      </c>
    </row>
    <row r="571" spans="1:18">
      <c r="A571" t="s">
        <v>837</v>
      </c>
      <c r="B571" t="s">
        <v>840</v>
      </c>
      <c r="C571" t="s">
        <v>2819</v>
      </c>
      <c r="D571" t="s">
        <v>3552</v>
      </c>
      <c r="E571">
        <v>14</v>
      </c>
      <c r="F571" s="4" t="s">
        <v>3560</v>
      </c>
      <c r="G571" s="4">
        <v>0</v>
      </c>
      <c r="H571">
        <v>0</v>
      </c>
      <c r="I571">
        <v>220845</v>
      </c>
      <c r="J571" s="6">
        <v>65</v>
      </c>
      <c r="K571" s="4" t="str">
        <f t="shared" si="8"/>
        <v>High</v>
      </c>
      <c r="L571" t="s">
        <v>3561</v>
      </c>
      <c r="M571" s="4" t="s">
        <v>3561</v>
      </c>
      <c r="N571" t="s">
        <v>457</v>
      </c>
      <c r="O571" t="s">
        <v>3569</v>
      </c>
      <c r="P571" s="4" t="s">
        <v>3573</v>
      </c>
      <c r="Q571" t="s">
        <v>3573</v>
      </c>
      <c r="R571" t="s">
        <v>486</v>
      </c>
    </row>
    <row r="572" spans="1:18">
      <c r="A572" t="s">
        <v>837</v>
      </c>
      <c r="B572" t="s">
        <v>9</v>
      </c>
      <c r="C572" t="s">
        <v>2820</v>
      </c>
      <c r="D572" t="s">
        <v>3551</v>
      </c>
      <c r="E572">
        <v>50</v>
      </c>
      <c r="F572" s="4" t="s">
        <v>3557</v>
      </c>
      <c r="G572" s="4">
        <v>0</v>
      </c>
      <c r="H572">
        <v>0</v>
      </c>
      <c r="I572" t="s">
        <v>587</v>
      </c>
      <c r="J572" s="6">
        <v>10.5</v>
      </c>
      <c r="K572" s="4" t="str">
        <f t="shared" si="8"/>
        <v>Mid</v>
      </c>
      <c r="L572" t="s">
        <v>3561</v>
      </c>
      <c r="M572" s="4" t="s">
        <v>3561</v>
      </c>
      <c r="N572" t="s">
        <v>457</v>
      </c>
      <c r="O572">
        <v>9</v>
      </c>
      <c r="P572" s="4" t="s">
        <v>3573</v>
      </c>
      <c r="Q572" t="s">
        <v>3573</v>
      </c>
      <c r="R572" t="s">
        <v>237</v>
      </c>
    </row>
    <row r="573" spans="1:18">
      <c r="A573" t="s">
        <v>837</v>
      </c>
      <c r="B573" t="s">
        <v>840</v>
      </c>
      <c r="C573" t="s">
        <v>2821</v>
      </c>
      <c r="D573" t="s">
        <v>3552</v>
      </c>
      <c r="E573">
        <v>23</v>
      </c>
      <c r="F573" s="4" t="s">
        <v>3555</v>
      </c>
      <c r="G573" s="4">
        <v>0</v>
      </c>
      <c r="H573">
        <v>0</v>
      </c>
      <c r="I573">
        <v>233639</v>
      </c>
      <c r="J573" s="6">
        <v>13</v>
      </c>
      <c r="K573" s="4" t="str">
        <f t="shared" si="8"/>
        <v>Mid</v>
      </c>
      <c r="L573" t="s">
        <v>3561</v>
      </c>
      <c r="M573" s="4" t="s">
        <v>3561</v>
      </c>
      <c r="N573" t="s">
        <v>457</v>
      </c>
      <c r="O573" t="s">
        <v>3569</v>
      </c>
      <c r="P573" s="4" t="s">
        <v>3573</v>
      </c>
      <c r="Q573" t="s">
        <v>3573</v>
      </c>
    </row>
    <row r="574" spans="1:18">
      <c r="A574" t="s">
        <v>837</v>
      </c>
      <c r="B574" t="s">
        <v>9</v>
      </c>
      <c r="C574" t="s">
        <v>2822</v>
      </c>
      <c r="D574" t="s">
        <v>3551</v>
      </c>
      <c r="E574">
        <v>28</v>
      </c>
      <c r="F574" s="4" t="s">
        <v>3555</v>
      </c>
      <c r="G574" s="4">
        <v>0</v>
      </c>
      <c r="H574">
        <v>0</v>
      </c>
      <c r="I574">
        <v>240929</v>
      </c>
      <c r="J574" s="6">
        <v>12.65</v>
      </c>
      <c r="K574" s="4" t="str">
        <f t="shared" si="8"/>
        <v>Mid</v>
      </c>
      <c r="L574" t="s">
        <v>3561</v>
      </c>
      <c r="M574" s="4" t="s">
        <v>3561</v>
      </c>
      <c r="N574" t="s">
        <v>457</v>
      </c>
      <c r="O574" t="s">
        <v>3569</v>
      </c>
      <c r="P574" s="4" t="s">
        <v>3573</v>
      </c>
      <c r="Q574" t="s">
        <v>3573</v>
      </c>
      <c r="R574" t="s">
        <v>588</v>
      </c>
    </row>
    <row r="575" spans="1:18">
      <c r="A575" t="s">
        <v>837</v>
      </c>
      <c r="B575" t="s">
        <v>9</v>
      </c>
      <c r="C575" t="s">
        <v>2823</v>
      </c>
      <c r="D575" t="s">
        <v>3551</v>
      </c>
      <c r="E575">
        <v>27</v>
      </c>
      <c r="F575" s="4" t="s">
        <v>3555</v>
      </c>
      <c r="G575" s="4">
        <v>0</v>
      </c>
      <c r="H575">
        <v>0</v>
      </c>
      <c r="I575">
        <v>34218</v>
      </c>
      <c r="J575" s="6">
        <v>10.5</v>
      </c>
      <c r="K575" s="4" t="str">
        <f t="shared" si="8"/>
        <v>Mid</v>
      </c>
      <c r="L575" t="s">
        <v>503</v>
      </c>
      <c r="M575" s="4" t="s">
        <v>3564</v>
      </c>
      <c r="N575" t="s">
        <v>457</v>
      </c>
      <c r="O575">
        <v>16</v>
      </c>
      <c r="P575" s="4" t="s">
        <v>3573</v>
      </c>
      <c r="Q575" t="s">
        <v>3573</v>
      </c>
      <c r="R575" t="s">
        <v>589</v>
      </c>
    </row>
    <row r="576" spans="1:18">
      <c r="A576" t="s">
        <v>837</v>
      </c>
      <c r="B576" t="s">
        <v>840</v>
      </c>
      <c r="C576" t="s">
        <v>2824</v>
      </c>
      <c r="D576" t="s">
        <v>3552</v>
      </c>
      <c r="E576">
        <v>29</v>
      </c>
      <c r="F576" s="4" t="s">
        <v>3555</v>
      </c>
      <c r="G576" s="4">
        <v>0</v>
      </c>
      <c r="H576">
        <v>1</v>
      </c>
      <c r="I576">
        <v>11668</v>
      </c>
      <c r="J576" s="6">
        <v>21</v>
      </c>
      <c r="K576" s="4" t="str">
        <f t="shared" si="8"/>
        <v>Mid</v>
      </c>
      <c r="L576" t="s">
        <v>3561</v>
      </c>
      <c r="M576" s="4" t="s">
        <v>3561</v>
      </c>
      <c r="N576" t="s">
        <v>457</v>
      </c>
      <c r="O576" t="s">
        <v>3569</v>
      </c>
      <c r="P576" s="4" t="s">
        <v>3573</v>
      </c>
      <c r="Q576" t="s">
        <v>3573</v>
      </c>
      <c r="R576" t="s">
        <v>590</v>
      </c>
    </row>
    <row r="577" spans="1:18">
      <c r="A577" t="s">
        <v>837</v>
      </c>
      <c r="B577" t="s">
        <v>840</v>
      </c>
      <c r="C577" t="s">
        <v>2825</v>
      </c>
      <c r="D577" t="s">
        <v>3551</v>
      </c>
      <c r="E577">
        <v>27</v>
      </c>
      <c r="F577" s="4" t="s">
        <v>3555</v>
      </c>
      <c r="G577" s="4">
        <v>0</v>
      </c>
      <c r="H577">
        <v>1</v>
      </c>
      <c r="I577">
        <v>11668</v>
      </c>
      <c r="J577" s="6">
        <v>21</v>
      </c>
      <c r="K577" s="4" t="str">
        <f t="shared" si="8"/>
        <v>Mid</v>
      </c>
      <c r="L577" t="s">
        <v>3561</v>
      </c>
      <c r="M577" s="4" t="s">
        <v>3561</v>
      </c>
      <c r="N577" t="s">
        <v>457</v>
      </c>
      <c r="O577" t="s">
        <v>3569</v>
      </c>
      <c r="P577" s="4" t="s">
        <v>3573</v>
      </c>
      <c r="Q577" t="s">
        <v>3573</v>
      </c>
      <c r="R577" t="s">
        <v>590</v>
      </c>
    </row>
    <row r="578" spans="1:18">
      <c r="A578" t="s">
        <v>837</v>
      </c>
      <c r="B578" t="s">
        <v>840</v>
      </c>
      <c r="C578" t="s">
        <v>2826</v>
      </c>
      <c r="D578" t="s">
        <v>3552</v>
      </c>
      <c r="E578">
        <v>40</v>
      </c>
      <c r="F578" s="4" t="s">
        <v>3557</v>
      </c>
      <c r="G578" s="4">
        <v>0</v>
      </c>
      <c r="H578">
        <v>0</v>
      </c>
      <c r="I578">
        <v>28221</v>
      </c>
      <c r="J578" s="6">
        <v>13</v>
      </c>
      <c r="K578" s="4" t="str">
        <f t="shared" si="8"/>
        <v>Mid</v>
      </c>
      <c r="L578" t="s">
        <v>3561</v>
      </c>
      <c r="M578" s="4" t="s">
        <v>3561</v>
      </c>
      <c r="N578" t="s">
        <v>457</v>
      </c>
      <c r="O578" t="s">
        <v>3569</v>
      </c>
      <c r="P578" s="4" t="s">
        <v>3573</v>
      </c>
      <c r="Q578" t="s">
        <v>3573</v>
      </c>
      <c r="R578" t="s">
        <v>591</v>
      </c>
    </row>
    <row r="579" spans="1:18">
      <c r="A579" t="s">
        <v>837</v>
      </c>
      <c r="B579" t="s">
        <v>9</v>
      </c>
      <c r="C579" t="s">
        <v>2827</v>
      </c>
      <c r="D579" t="s">
        <v>3551</v>
      </c>
      <c r="E579">
        <v>31</v>
      </c>
      <c r="F579" s="4" t="s">
        <v>3557</v>
      </c>
      <c r="G579" s="4">
        <v>0</v>
      </c>
      <c r="H579">
        <v>0</v>
      </c>
      <c r="I579" t="s">
        <v>429</v>
      </c>
      <c r="J579" s="6">
        <v>21</v>
      </c>
      <c r="K579" s="4" t="str">
        <f t="shared" ref="K579:K642" si="9">IF(J579&lt;=10,"Low",IF(J579&lt;=50,"Mid","High"))</f>
        <v>Mid</v>
      </c>
      <c r="L579" t="s">
        <v>3561</v>
      </c>
      <c r="M579" s="4" t="s">
        <v>3561</v>
      </c>
      <c r="N579" t="s">
        <v>457</v>
      </c>
      <c r="O579">
        <v>14</v>
      </c>
      <c r="P579" s="4" t="s">
        <v>3573</v>
      </c>
      <c r="Q579" t="s">
        <v>3573</v>
      </c>
      <c r="R579" t="s">
        <v>430</v>
      </c>
    </row>
    <row r="580" spans="1:18">
      <c r="A580" t="s">
        <v>837</v>
      </c>
      <c r="B580" t="s">
        <v>840</v>
      </c>
      <c r="C580" t="s">
        <v>2828</v>
      </c>
      <c r="D580" t="s">
        <v>3552</v>
      </c>
      <c r="E580">
        <v>30</v>
      </c>
      <c r="F580" s="4" t="s">
        <v>3557</v>
      </c>
      <c r="G580" s="4">
        <v>0</v>
      </c>
      <c r="H580">
        <v>1</v>
      </c>
      <c r="I580" t="s">
        <v>592</v>
      </c>
      <c r="J580" s="6">
        <v>21</v>
      </c>
      <c r="K580" s="4" t="str">
        <f t="shared" si="9"/>
        <v>Mid</v>
      </c>
      <c r="L580" t="s">
        <v>3561</v>
      </c>
      <c r="M580" s="4" t="s">
        <v>3561</v>
      </c>
      <c r="N580" t="s">
        <v>457</v>
      </c>
      <c r="O580" t="s">
        <v>3569</v>
      </c>
      <c r="P580" s="4" t="s">
        <v>3573</v>
      </c>
      <c r="Q580" t="s">
        <v>3573</v>
      </c>
      <c r="R580" t="s">
        <v>593</v>
      </c>
    </row>
    <row r="581" spans="1:18">
      <c r="A581" t="s">
        <v>837</v>
      </c>
      <c r="B581" t="s">
        <v>840</v>
      </c>
      <c r="C581" t="s">
        <v>2829</v>
      </c>
      <c r="D581" t="s">
        <v>3552</v>
      </c>
      <c r="E581">
        <v>23</v>
      </c>
      <c r="F581" s="4" t="s">
        <v>3555</v>
      </c>
      <c r="G581" s="4">
        <v>0</v>
      </c>
      <c r="H581">
        <v>1</v>
      </c>
      <c r="I581">
        <v>28666</v>
      </c>
      <c r="J581" s="6">
        <v>10.5</v>
      </c>
      <c r="K581" s="4" t="str">
        <f t="shared" si="9"/>
        <v>Mid</v>
      </c>
      <c r="L581" t="s">
        <v>3561</v>
      </c>
      <c r="M581" s="4" t="s">
        <v>3561</v>
      </c>
      <c r="N581" t="s">
        <v>457</v>
      </c>
      <c r="O581" t="s">
        <v>3569</v>
      </c>
      <c r="P581" s="4" t="s">
        <v>3573</v>
      </c>
      <c r="Q581" t="s">
        <v>3573</v>
      </c>
    </row>
    <row r="582" spans="1:18">
      <c r="A582" t="s">
        <v>837</v>
      </c>
      <c r="B582" t="s">
        <v>9</v>
      </c>
      <c r="C582" t="s">
        <v>2830</v>
      </c>
      <c r="D582" t="s">
        <v>3551</v>
      </c>
      <c r="E582">
        <v>31</v>
      </c>
      <c r="F582" s="4" t="s">
        <v>3557</v>
      </c>
      <c r="G582" s="4">
        <v>0</v>
      </c>
      <c r="H582">
        <v>0</v>
      </c>
      <c r="I582" t="s">
        <v>592</v>
      </c>
      <c r="J582" s="6">
        <v>21</v>
      </c>
      <c r="K582" s="4" t="str">
        <f t="shared" si="9"/>
        <v>Mid</v>
      </c>
      <c r="L582" t="s">
        <v>3561</v>
      </c>
      <c r="M582" s="4" t="s">
        <v>3561</v>
      </c>
      <c r="N582" t="s">
        <v>457</v>
      </c>
      <c r="O582">
        <v>10</v>
      </c>
      <c r="P582" s="4" t="s">
        <v>3573</v>
      </c>
      <c r="Q582" t="s">
        <v>3573</v>
      </c>
      <c r="R582" t="s">
        <v>593</v>
      </c>
    </row>
    <row r="583" spans="1:18">
      <c r="A583" t="s">
        <v>837</v>
      </c>
      <c r="B583" t="s">
        <v>840</v>
      </c>
      <c r="C583" t="s">
        <v>2831</v>
      </c>
      <c r="D583" t="s">
        <v>3552</v>
      </c>
      <c r="E583">
        <v>28</v>
      </c>
      <c r="F583" s="4" t="s">
        <v>3555</v>
      </c>
      <c r="G583" s="4">
        <v>0</v>
      </c>
      <c r="H583">
        <v>0</v>
      </c>
      <c r="I583">
        <v>239856</v>
      </c>
      <c r="J583" s="6">
        <v>0</v>
      </c>
      <c r="K583" s="4" t="str">
        <f t="shared" si="9"/>
        <v>Low</v>
      </c>
      <c r="L583" t="s">
        <v>3561</v>
      </c>
      <c r="M583" s="4" t="s">
        <v>3561</v>
      </c>
      <c r="N583" t="s">
        <v>457</v>
      </c>
      <c r="O583" t="s">
        <v>3569</v>
      </c>
      <c r="P583" s="4" t="s">
        <v>3573</v>
      </c>
      <c r="Q583" t="s">
        <v>3573</v>
      </c>
      <c r="R583" t="s">
        <v>305</v>
      </c>
    </row>
    <row r="584" spans="1:18">
      <c r="A584" t="s">
        <v>837</v>
      </c>
      <c r="B584" t="s">
        <v>9</v>
      </c>
      <c r="C584" t="s">
        <v>2832</v>
      </c>
      <c r="D584" t="s">
        <v>3551</v>
      </c>
      <c r="E584">
        <v>12</v>
      </c>
      <c r="F584" s="4" t="s">
        <v>3560</v>
      </c>
      <c r="G584" s="4">
        <v>0</v>
      </c>
      <c r="H584">
        <v>0</v>
      </c>
      <c r="I584" t="s">
        <v>594</v>
      </c>
      <c r="J584" s="6">
        <v>15.75</v>
      </c>
      <c r="K584" s="4" t="str">
        <f t="shared" si="9"/>
        <v>Mid</v>
      </c>
      <c r="L584" t="s">
        <v>3561</v>
      </c>
      <c r="M584" s="4" t="s">
        <v>3561</v>
      </c>
      <c r="N584" t="s">
        <v>457</v>
      </c>
      <c r="O584">
        <v>9</v>
      </c>
      <c r="P584" s="4" t="s">
        <v>3573</v>
      </c>
      <c r="Q584" t="s">
        <v>3573</v>
      </c>
      <c r="R584" t="s">
        <v>595</v>
      </c>
    </row>
    <row r="585" spans="1:18">
      <c r="A585" t="s">
        <v>837</v>
      </c>
      <c r="B585" t="s">
        <v>9</v>
      </c>
      <c r="C585" t="s">
        <v>2833</v>
      </c>
      <c r="D585" t="s">
        <v>3551</v>
      </c>
      <c r="E585">
        <v>40</v>
      </c>
      <c r="F585" s="4" t="s">
        <v>3557</v>
      </c>
      <c r="G585" s="4">
        <v>0</v>
      </c>
      <c r="H585">
        <v>0</v>
      </c>
      <c r="I585" t="s">
        <v>594</v>
      </c>
      <c r="J585" s="6">
        <v>15.75</v>
      </c>
      <c r="K585" s="4" t="str">
        <f t="shared" si="9"/>
        <v>Mid</v>
      </c>
      <c r="L585" t="s">
        <v>3561</v>
      </c>
      <c r="M585" s="4" t="s">
        <v>3561</v>
      </c>
      <c r="N585" t="s">
        <v>457</v>
      </c>
      <c r="O585">
        <v>9</v>
      </c>
      <c r="P585" s="4" t="s">
        <v>3573</v>
      </c>
      <c r="Q585" t="s">
        <v>3573</v>
      </c>
      <c r="R585" t="s">
        <v>595</v>
      </c>
    </row>
    <row r="586" spans="1:18">
      <c r="A586" t="s">
        <v>837</v>
      </c>
      <c r="B586" t="s">
        <v>9</v>
      </c>
      <c r="C586" t="s">
        <v>2834</v>
      </c>
      <c r="D586" t="s">
        <v>3551</v>
      </c>
      <c r="E586">
        <v>33</v>
      </c>
      <c r="F586" s="4" t="s">
        <v>3557</v>
      </c>
      <c r="G586" s="4">
        <v>0</v>
      </c>
      <c r="H586">
        <v>0</v>
      </c>
      <c r="I586">
        <v>27267</v>
      </c>
      <c r="J586" s="6">
        <v>13</v>
      </c>
      <c r="K586" s="4" t="str">
        <f t="shared" si="9"/>
        <v>Mid</v>
      </c>
      <c r="L586" t="s">
        <v>503</v>
      </c>
      <c r="M586" s="4" t="s">
        <v>3564</v>
      </c>
      <c r="N586" t="s">
        <v>457</v>
      </c>
      <c r="O586">
        <v>12</v>
      </c>
      <c r="P586" s="4" t="s">
        <v>3573</v>
      </c>
      <c r="Q586" t="s">
        <v>3573</v>
      </c>
      <c r="R586" t="s">
        <v>596</v>
      </c>
    </row>
    <row r="587" spans="1:18">
      <c r="A587" t="s">
        <v>837</v>
      </c>
      <c r="B587" t="s">
        <v>840</v>
      </c>
      <c r="C587" t="s">
        <v>2835</v>
      </c>
      <c r="D587" t="s">
        <v>3552</v>
      </c>
      <c r="E587">
        <v>27</v>
      </c>
      <c r="F587" s="4" t="s">
        <v>3555</v>
      </c>
      <c r="G587" s="4">
        <v>0</v>
      </c>
      <c r="H587">
        <v>1</v>
      </c>
      <c r="I587">
        <v>228414</v>
      </c>
      <c r="J587" s="6">
        <v>26</v>
      </c>
      <c r="K587" s="4" t="str">
        <f t="shared" si="9"/>
        <v>Mid</v>
      </c>
      <c r="L587" t="s">
        <v>3561</v>
      </c>
      <c r="M587" s="4" t="s">
        <v>3561</v>
      </c>
      <c r="N587" t="s">
        <v>457</v>
      </c>
      <c r="O587" t="s">
        <v>3569</v>
      </c>
      <c r="P587" s="4">
        <v>293</v>
      </c>
      <c r="Q587" t="s">
        <v>3574</v>
      </c>
      <c r="R587" t="s">
        <v>597</v>
      </c>
    </row>
    <row r="588" spans="1:18">
      <c r="A588" t="s">
        <v>837</v>
      </c>
      <c r="B588" t="s">
        <v>9</v>
      </c>
      <c r="C588" t="s">
        <v>2836</v>
      </c>
      <c r="D588" t="s">
        <v>3551</v>
      </c>
      <c r="E588">
        <v>29</v>
      </c>
      <c r="F588" s="4" t="s">
        <v>3555</v>
      </c>
      <c r="G588" s="4">
        <v>0</v>
      </c>
      <c r="H588">
        <v>1</v>
      </c>
      <c r="I588">
        <v>228414</v>
      </c>
      <c r="J588" s="6">
        <v>26</v>
      </c>
      <c r="K588" s="4" t="str">
        <f t="shared" si="9"/>
        <v>Mid</v>
      </c>
      <c r="L588" t="s">
        <v>3561</v>
      </c>
      <c r="M588" s="4" t="s">
        <v>3561</v>
      </c>
      <c r="N588" t="s">
        <v>457</v>
      </c>
      <c r="O588">
        <v>10</v>
      </c>
      <c r="P588" s="4" t="s">
        <v>3573</v>
      </c>
      <c r="Q588" t="s">
        <v>3573</v>
      </c>
      <c r="R588" t="s">
        <v>597</v>
      </c>
    </row>
    <row r="589" spans="1:18">
      <c r="A589" t="s">
        <v>837</v>
      </c>
      <c r="B589" t="s">
        <v>9</v>
      </c>
      <c r="C589" t="s">
        <v>2837</v>
      </c>
      <c r="D589" t="s">
        <v>3552</v>
      </c>
      <c r="E589">
        <v>2</v>
      </c>
      <c r="F589" s="4" t="s">
        <v>3556</v>
      </c>
      <c r="G589" s="4">
        <v>1</v>
      </c>
      <c r="H589">
        <v>1</v>
      </c>
      <c r="I589">
        <v>29103</v>
      </c>
      <c r="J589" s="6">
        <v>23</v>
      </c>
      <c r="K589" s="4" t="str">
        <f t="shared" si="9"/>
        <v>Mid</v>
      </c>
      <c r="L589" t="s">
        <v>3561</v>
      </c>
      <c r="M589" s="4" t="s">
        <v>3561</v>
      </c>
      <c r="N589" t="s">
        <v>457</v>
      </c>
      <c r="O589">
        <v>14</v>
      </c>
      <c r="P589" s="4" t="s">
        <v>3573</v>
      </c>
      <c r="Q589" t="s">
        <v>3573</v>
      </c>
      <c r="R589" t="s">
        <v>490</v>
      </c>
    </row>
    <row r="590" spans="1:18">
      <c r="A590" t="s">
        <v>837</v>
      </c>
      <c r="B590" t="s">
        <v>9</v>
      </c>
      <c r="C590" t="s">
        <v>2838</v>
      </c>
      <c r="D590" t="s">
        <v>3551</v>
      </c>
      <c r="E590">
        <v>4</v>
      </c>
      <c r="F590" s="4" t="s">
        <v>3556</v>
      </c>
      <c r="G590" s="4">
        <v>1</v>
      </c>
      <c r="H590">
        <v>1</v>
      </c>
      <c r="I590">
        <v>29103</v>
      </c>
      <c r="J590" s="6">
        <v>23</v>
      </c>
      <c r="K590" s="4" t="str">
        <f t="shared" si="9"/>
        <v>Mid</v>
      </c>
      <c r="L590" t="s">
        <v>3561</v>
      </c>
      <c r="M590" s="4" t="s">
        <v>3561</v>
      </c>
      <c r="N590" t="s">
        <v>457</v>
      </c>
      <c r="O590">
        <v>14</v>
      </c>
      <c r="P590" s="4" t="s">
        <v>3573</v>
      </c>
      <c r="Q590" t="s">
        <v>3573</v>
      </c>
      <c r="R590" t="s">
        <v>490</v>
      </c>
    </row>
    <row r="591" spans="1:18">
      <c r="A591" t="s">
        <v>837</v>
      </c>
      <c r="B591" t="s">
        <v>9</v>
      </c>
      <c r="C591" t="s">
        <v>2839</v>
      </c>
      <c r="D591" t="s">
        <v>3551</v>
      </c>
      <c r="E591">
        <v>29</v>
      </c>
      <c r="F591" s="4" t="s">
        <v>3555</v>
      </c>
      <c r="G591" s="4">
        <v>2</v>
      </c>
      <c r="H591">
        <v>0</v>
      </c>
      <c r="I591">
        <v>29103</v>
      </c>
      <c r="J591" s="6">
        <v>23</v>
      </c>
      <c r="K591" s="4" t="str">
        <f t="shared" si="9"/>
        <v>Mid</v>
      </c>
      <c r="L591" t="s">
        <v>3561</v>
      </c>
      <c r="M591" s="4" t="s">
        <v>3561</v>
      </c>
      <c r="N591" t="s">
        <v>457</v>
      </c>
      <c r="O591">
        <v>14</v>
      </c>
      <c r="P591" s="4" t="s">
        <v>3573</v>
      </c>
      <c r="Q591" t="s">
        <v>3573</v>
      </c>
      <c r="R591" t="s">
        <v>490</v>
      </c>
    </row>
    <row r="592" spans="1:18">
      <c r="A592" t="s">
        <v>837</v>
      </c>
      <c r="B592" t="s">
        <v>9</v>
      </c>
      <c r="C592" t="s">
        <v>2840</v>
      </c>
      <c r="D592" t="s">
        <v>3551</v>
      </c>
      <c r="E592">
        <v>1</v>
      </c>
      <c r="F592" s="4" t="s">
        <v>3556</v>
      </c>
      <c r="G592" s="4">
        <v>2</v>
      </c>
      <c r="H592">
        <v>1</v>
      </c>
      <c r="I592" t="s">
        <v>598</v>
      </c>
      <c r="J592" s="6">
        <v>27.75</v>
      </c>
      <c r="K592" s="4" t="str">
        <f t="shared" si="9"/>
        <v>Mid</v>
      </c>
      <c r="L592" t="s">
        <v>3561</v>
      </c>
      <c r="M592" s="4" t="s">
        <v>3561</v>
      </c>
      <c r="N592" t="s">
        <v>457</v>
      </c>
      <c r="O592">
        <v>10</v>
      </c>
      <c r="P592" s="4" t="s">
        <v>3573</v>
      </c>
      <c r="Q592" t="s">
        <v>3573</v>
      </c>
      <c r="R592" t="s">
        <v>599</v>
      </c>
    </row>
    <row r="593" spans="1:18">
      <c r="A593" t="s">
        <v>837</v>
      </c>
      <c r="B593" t="s">
        <v>9</v>
      </c>
      <c r="C593" t="s">
        <v>2841</v>
      </c>
      <c r="D593" t="s">
        <v>3551</v>
      </c>
      <c r="E593">
        <v>5</v>
      </c>
      <c r="F593" s="4" t="s">
        <v>3556</v>
      </c>
      <c r="G593" s="4">
        <v>2</v>
      </c>
      <c r="H593">
        <v>1</v>
      </c>
      <c r="I593" t="s">
        <v>598</v>
      </c>
      <c r="J593" s="6">
        <v>27.75</v>
      </c>
      <c r="K593" s="4" t="str">
        <f t="shared" si="9"/>
        <v>Mid</v>
      </c>
      <c r="L593" t="s">
        <v>3561</v>
      </c>
      <c r="M593" s="4" t="s">
        <v>3561</v>
      </c>
      <c r="N593" t="s">
        <v>457</v>
      </c>
      <c r="O593">
        <v>10</v>
      </c>
      <c r="P593" s="4" t="s">
        <v>3573</v>
      </c>
      <c r="Q593" t="s">
        <v>3573</v>
      </c>
      <c r="R593" t="s">
        <v>599</v>
      </c>
    </row>
    <row r="594" spans="1:18">
      <c r="A594" t="s">
        <v>837</v>
      </c>
      <c r="B594" t="s">
        <v>840</v>
      </c>
      <c r="C594" t="s">
        <v>2842</v>
      </c>
      <c r="D594" t="s">
        <v>3552</v>
      </c>
      <c r="E594">
        <v>36</v>
      </c>
      <c r="F594" s="4" t="s">
        <v>3557</v>
      </c>
      <c r="G594" s="4">
        <v>2</v>
      </c>
      <c r="H594">
        <v>1</v>
      </c>
      <c r="I594" t="s">
        <v>598</v>
      </c>
      <c r="J594" s="6">
        <v>27.75</v>
      </c>
      <c r="K594" s="4" t="str">
        <f t="shared" si="9"/>
        <v>Mid</v>
      </c>
      <c r="L594" t="s">
        <v>3561</v>
      </c>
      <c r="M594" s="4" t="s">
        <v>3561</v>
      </c>
      <c r="N594" t="s">
        <v>457</v>
      </c>
      <c r="O594" t="s">
        <v>3569</v>
      </c>
      <c r="P594" s="4" t="s">
        <v>3573</v>
      </c>
      <c r="Q594" t="s">
        <v>3573</v>
      </c>
      <c r="R594" t="s">
        <v>599</v>
      </c>
    </row>
    <row r="595" spans="1:18">
      <c r="A595" t="s">
        <v>837</v>
      </c>
      <c r="B595" t="s">
        <v>9</v>
      </c>
      <c r="C595" t="s">
        <v>2843</v>
      </c>
      <c r="D595" t="s">
        <v>3551</v>
      </c>
      <c r="E595">
        <v>33</v>
      </c>
      <c r="F595" s="4" t="s">
        <v>3557</v>
      </c>
      <c r="G595" s="4">
        <v>2</v>
      </c>
      <c r="H595">
        <v>1</v>
      </c>
      <c r="I595" t="s">
        <v>598</v>
      </c>
      <c r="J595" s="6">
        <v>27.75</v>
      </c>
      <c r="K595" s="4" t="str">
        <f t="shared" si="9"/>
        <v>Mid</v>
      </c>
      <c r="L595" t="s">
        <v>3561</v>
      </c>
      <c r="M595" s="4" t="s">
        <v>3561</v>
      </c>
      <c r="N595" t="s">
        <v>457</v>
      </c>
      <c r="O595">
        <v>10</v>
      </c>
      <c r="P595" s="4" t="s">
        <v>3573</v>
      </c>
      <c r="Q595" t="s">
        <v>3573</v>
      </c>
      <c r="R595" t="s">
        <v>599</v>
      </c>
    </row>
    <row r="596" spans="1:18">
      <c r="A596" t="s">
        <v>837</v>
      </c>
      <c r="B596" t="s">
        <v>840</v>
      </c>
      <c r="C596" t="s">
        <v>2844</v>
      </c>
      <c r="D596" t="s">
        <v>3552</v>
      </c>
      <c r="E596">
        <v>66</v>
      </c>
      <c r="F596" s="4" t="s">
        <v>3559</v>
      </c>
      <c r="G596" s="4">
        <v>0</v>
      </c>
      <c r="H596">
        <v>0</v>
      </c>
      <c r="I596" t="s">
        <v>600</v>
      </c>
      <c r="J596" s="6">
        <v>10.5</v>
      </c>
      <c r="K596" s="4" t="str">
        <f t="shared" si="9"/>
        <v>Mid</v>
      </c>
      <c r="L596" t="s">
        <v>3561</v>
      </c>
      <c r="M596" s="4" t="s">
        <v>3561</v>
      </c>
      <c r="N596" t="s">
        <v>457</v>
      </c>
      <c r="O596" t="s">
        <v>3569</v>
      </c>
      <c r="P596" s="4" t="s">
        <v>3573</v>
      </c>
      <c r="Q596" t="s">
        <v>3573</v>
      </c>
      <c r="R596" t="s">
        <v>601</v>
      </c>
    </row>
    <row r="597" spans="1:18">
      <c r="A597" t="s">
        <v>837</v>
      </c>
      <c r="B597" t="s">
        <v>840</v>
      </c>
      <c r="C597" t="s">
        <v>2845</v>
      </c>
      <c r="D597" t="s">
        <v>3552</v>
      </c>
      <c r="E597">
        <v>28</v>
      </c>
      <c r="F597" s="4" t="s">
        <v>3555</v>
      </c>
      <c r="G597" s="4">
        <v>0</v>
      </c>
      <c r="H597">
        <v>0</v>
      </c>
      <c r="I597" t="s">
        <v>602</v>
      </c>
      <c r="J597" s="6">
        <v>12.875</v>
      </c>
      <c r="K597" s="4" t="str">
        <f t="shared" si="9"/>
        <v>Mid</v>
      </c>
      <c r="L597" t="s">
        <v>3561</v>
      </c>
      <c r="M597" s="4" t="s">
        <v>3561</v>
      </c>
      <c r="N597" t="s">
        <v>457</v>
      </c>
      <c r="O597" t="s">
        <v>3569</v>
      </c>
      <c r="P597" s="4" t="s">
        <v>3573</v>
      </c>
      <c r="Q597" t="s">
        <v>3573</v>
      </c>
    </row>
    <row r="598" spans="1:18">
      <c r="A598" t="s">
        <v>837</v>
      </c>
      <c r="B598" t="s">
        <v>9</v>
      </c>
      <c r="C598" t="s">
        <v>2846</v>
      </c>
      <c r="D598" t="s">
        <v>3552</v>
      </c>
      <c r="E598">
        <v>31</v>
      </c>
      <c r="F598" s="4" t="s">
        <v>3557</v>
      </c>
      <c r="G598" s="4">
        <v>0</v>
      </c>
      <c r="H598">
        <v>0</v>
      </c>
      <c r="I598">
        <v>244270</v>
      </c>
      <c r="J598" s="6">
        <v>13</v>
      </c>
      <c r="K598" s="4" t="str">
        <f t="shared" si="9"/>
        <v>Mid</v>
      </c>
      <c r="L598" t="s">
        <v>3561</v>
      </c>
      <c r="M598" s="4" t="s">
        <v>3561</v>
      </c>
      <c r="N598" t="s">
        <v>457</v>
      </c>
      <c r="O598">
        <v>9</v>
      </c>
      <c r="P598" s="4" t="s">
        <v>3573</v>
      </c>
      <c r="Q598" t="s">
        <v>3573</v>
      </c>
      <c r="R598" t="s">
        <v>138</v>
      </c>
    </row>
    <row r="599" spans="1:18">
      <c r="A599" t="s">
        <v>837</v>
      </c>
      <c r="B599" t="s">
        <v>9</v>
      </c>
      <c r="C599" t="s">
        <v>2567</v>
      </c>
      <c r="D599" t="s">
        <v>3552</v>
      </c>
      <c r="E599">
        <v>28</v>
      </c>
      <c r="F599" s="4" t="s">
        <v>3555</v>
      </c>
      <c r="G599" s="4">
        <v>0</v>
      </c>
      <c r="H599">
        <v>0</v>
      </c>
      <c r="I599">
        <v>244373</v>
      </c>
      <c r="J599" s="6">
        <v>13</v>
      </c>
      <c r="K599" s="4" t="str">
        <f t="shared" si="9"/>
        <v>Mid</v>
      </c>
      <c r="L599" t="s">
        <v>3561</v>
      </c>
      <c r="M599" s="4" t="s">
        <v>3561</v>
      </c>
      <c r="N599" t="s">
        <v>457</v>
      </c>
      <c r="O599">
        <v>14</v>
      </c>
      <c r="P599" s="4" t="s">
        <v>3573</v>
      </c>
      <c r="Q599" t="s">
        <v>3573</v>
      </c>
      <c r="R599" t="s">
        <v>603</v>
      </c>
    </row>
    <row r="600" spans="1:18">
      <c r="A600" t="s">
        <v>837</v>
      </c>
      <c r="B600" t="s">
        <v>9</v>
      </c>
      <c r="C600" t="s">
        <v>2847</v>
      </c>
      <c r="D600" t="s">
        <v>3551</v>
      </c>
      <c r="E600">
        <v>26</v>
      </c>
      <c r="F600" s="4" t="s">
        <v>3555</v>
      </c>
      <c r="G600" s="4">
        <v>0</v>
      </c>
      <c r="H600">
        <v>0</v>
      </c>
      <c r="I600">
        <v>220844</v>
      </c>
      <c r="J600" s="6">
        <v>13.5</v>
      </c>
      <c r="K600" s="4" t="str">
        <f t="shared" si="9"/>
        <v>Mid</v>
      </c>
      <c r="L600" t="s">
        <v>3561</v>
      </c>
      <c r="M600" s="4" t="s">
        <v>3561</v>
      </c>
      <c r="N600" t="s">
        <v>457</v>
      </c>
      <c r="O600">
        <v>9</v>
      </c>
      <c r="P600" s="4" t="s">
        <v>3573</v>
      </c>
      <c r="Q600" t="s">
        <v>3573</v>
      </c>
      <c r="R600" t="s">
        <v>604</v>
      </c>
    </row>
    <row r="601" spans="1:18">
      <c r="A601" t="s">
        <v>837</v>
      </c>
      <c r="B601" t="s">
        <v>840</v>
      </c>
      <c r="C601" t="s">
        <v>2848</v>
      </c>
      <c r="D601" t="s">
        <v>3551</v>
      </c>
      <c r="E601">
        <v>24</v>
      </c>
      <c r="F601" s="4" t="s">
        <v>3555</v>
      </c>
      <c r="G601" s="4">
        <v>0</v>
      </c>
      <c r="H601">
        <v>0</v>
      </c>
      <c r="I601">
        <v>248747</v>
      </c>
      <c r="J601" s="6">
        <v>13</v>
      </c>
      <c r="K601" s="4" t="str">
        <f t="shared" si="9"/>
        <v>Mid</v>
      </c>
      <c r="L601" t="s">
        <v>3561</v>
      </c>
      <c r="M601" s="4" t="s">
        <v>3561</v>
      </c>
      <c r="N601" t="s">
        <v>457</v>
      </c>
      <c r="O601" t="s">
        <v>3569</v>
      </c>
      <c r="P601" s="4" t="s">
        <v>3573</v>
      </c>
      <c r="Q601" t="s">
        <v>3573</v>
      </c>
      <c r="R601" t="s">
        <v>521</v>
      </c>
    </row>
    <row r="602" spans="1:18">
      <c r="A602" t="s">
        <v>838</v>
      </c>
      <c r="B602" t="s">
        <v>840</v>
      </c>
      <c r="C602" t="s">
        <v>2849</v>
      </c>
      <c r="D602" t="s">
        <v>3552</v>
      </c>
      <c r="E602">
        <v>42</v>
      </c>
      <c r="F602" s="4" t="s">
        <v>3557</v>
      </c>
      <c r="G602" s="4">
        <v>0</v>
      </c>
      <c r="H602">
        <v>0</v>
      </c>
      <c r="I602" t="s">
        <v>605</v>
      </c>
      <c r="J602" s="6">
        <v>7.55</v>
      </c>
      <c r="K602" s="4" t="str">
        <f t="shared" si="9"/>
        <v>Low</v>
      </c>
      <c r="L602" t="s">
        <v>3561</v>
      </c>
      <c r="M602" s="4" t="s">
        <v>3561</v>
      </c>
      <c r="N602" t="s">
        <v>457</v>
      </c>
      <c r="O602" t="s">
        <v>3569</v>
      </c>
      <c r="P602" s="4" t="s">
        <v>3573</v>
      </c>
      <c r="Q602" t="s">
        <v>3573</v>
      </c>
    </row>
    <row r="603" spans="1:18">
      <c r="A603" t="s">
        <v>838</v>
      </c>
      <c r="B603" t="s">
        <v>840</v>
      </c>
      <c r="C603" t="s">
        <v>2850</v>
      </c>
      <c r="D603" t="s">
        <v>3552</v>
      </c>
      <c r="E603">
        <v>13</v>
      </c>
      <c r="F603" s="4" t="s">
        <v>3560</v>
      </c>
      <c r="G603" s="4">
        <v>2</v>
      </c>
      <c r="H603">
        <v>0</v>
      </c>
      <c r="I603" t="s">
        <v>606</v>
      </c>
      <c r="J603" s="6">
        <v>20.25</v>
      </c>
      <c r="K603" s="4" t="str">
        <f t="shared" si="9"/>
        <v>Mid</v>
      </c>
      <c r="L603" t="s">
        <v>3561</v>
      </c>
      <c r="M603" s="4" t="s">
        <v>3561</v>
      </c>
      <c r="N603" t="s">
        <v>457</v>
      </c>
      <c r="O603" t="s">
        <v>3569</v>
      </c>
      <c r="P603" s="4" t="s">
        <v>3573</v>
      </c>
      <c r="Q603" t="s">
        <v>3573</v>
      </c>
      <c r="R603" t="s">
        <v>607</v>
      </c>
    </row>
    <row r="604" spans="1:18">
      <c r="A604" t="s">
        <v>838</v>
      </c>
      <c r="B604" t="s">
        <v>840</v>
      </c>
      <c r="C604" t="s">
        <v>2851</v>
      </c>
      <c r="D604" t="s">
        <v>3552</v>
      </c>
      <c r="E604">
        <v>16</v>
      </c>
      <c r="F604" s="4" t="s">
        <v>3560</v>
      </c>
      <c r="G604" s="4">
        <v>1</v>
      </c>
      <c r="H604">
        <v>1</v>
      </c>
      <c r="I604" t="s">
        <v>606</v>
      </c>
      <c r="J604" s="6">
        <v>20.25</v>
      </c>
      <c r="K604" s="4" t="str">
        <f t="shared" si="9"/>
        <v>Mid</v>
      </c>
      <c r="L604" t="s">
        <v>3561</v>
      </c>
      <c r="M604" s="4" t="s">
        <v>3561</v>
      </c>
      <c r="N604" t="s">
        <v>457</v>
      </c>
      <c r="O604" t="s">
        <v>3569</v>
      </c>
      <c r="P604" s="4">
        <v>190</v>
      </c>
      <c r="Q604" t="s">
        <v>3574</v>
      </c>
      <c r="R604" t="s">
        <v>607</v>
      </c>
    </row>
    <row r="605" spans="1:18">
      <c r="A605" t="s">
        <v>838</v>
      </c>
      <c r="B605" t="s">
        <v>9</v>
      </c>
      <c r="C605" t="s">
        <v>2852</v>
      </c>
      <c r="D605" t="s">
        <v>3551</v>
      </c>
      <c r="E605">
        <v>35</v>
      </c>
      <c r="F605" s="4" t="s">
        <v>3557</v>
      </c>
      <c r="G605" s="4">
        <v>1</v>
      </c>
      <c r="H605">
        <v>1</v>
      </c>
      <c r="I605" t="s">
        <v>606</v>
      </c>
      <c r="J605" s="6">
        <v>20.25</v>
      </c>
      <c r="K605" s="4" t="str">
        <f t="shared" si="9"/>
        <v>Mid</v>
      </c>
      <c r="L605" t="s">
        <v>3561</v>
      </c>
      <c r="M605" s="4" t="s">
        <v>3561</v>
      </c>
      <c r="N605" t="s">
        <v>457</v>
      </c>
      <c r="O605" t="s">
        <v>78</v>
      </c>
      <c r="P605" s="4" t="s">
        <v>3573</v>
      </c>
      <c r="Q605" t="s">
        <v>3573</v>
      </c>
      <c r="R605" t="s">
        <v>607</v>
      </c>
    </row>
    <row r="606" spans="1:18">
      <c r="A606" t="s">
        <v>838</v>
      </c>
      <c r="B606" t="s">
        <v>9</v>
      </c>
      <c r="C606" t="s">
        <v>2853</v>
      </c>
      <c r="D606" t="s">
        <v>3551</v>
      </c>
      <c r="E606">
        <v>16</v>
      </c>
      <c r="F606" s="4" t="s">
        <v>3560</v>
      </c>
      <c r="G606" s="4">
        <v>0</v>
      </c>
      <c r="H606">
        <v>0</v>
      </c>
      <c r="I606">
        <v>348125</v>
      </c>
      <c r="J606" s="6">
        <v>7.65</v>
      </c>
      <c r="K606" s="4" t="str">
        <f t="shared" si="9"/>
        <v>Low</v>
      </c>
      <c r="L606" t="s">
        <v>3561</v>
      </c>
      <c r="M606" s="4" t="s">
        <v>3561</v>
      </c>
      <c r="N606" t="s">
        <v>457</v>
      </c>
      <c r="O606">
        <v>16</v>
      </c>
      <c r="P606" s="4" t="s">
        <v>3573</v>
      </c>
      <c r="Q606" t="s">
        <v>3573</v>
      </c>
      <c r="R606" t="s">
        <v>608</v>
      </c>
    </row>
    <row r="607" spans="1:18">
      <c r="A607" t="s">
        <v>838</v>
      </c>
      <c r="B607" t="s">
        <v>9</v>
      </c>
      <c r="C607" t="s">
        <v>2854</v>
      </c>
      <c r="D607" t="s">
        <v>3552</v>
      </c>
      <c r="E607">
        <v>25</v>
      </c>
      <c r="F607" s="4" t="s">
        <v>3555</v>
      </c>
      <c r="G607" s="4">
        <v>0</v>
      </c>
      <c r="H607">
        <v>0</v>
      </c>
      <c r="I607">
        <v>348122</v>
      </c>
      <c r="J607" s="6">
        <v>7.65</v>
      </c>
      <c r="K607" s="4" t="str">
        <f t="shared" si="9"/>
        <v>Low</v>
      </c>
      <c r="L607" t="s">
        <v>609</v>
      </c>
      <c r="M607" s="4" t="s">
        <v>586</v>
      </c>
      <c r="N607" t="s">
        <v>457</v>
      </c>
      <c r="O607" t="s">
        <v>78</v>
      </c>
      <c r="P607" s="4" t="s">
        <v>3573</v>
      </c>
      <c r="Q607" t="s">
        <v>3573</v>
      </c>
      <c r="R607" t="s">
        <v>610</v>
      </c>
    </row>
    <row r="608" spans="1:18">
      <c r="A608" t="s">
        <v>838</v>
      </c>
      <c r="B608" t="s">
        <v>9</v>
      </c>
      <c r="C608" t="s">
        <v>2855</v>
      </c>
      <c r="D608" t="s">
        <v>3552</v>
      </c>
      <c r="E608">
        <v>20</v>
      </c>
      <c r="F608" s="4" t="s">
        <v>3555</v>
      </c>
      <c r="G608" s="4">
        <v>0</v>
      </c>
      <c r="H608">
        <v>0</v>
      </c>
      <c r="I608" t="s">
        <v>611</v>
      </c>
      <c r="J608" s="6">
        <v>7.9249999999999998</v>
      </c>
      <c r="K608" s="4" t="str">
        <f t="shared" si="9"/>
        <v>Low</v>
      </c>
      <c r="L608" t="s">
        <v>3561</v>
      </c>
      <c r="M608" s="4" t="s">
        <v>3561</v>
      </c>
      <c r="N608" t="s">
        <v>457</v>
      </c>
      <c r="O608">
        <v>15</v>
      </c>
      <c r="P608" s="4" t="s">
        <v>3573</v>
      </c>
      <c r="Q608" t="s">
        <v>3573</v>
      </c>
      <c r="R608" t="s">
        <v>612</v>
      </c>
    </row>
    <row r="609" spans="1:18">
      <c r="A609" t="s">
        <v>838</v>
      </c>
      <c r="B609" t="s">
        <v>9</v>
      </c>
      <c r="C609" t="s">
        <v>2856</v>
      </c>
      <c r="D609" t="s">
        <v>3551</v>
      </c>
      <c r="E609">
        <v>18</v>
      </c>
      <c r="F609" s="4" t="s">
        <v>3555</v>
      </c>
      <c r="G609" s="4">
        <v>0</v>
      </c>
      <c r="H609">
        <v>0</v>
      </c>
      <c r="I609">
        <v>2657</v>
      </c>
      <c r="J609" s="6">
        <v>7.2291999999999996</v>
      </c>
      <c r="K609" s="4" t="str">
        <f t="shared" si="9"/>
        <v>Low</v>
      </c>
      <c r="L609" t="s">
        <v>3561</v>
      </c>
      <c r="M609" s="4" t="s">
        <v>3561</v>
      </c>
      <c r="N609" t="s">
        <v>3566</v>
      </c>
      <c r="O609" t="s">
        <v>62</v>
      </c>
      <c r="P609" s="4" t="s">
        <v>3573</v>
      </c>
      <c r="Q609" t="s">
        <v>3573</v>
      </c>
      <c r="R609" t="s">
        <v>613</v>
      </c>
    </row>
    <row r="610" spans="1:18">
      <c r="A610" t="s">
        <v>838</v>
      </c>
      <c r="B610" t="s">
        <v>840</v>
      </c>
      <c r="C610" t="s">
        <v>2857</v>
      </c>
      <c r="D610" t="s">
        <v>3552</v>
      </c>
      <c r="E610">
        <v>30</v>
      </c>
      <c r="F610" s="4" t="s">
        <v>3557</v>
      </c>
      <c r="G610" s="4">
        <v>0</v>
      </c>
      <c r="H610">
        <v>0</v>
      </c>
      <c r="I610" t="s">
        <v>614</v>
      </c>
      <c r="J610" s="6">
        <v>7.25</v>
      </c>
      <c r="K610" s="4" t="str">
        <f t="shared" si="9"/>
        <v>Low</v>
      </c>
      <c r="L610" t="s">
        <v>3561</v>
      </c>
      <c r="M610" s="4" t="s">
        <v>3561</v>
      </c>
      <c r="N610" t="s">
        <v>457</v>
      </c>
      <c r="O610" t="s">
        <v>3569</v>
      </c>
      <c r="P610" s="4">
        <v>72</v>
      </c>
      <c r="Q610" t="s">
        <v>3574</v>
      </c>
      <c r="R610" t="s">
        <v>615</v>
      </c>
    </row>
    <row r="611" spans="1:18">
      <c r="A611" t="s">
        <v>838</v>
      </c>
      <c r="B611" t="s">
        <v>840</v>
      </c>
      <c r="C611" t="s">
        <v>2858</v>
      </c>
      <c r="D611" t="s">
        <v>3552</v>
      </c>
      <c r="E611">
        <v>26</v>
      </c>
      <c r="F611" s="4" t="s">
        <v>3555</v>
      </c>
      <c r="G611" s="4">
        <v>0</v>
      </c>
      <c r="H611">
        <v>0</v>
      </c>
      <c r="I611">
        <v>341826</v>
      </c>
      <c r="J611" s="6">
        <v>8.0500000000000007</v>
      </c>
      <c r="K611" s="4" t="str">
        <f t="shared" si="9"/>
        <v>Low</v>
      </c>
      <c r="L611" t="s">
        <v>3561</v>
      </c>
      <c r="M611" s="4" t="s">
        <v>3561</v>
      </c>
      <c r="N611" t="s">
        <v>457</v>
      </c>
      <c r="O611" t="s">
        <v>3569</v>
      </c>
      <c r="P611" s="4">
        <v>103</v>
      </c>
      <c r="Q611" t="s">
        <v>3574</v>
      </c>
      <c r="R611" t="s">
        <v>616</v>
      </c>
    </row>
    <row r="612" spans="1:18">
      <c r="A612" t="s">
        <v>838</v>
      </c>
      <c r="B612" t="s">
        <v>840</v>
      </c>
      <c r="C612" t="s">
        <v>2859</v>
      </c>
      <c r="D612" t="s">
        <v>3551</v>
      </c>
      <c r="E612">
        <v>40</v>
      </c>
      <c r="F612" s="4" t="s">
        <v>3557</v>
      </c>
      <c r="G612" s="4">
        <v>0</v>
      </c>
      <c r="H612">
        <v>1</v>
      </c>
      <c r="I612">
        <v>7546</v>
      </c>
      <c r="J612" s="6">
        <v>9.4749999999999996</v>
      </c>
      <c r="K612" s="4" t="str">
        <f t="shared" si="9"/>
        <v>Low</v>
      </c>
      <c r="L612" t="s">
        <v>3561</v>
      </c>
      <c r="M612" s="4" t="s">
        <v>3561</v>
      </c>
      <c r="N612" t="s">
        <v>457</v>
      </c>
      <c r="O612" t="s">
        <v>3569</v>
      </c>
      <c r="P612" s="4" t="s">
        <v>3573</v>
      </c>
      <c r="Q612" t="s">
        <v>3573</v>
      </c>
      <c r="R612" t="s">
        <v>617</v>
      </c>
    </row>
    <row r="613" spans="1:18">
      <c r="A613" t="s">
        <v>838</v>
      </c>
      <c r="B613" t="s">
        <v>9</v>
      </c>
      <c r="C613" t="s">
        <v>2860</v>
      </c>
      <c r="D613" t="s">
        <v>3552</v>
      </c>
      <c r="E613">
        <v>1</v>
      </c>
      <c r="F613" s="4" t="s">
        <v>3556</v>
      </c>
      <c r="G613" s="4">
        <v>1</v>
      </c>
      <c r="H613">
        <v>0</v>
      </c>
      <c r="I613">
        <v>392091</v>
      </c>
      <c r="J613" s="6">
        <v>9.35</v>
      </c>
      <c r="K613" s="4" t="str">
        <f t="shared" si="9"/>
        <v>Low</v>
      </c>
      <c r="L613" t="s">
        <v>3561</v>
      </c>
      <c r="M613" s="4" t="s">
        <v>3561</v>
      </c>
      <c r="N613" t="s">
        <v>457</v>
      </c>
      <c r="O613">
        <v>11</v>
      </c>
      <c r="P613" s="4" t="s">
        <v>3573</v>
      </c>
      <c r="Q613" t="s">
        <v>3573</v>
      </c>
      <c r="R613" t="s">
        <v>618</v>
      </c>
    </row>
    <row r="614" spans="1:18">
      <c r="A614" t="s">
        <v>838</v>
      </c>
      <c r="B614" t="s">
        <v>9</v>
      </c>
      <c r="C614" t="s">
        <v>2861</v>
      </c>
      <c r="D614" t="s">
        <v>3551</v>
      </c>
      <c r="E614">
        <v>18</v>
      </c>
      <c r="F614" s="4" t="s">
        <v>3555</v>
      </c>
      <c r="G614" s="4">
        <v>1</v>
      </c>
      <c r="H614">
        <v>0</v>
      </c>
      <c r="I614">
        <v>392091</v>
      </c>
      <c r="J614" s="6">
        <v>9.35</v>
      </c>
      <c r="K614" s="4" t="str">
        <f t="shared" si="9"/>
        <v>Low</v>
      </c>
      <c r="L614" t="s">
        <v>3561</v>
      </c>
      <c r="M614" s="4" t="s">
        <v>3561</v>
      </c>
      <c r="N614" t="s">
        <v>457</v>
      </c>
      <c r="O614">
        <v>13</v>
      </c>
      <c r="P614" s="4" t="s">
        <v>3573</v>
      </c>
      <c r="Q614" t="s">
        <v>3573</v>
      </c>
      <c r="R614" t="s">
        <v>618</v>
      </c>
    </row>
    <row r="615" spans="1:18">
      <c r="A615" t="s">
        <v>838</v>
      </c>
      <c r="B615" t="s">
        <v>9</v>
      </c>
      <c r="C615" t="s">
        <v>2862</v>
      </c>
      <c r="D615" t="s">
        <v>3552</v>
      </c>
      <c r="E615">
        <v>26</v>
      </c>
      <c r="F615" s="4" t="s">
        <v>3555</v>
      </c>
      <c r="G615" s="4">
        <v>0</v>
      </c>
      <c r="H615">
        <v>0</v>
      </c>
      <c r="I615">
        <v>2699</v>
      </c>
      <c r="J615" s="6">
        <v>18.787500000000001</v>
      </c>
      <c r="K615" s="4" t="str">
        <f t="shared" si="9"/>
        <v>Mid</v>
      </c>
      <c r="L615" t="s">
        <v>3561</v>
      </c>
      <c r="M615" s="4" t="s">
        <v>3561</v>
      </c>
      <c r="N615" t="s">
        <v>3566</v>
      </c>
      <c r="O615">
        <v>15</v>
      </c>
      <c r="P615" s="4" t="s">
        <v>3573</v>
      </c>
      <c r="Q615" t="s">
        <v>3573</v>
      </c>
      <c r="R615" t="s">
        <v>619</v>
      </c>
    </row>
    <row r="616" spans="1:18">
      <c r="A616" t="s">
        <v>838</v>
      </c>
      <c r="B616" t="s">
        <v>840</v>
      </c>
      <c r="C616" t="s">
        <v>2863</v>
      </c>
      <c r="D616" t="s">
        <v>3552</v>
      </c>
      <c r="E616">
        <v>26</v>
      </c>
      <c r="F616" s="4" t="s">
        <v>3555</v>
      </c>
      <c r="G616" s="4">
        <v>0</v>
      </c>
      <c r="H616">
        <v>0</v>
      </c>
      <c r="I616">
        <v>3474</v>
      </c>
      <c r="J616" s="6">
        <v>7.8875000000000002</v>
      </c>
      <c r="K616" s="4" t="str">
        <f t="shared" si="9"/>
        <v>Low</v>
      </c>
      <c r="L616" t="s">
        <v>3561</v>
      </c>
      <c r="M616" s="4" t="s">
        <v>3561</v>
      </c>
      <c r="N616" t="s">
        <v>457</v>
      </c>
      <c r="O616" t="s">
        <v>3569</v>
      </c>
      <c r="P616" s="4" t="s">
        <v>3573</v>
      </c>
      <c r="Q616" t="s">
        <v>3573</v>
      </c>
      <c r="R616" t="s">
        <v>620</v>
      </c>
    </row>
    <row r="617" spans="1:18">
      <c r="A617" t="s">
        <v>838</v>
      </c>
      <c r="B617" t="s">
        <v>840</v>
      </c>
      <c r="C617" t="s">
        <v>2864</v>
      </c>
      <c r="D617" t="s">
        <v>3552</v>
      </c>
      <c r="E617">
        <v>20</v>
      </c>
      <c r="F617" s="4" t="s">
        <v>3555</v>
      </c>
      <c r="G617" s="4">
        <v>0</v>
      </c>
      <c r="H617">
        <v>0</v>
      </c>
      <c r="I617" t="s">
        <v>621</v>
      </c>
      <c r="J617" s="6">
        <v>7.9249999999999998</v>
      </c>
      <c r="K617" s="4" t="str">
        <f t="shared" si="9"/>
        <v>Low</v>
      </c>
      <c r="L617" t="s">
        <v>3561</v>
      </c>
      <c r="M617" s="4" t="s">
        <v>3561</v>
      </c>
      <c r="N617" t="s">
        <v>457</v>
      </c>
      <c r="O617" t="s">
        <v>3569</v>
      </c>
      <c r="P617" s="4" t="s">
        <v>3573</v>
      </c>
      <c r="Q617" t="s">
        <v>3573</v>
      </c>
      <c r="R617" t="s">
        <v>622</v>
      </c>
    </row>
    <row r="618" spans="1:18">
      <c r="A618" t="s">
        <v>838</v>
      </c>
      <c r="B618" t="s">
        <v>840</v>
      </c>
      <c r="C618" t="s">
        <v>2865</v>
      </c>
      <c r="D618" t="s">
        <v>3552</v>
      </c>
      <c r="E618">
        <v>24</v>
      </c>
      <c r="F618" s="4" t="s">
        <v>3555</v>
      </c>
      <c r="G618" s="4">
        <v>0</v>
      </c>
      <c r="H618">
        <v>0</v>
      </c>
      <c r="I618" t="s">
        <v>623</v>
      </c>
      <c r="J618" s="6">
        <v>7.05</v>
      </c>
      <c r="K618" s="4" t="str">
        <f t="shared" si="9"/>
        <v>Low</v>
      </c>
      <c r="L618" t="s">
        <v>3561</v>
      </c>
      <c r="M618" s="4" t="s">
        <v>3561</v>
      </c>
      <c r="N618" t="s">
        <v>457</v>
      </c>
      <c r="O618" t="s">
        <v>3569</v>
      </c>
      <c r="P618" s="4" t="s">
        <v>3573</v>
      </c>
      <c r="Q618" t="s">
        <v>3573</v>
      </c>
    </row>
    <row r="619" spans="1:18">
      <c r="A619" t="s">
        <v>838</v>
      </c>
      <c r="B619" t="s">
        <v>840</v>
      </c>
      <c r="C619" t="s">
        <v>2866</v>
      </c>
      <c r="D619" t="s">
        <v>3552</v>
      </c>
      <c r="E619">
        <v>25</v>
      </c>
      <c r="F619" s="4" t="s">
        <v>3555</v>
      </c>
      <c r="G619" s="4">
        <v>0</v>
      </c>
      <c r="H619">
        <v>0</v>
      </c>
      <c r="I619" t="s">
        <v>624</v>
      </c>
      <c r="J619" s="6">
        <v>7.05</v>
      </c>
      <c r="K619" s="4" t="str">
        <f t="shared" si="9"/>
        <v>Low</v>
      </c>
      <c r="L619" t="s">
        <v>3561</v>
      </c>
      <c r="M619" s="4" t="s">
        <v>3561</v>
      </c>
      <c r="N619" t="s">
        <v>457</v>
      </c>
      <c r="O619" t="s">
        <v>3569</v>
      </c>
      <c r="P619" s="4">
        <v>79</v>
      </c>
      <c r="Q619" t="s">
        <v>3574</v>
      </c>
      <c r="R619" t="s">
        <v>625</v>
      </c>
    </row>
    <row r="620" spans="1:18">
      <c r="A620" t="s">
        <v>838</v>
      </c>
      <c r="B620" t="s">
        <v>840</v>
      </c>
      <c r="C620" t="s">
        <v>2867</v>
      </c>
      <c r="D620" t="s">
        <v>3552</v>
      </c>
      <c r="E620">
        <v>35</v>
      </c>
      <c r="F620" s="4" t="s">
        <v>3557</v>
      </c>
      <c r="G620" s="4">
        <v>0</v>
      </c>
      <c r="H620">
        <v>0</v>
      </c>
      <c r="I620">
        <v>373450</v>
      </c>
      <c r="J620" s="6">
        <v>8.0500000000000007</v>
      </c>
      <c r="K620" s="4" t="str">
        <f t="shared" si="9"/>
        <v>Low</v>
      </c>
      <c r="L620" t="s">
        <v>3561</v>
      </c>
      <c r="M620" s="4" t="s">
        <v>3561</v>
      </c>
      <c r="N620" t="s">
        <v>457</v>
      </c>
      <c r="O620" t="s">
        <v>3569</v>
      </c>
      <c r="P620" s="4" t="s">
        <v>3573</v>
      </c>
      <c r="Q620" t="s">
        <v>3573</v>
      </c>
      <c r="R620" t="s">
        <v>626</v>
      </c>
    </row>
    <row r="621" spans="1:18">
      <c r="A621" t="s">
        <v>838</v>
      </c>
      <c r="B621" t="s">
        <v>840</v>
      </c>
      <c r="C621" t="s">
        <v>2868</v>
      </c>
      <c r="D621" t="s">
        <v>3552</v>
      </c>
      <c r="E621">
        <v>18</v>
      </c>
      <c r="F621" s="4" t="s">
        <v>3555</v>
      </c>
      <c r="G621" s="4">
        <v>0</v>
      </c>
      <c r="H621">
        <v>0</v>
      </c>
      <c r="I621">
        <v>2223</v>
      </c>
      <c r="J621" s="6">
        <v>8.3000000000000007</v>
      </c>
      <c r="K621" s="4" t="str">
        <f t="shared" si="9"/>
        <v>Low</v>
      </c>
      <c r="L621" t="s">
        <v>3561</v>
      </c>
      <c r="M621" s="4" t="s">
        <v>3561</v>
      </c>
      <c r="N621" t="s">
        <v>457</v>
      </c>
      <c r="O621" t="s">
        <v>3569</v>
      </c>
      <c r="P621" s="4">
        <v>259</v>
      </c>
      <c r="Q621" t="s">
        <v>3574</v>
      </c>
      <c r="R621" t="s">
        <v>627</v>
      </c>
    </row>
    <row r="622" spans="1:18">
      <c r="A622" t="s">
        <v>838</v>
      </c>
      <c r="B622" t="s">
        <v>840</v>
      </c>
      <c r="C622" t="s">
        <v>2869</v>
      </c>
      <c r="D622" t="s">
        <v>3552</v>
      </c>
      <c r="E622">
        <v>32</v>
      </c>
      <c r="F622" s="4" t="s">
        <v>3557</v>
      </c>
      <c r="G622" s="4">
        <v>0</v>
      </c>
      <c r="H622">
        <v>0</v>
      </c>
      <c r="I622" t="s">
        <v>628</v>
      </c>
      <c r="J622" s="6">
        <v>22.524999999999999</v>
      </c>
      <c r="K622" s="4" t="str">
        <f t="shared" si="9"/>
        <v>Mid</v>
      </c>
      <c r="L622" t="s">
        <v>3561</v>
      </c>
      <c r="M622" s="4" t="s">
        <v>3561</v>
      </c>
      <c r="N622" t="s">
        <v>457</v>
      </c>
      <c r="O622" t="s">
        <v>3569</v>
      </c>
      <c r="P622" s="4">
        <v>260</v>
      </c>
      <c r="Q622" t="s">
        <v>3574</v>
      </c>
      <c r="R622" t="s">
        <v>629</v>
      </c>
    </row>
    <row r="623" spans="1:18">
      <c r="A623" t="s">
        <v>838</v>
      </c>
      <c r="B623" t="s">
        <v>9</v>
      </c>
      <c r="C623" t="s">
        <v>2870</v>
      </c>
      <c r="D623" t="s">
        <v>3551</v>
      </c>
      <c r="E623">
        <v>19</v>
      </c>
      <c r="F623" s="4" t="s">
        <v>3555</v>
      </c>
      <c r="G623" s="4">
        <v>0</v>
      </c>
      <c r="H623">
        <v>1</v>
      </c>
      <c r="I623">
        <v>350046</v>
      </c>
      <c r="J623" s="6">
        <v>7.8541999999999996</v>
      </c>
      <c r="K623" s="4" t="str">
        <f t="shared" si="9"/>
        <v>Low</v>
      </c>
      <c r="L623" t="s">
        <v>3561</v>
      </c>
      <c r="M623" s="4" t="s">
        <v>3561</v>
      </c>
      <c r="N623" t="s">
        <v>457</v>
      </c>
      <c r="O623">
        <v>16</v>
      </c>
      <c r="P623" s="4" t="s">
        <v>3573</v>
      </c>
      <c r="Q623" t="s">
        <v>3573</v>
      </c>
    </row>
    <row r="624" spans="1:18">
      <c r="A624" t="s">
        <v>838</v>
      </c>
      <c r="B624" t="s">
        <v>840</v>
      </c>
      <c r="C624" t="s">
        <v>2871</v>
      </c>
      <c r="D624" t="s">
        <v>3552</v>
      </c>
      <c r="E624">
        <v>4</v>
      </c>
      <c r="F624" s="4" t="s">
        <v>3556</v>
      </c>
      <c r="G624" s="4">
        <v>2</v>
      </c>
      <c r="H624">
        <v>4</v>
      </c>
      <c r="I624">
        <v>347082</v>
      </c>
      <c r="J624" s="6">
        <v>31.274999999999999</v>
      </c>
      <c r="K624" s="4" t="str">
        <f t="shared" si="9"/>
        <v>Mid</v>
      </c>
      <c r="L624" t="s">
        <v>3561</v>
      </c>
      <c r="M624" s="4" t="s">
        <v>3561</v>
      </c>
      <c r="N624" t="s">
        <v>457</v>
      </c>
      <c r="O624" t="s">
        <v>3569</v>
      </c>
      <c r="P624" s="4" t="s">
        <v>3573</v>
      </c>
      <c r="Q624" t="s">
        <v>3573</v>
      </c>
      <c r="R624" t="s">
        <v>630</v>
      </c>
    </row>
    <row r="625" spans="1:18">
      <c r="A625" t="s">
        <v>838</v>
      </c>
      <c r="B625" t="s">
        <v>840</v>
      </c>
      <c r="C625" t="s">
        <v>2872</v>
      </c>
      <c r="D625" t="s">
        <v>3551</v>
      </c>
      <c r="E625">
        <v>6</v>
      </c>
      <c r="F625" s="4" t="s">
        <v>3556</v>
      </c>
      <c r="G625" s="4">
        <v>2</v>
      </c>
      <c r="H625">
        <v>4</v>
      </c>
      <c r="I625">
        <v>347082</v>
      </c>
      <c r="J625" s="6">
        <v>31.274999999999999</v>
      </c>
      <c r="K625" s="4" t="str">
        <f t="shared" si="9"/>
        <v>Mid</v>
      </c>
      <c r="L625" t="s">
        <v>3561</v>
      </c>
      <c r="M625" s="4" t="s">
        <v>3561</v>
      </c>
      <c r="N625" t="s">
        <v>457</v>
      </c>
      <c r="O625" t="s">
        <v>3569</v>
      </c>
      <c r="P625" s="4" t="s">
        <v>3573</v>
      </c>
      <c r="Q625" t="s">
        <v>3573</v>
      </c>
      <c r="R625" t="s">
        <v>630</v>
      </c>
    </row>
    <row r="626" spans="1:18">
      <c r="A626" t="s">
        <v>838</v>
      </c>
      <c r="B626" t="s">
        <v>840</v>
      </c>
      <c r="C626" t="s">
        <v>2873</v>
      </c>
      <c r="D626" t="s">
        <v>3551</v>
      </c>
      <c r="E626">
        <v>2</v>
      </c>
      <c r="F626" s="4" t="s">
        <v>3556</v>
      </c>
      <c r="G626" s="4">
        <v>2</v>
      </c>
      <c r="H626">
        <v>4</v>
      </c>
      <c r="I626">
        <v>347082</v>
      </c>
      <c r="J626" s="6">
        <v>31.274999999999999</v>
      </c>
      <c r="K626" s="4" t="str">
        <f t="shared" si="9"/>
        <v>Mid</v>
      </c>
      <c r="L626" t="s">
        <v>3561</v>
      </c>
      <c r="M626" s="4" t="s">
        <v>3561</v>
      </c>
      <c r="N626" t="s">
        <v>457</v>
      </c>
      <c r="O626" t="s">
        <v>3569</v>
      </c>
      <c r="P626" s="4" t="s">
        <v>3573</v>
      </c>
      <c r="Q626" t="s">
        <v>3573</v>
      </c>
      <c r="R626" t="s">
        <v>630</v>
      </c>
    </row>
    <row r="627" spans="1:18">
      <c r="A627" t="s">
        <v>838</v>
      </c>
      <c r="B627" t="s">
        <v>9</v>
      </c>
      <c r="C627" t="s">
        <v>2874</v>
      </c>
      <c r="D627" t="s">
        <v>3551</v>
      </c>
      <c r="E627">
        <v>17</v>
      </c>
      <c r="F627" s="4" t="s">
        <v>3560</v>
      </c>
      <c r="G627" s="4">
        <v>2</v>
      </c>
      <c r="H627">
        <v>4</v>
      </c>
      <c r="I627">
        <v>3101281</v>
      </c>
      <c r="J627" s="6">
        <v>7.9249999999999998</v>
      </c>
      <c r="K627" s="4" t="str">
        <f t="shared" si="9"/>
        <v>Low</v>
      </c>
      <c r="L627" t="s">
        <v>3561</v>
      </c>
      <c r="M627" s="4" t="s">
        <v>3561</v>
      </c>
      <c r="N627" t="s">
        <v>457</v>
      </c>
      <c r="O627" t="s">
        <v>59</v>
      </c>
      <c r="P627" s="4" t="s">
        <v>3573</v>
      </c>
      <c r="Q627" t="s">
        <v>3573</v>
      </c>
      <c r="R627" t="s">
        <v>631</v>
      </c>
    </row>
    <row r="628" spans="1:18">
      <c r="A628" t="s">
        <v>838</v>
      </c>
      <c r="B628" t="s">
        <v>840</v>
      </c>
      <c r="C628" t="s">
        <v>2875</v>
      </c>
      <c r="D628" t="s">
        <v>3551</v>
      </c>
      <c r="E628">
        <v>38</v>
      </c>
      <c r="F628" s="4" t="s">
        <v>3557</v>
      </c>
      <c r="G628" s="4">
        <v>2</v>
      </c>
      <c r="H628">
        <v>4</v>
      </c>
      <c r="I628">
        <v>347091</v>
      </c>
      <c r="J628" s="6">
        <v>7.7750000000000004</v>
      </c>
      <c r="K628" s="4" t="str">
        <f t="shared" si="9"/>
        <v>Low</v>
      </c>
      <c r="L628" t="s">
        <v>3561</v>
      </c>
      <c r="M628" s="4" t="s">
        <v>3561</v>
      </c>
      <c r="N628" t="s">
        <v>457</v>
      </c>
      <c r="O628" t="s">
        <v>3569</v>
      </c>
      <c r="P628" s="4" t="s">
        <v>3573</v>
      </c>
      <c r="Q628" t="s">
        <v>3573</v>
      </c>
      <c r="R628" t="s">
        <v>632</v>
      </c>
    </row>
    <row r="629" spans="1:18">
      <c r="A629" t="s">
        <v>838</v>
      </c>
      <c r="B629" t="s">
        <v>840</v>
      </c>
      <c r="C629" t="s">
        <v>2876</v>
      </c>
      <c r="D629" t="s">
        <v>3551</v>
      </c>
      <c r="E629">
        <v>9</v>
      </c>
      <c r="F629" s="4" t="s">
        <v>3556</v>
      </c>
      <c r="G629" s="4">
        <v>2</v>
      </c>
      <c r="H629">
        <v>4</v>
      </c>
      <c r="I629">
        <v>347082</v>
      </c>
      <c r="J629" s="6">
        <v>31.274999999999999</v>
      </c>
      <c r="K629" s="4" t="str">
        <f t="shared" si="9"/>
        <v>Mid</v>
      </c>
      <c r="L629" t="s">
        <v>3561</v>
      </c>
      <c r="M629" s="4" t="s">
        <v>3561</v>
      </c>
      <c r="N629" t="s">
        <v>457</v>
      </c>
      <c r="O629" t="s">
        <v>3569</v>
      </c>
      <c r="P629" s="4" t="s">
        <v>3573</v>
      </c>
      <c r="Q629" t="s">
        <v>3573</v>
      </c>
      <c r="R629" t="s">
        <v>630</v>
      </c>
    </row>
    <row r="630" spans="1:18">
      <c r="A630" t="s">
        <v>838</v>
      </c>
      <c r="B630" t="s">
        <v>840</v>
      </c>
      <c r="C630" t="s">
        <v>2877</v>
      </c>
      <c r="D630" t="s">
        <v>3551</v>
      </c>
      <c r="E630">
        <v>11</v>
      </c>
      <c r="F630" s="4" t="s">
        <v>3560</v>
      </c>
      <c r="G630" s="4">
        <v>2</v>
      </c>
      <c r="H630">
        <v>4</v>
      </c>
      <c r="I630">
        <v>347082</v>
      </c>
      <c r="J630" s="6">
        <v>31.274999999999999</v>
      </c>
      <c r="K630" s="4" t="str">
        <f t="shared" si="9"/>
        <v>Mid</v>
      </c>
      <c r="L630" t="s">
        <v>3561</v>
      </c>
      <c r="M630" s="4" t="s">
        <v>3561</v>
      </c>
      <c r="N630" t="s">
        <v>457</v>
      </c>
      <c r="O630" t="s">
        <v>3569</v>
      </c>
      <c r="P630" s="4" t="s">
        <v>3573</v>
      </c>
      <c r="Q630" t="s">
        <v>3573</v>
      </c>
      <c r="R630" t="s">
        <v>630</v>
      </c>
    </row>
    <row r="631" spans="1:18">
      <c r="A631" t="s">
        <v>838</v>
      </c>
      <c r="B631" t="s">
        <v>840</v>
      </c>
      <c r="C631" t="s">
        <v>2878</v>
      </c>
      <c r="D631" t="s">
        <v>3552</v>
      </c>
      <c r="E631">
        <v>39</v>
      </c>
      <c r="F631" s="4" t="s">
        <v>3557</v>
      </c>
      <c r="G631" s="4">
        <v>5</v>
      </c>
      <c r="H631">
        <v>1</v>
      </c>
      <c r="I631">
        <v>347082</v>
      </c>
      <c r="J631" s="6">
        <v>31.274999999999999</v>
      </c>
      <c r="K631" s="4" t="str">
        <f t="shared" si="9"/>
        <v>Mid</v>
      </c>
      <c r="L631" t="s">
        <v>3561</v>
      </c>
      <c r="M631" s="4" t="s">
        <v>3561</v>
      </c>
      <c r="N631" t="s">
        <v>457</v>
      </c>
      <c r="O631" t="s">
        <v>3569</v>
      </c>
      <c r="P631" s="4" t="s">
        <v>3573</v>
      </c>
      <c r="Q631" t="s">
        <v>3573</v>
      </c>
      <c r="R631" t="s">
        <v>630</v>
      </c>
    </row>
    <row r="632" spans="1:18">
      <c r="A632" t="s">
        <v>838</v>
      </c>
      <c r="B632" t="s">
        <v>9</v>
      </c>
      <c r="C632" t="s">
        <v>2879</v>
      </c>
      <c r="D632" t="s">
        <v>3552</v>
      </c>
      <c r="E632">
        <v>27</v>
      </c>
      <c r="F632" s="4" t="s">
        <v>3555</v>
      </c>
      <c r="G632" s="4">
        <v>0</v>
      </c>
      <c r="H632">
        <v>0</v>
      </c>
      <c r="I632">
        <v>350043</v>
      </c>
      <c r="J632" s="6">
        <v>7.7957999999999998</v>
      </c>
      <c r="K632" s="4" t="str">
        <f t="shared" si="9"/>
        <v>Low</v>
      </c>
      <c r="L632" t="s">
        <v>3561</v>
      </c>
      <c r="M632" s="4" t="s">
        <v>3561</v>
      </c>
      <c r="N632" t="s">
        <v>457</v>
      </c>
      <c r="O632" t="s">
        <v>78</v>
      </c>
      <c r="P632" s="4" t="s">
        <v>3573</v>
      </c>
      <c r="Q632" t="s">
        <v>3573</v>
      </c>
    </row>
    <row r="633" spans="1:18">
      <c r="A633" t="s">
        <v>838</v>
      </c>
      <c r="B633" t="s">
        <v>840</v>
      </c>
      <c r="C633" t="s">
        <v>2880</v>
      </c>
      <c r="D633" t="s">
        <v>3552</v>
      </c>
      <c r="E633">
        <v>26</v>
      </c>
      <c r="F633" s="4" t="s">
        <v>3555</v>
      </c>
      <c r="G633" s="4">
        <v>0</v>
      </c>
      <c r="H633">
        <v>0</v>
      </c>
      <c r="I633">
        <v>347075</v>
      </c>
      <c r="J633" s="6">
        <v>7.7750000000000004</v>
      </c>
      <c r="K633" s="4" t="str">
        <f t="shared" si="9"/>
        <v>Low</v>
      </c>
      <c r="L633" t="s">
        <v>3561</v>
      </c>
      <c r="M633" s="4" t="s">
        <v>3561</v>
      </c>
      <c r="N633" t="s">
        <v>457</v>
      </c>
      <c r="O633" t="s">
        <v>3569</v>
      </c>
      <c r="P633" s="4" t="s">
        <v>3573</v>
      </c>
      <c r="Q633" t="s">
        <v>3573</v>
      </c>
      <c r="R633" t="s">
        <v>633</v>
      </c>
    </row>
    <row r="634" spans="1:18">
      <c r="A634" t="s">
        <v>838</v>
      </c>
      <c r="B634" t="s">
        <v>840</v>
      </c>
      <c r="C634" t="s">
        <v>2881</v>
      </c>
      <c r="D634" t="s">
        <v>3551</v>
      </c>
      <c r="E634">
        <v>39</v>
      </c>
      <c r="F634" s="4" t="s">
        <v>3557</v>
      </c>
      <c r="G634" s="4">
        <v>5</v>
      </c>
      <c r="H634">
        <v>1</v>
      </c>
      <c r="I634">
        <v>347082</v>
      </c>
      <c r="J634" s="6">
        <v>31.274999999999999</v>
      </c>
      <c r="K634" s="4" t="str">
        <f t="shared" si="9"/>
        <v>Mid</v>
      </c>
      <c r="L634" t="s">
        <v>3561</v>
      </c>
      <c r="M634" s="4" t="s">
        <v>3561</v>
      </c>
      <c r="N634" t="s">
        <v>457</v>
      </c>
      <c r="O634" t="s">
        <v>3569</v>
      </c>
      <c r="P634" s="4" t="s">
        <v>3573</v>
      </c>
      <c r="Q634" t="s">
        <v>3573</v>
      </c>
      <c r="R634" t="s">
        <v>630</v>
      </c>
    </row>
    <row r="635" spans="1:18">
      <c r="A635" t="s">
        <v>838</v>
      </c>
      <c r="B635" t="s">
        <v>840</v>
      </c>
      <c r="C635" t="s">
        <v>2882</v>
      </c>
      <c r="D635" t="s">
        <v>3552</v>
      </c>
      <c r="E635">
        <v>20</v>
      </c>
      <c r="F635" s="4" t="s">
        <v>3555</v>
      </c>
      <c r="G635" s="4">
        <v>0</v>
      </c>
      <c r="H635">
        <v>0</v>
      </c>
      <c r="I635">
        <v>347466</v>
      </c>
      <c r="J635" s="6">
        <v>7.8541999999999996</v>
      </c>
      <c r="K635" s="4" t="str">
        <f t="shared" si="9"/>
        <v>Low</v>
      </c>
      <c r="L635" t="s">
        <v>3561</v>
      </c>
      <c r="M635" s="4" t="s">
        <v>3561</v>
      </c>
      <c r="N635" t="s">
        <v>457</v>
      </c>
      <c r="O635" t="s">
        <v>3569</v>
      </c>
      <c r="P635" s="4" t="s">
        <v>3573</v>
      </c>
      <c r="Q635" t="s">
        <v>3573</v>
      </c>
      <c r="R635" t="s">
        <v>634</v>
      </c>
    </row>
    <row r="636" spans="1:18">
      <c r="A636" t="s">
        <v>838</v>
      </c>
      <c r="B636" t="s">
        <v>840</v>
      </c>
      <c r="C636" t="s">
        <v>2883</v>
      </c>
      <c r="D636" t="s">
        <v>3552</v>
      </c>
      <c r="E636">
        <v>26</v>
      </c>
      <c r="F636" s="4" t="s">
        <v>3555</v>
      </c>
      <c r="G636" s="4">
        <v>0</v>
      </c>
      <c r="H636">
        <v>0</v>
      </c>
      <c r="I636">
        <v>349202</v>
      </c>
      <c r="J636" s="6">
        <v>7.8958000000000004</v>
      </c>
      <c r="K636" s="4" t="str">
        <f t="shared" si="9"/>
        <v>Low</v>
      </c>
      <c r="L636" t="s">
        <v>3561</v>
      </c>
      <c r="M636" s="4" t="s">
        <v>3561</v>
      </c>
      <c r="N636" t="s">
        <v>457</v>
      </c>
      <c r="O636" t="s">
        <v>3569</v>
      </c>
      <c r="P636" s="4" t="s">
        <v>3573</v>
      </c>
      <c r="Q636" t="s">
        <v>3573</v>
      </c>
      <c r="R636" t="s">
        <v>635</v>
      </c>
    </row>
    <row r="637" spans="1:18">
      <c r="A637" t="s">
        <v>838</v>
      </c>
      <c r="B637" t="s">
        <v>840</v>
      </c>
      <c r="C637" t="s">
        <v>2884</v>
      </c>
      <c r="D637" t="s">
        <v>3552</v>
      </c>
      <c r="E637">
        <v>25</v>
      </c>
      <c r="F637" s="4" t="s">
        <v>3555</v>
      </c>
      <c r="G637" s="4">
        <v>0</v>
      </c>
      <c r="H637">
        <v>1</v>
      </c>
      <c r="I637">
        <v>349237</v>
      </c>
      <c r="J637" s="6">
        <v>17.8</v>
      </c>
      <c r="K637" s="4" t="str">
        <f t="shared" si="9"/>
        <v>Mid</v>
      </c>
      <c r="L637" t="s">
        <v>3561</v>
      </c>
      <c r="M637" s="4" t="s">
        <v>3561</v>
      </c>
      <c r="N637" t="s">
        <v>457</v>
      </c>
      <c r="O637" t="s">
        <v>3569</v>
      </c>
      <c r="P637" s="4" t="s">
        <v>3573</v>
      </c>
      <c r="Q637" t="s">
        <v>3573</v>
      </c>
      <c r="R637" t="s">
        <v>636</v>
      </c>
    </row>
    <row r="638" spans="1:18">
      <c r="A638" t="s">
        <v>838</v>
      </c>
      <c r="B638" t="s">
        <v>840</v>
      </c>
      <c r="C638" t="s">
        <v>2885</v>
      </c>
      <c r="D638" t="s">
        <v>3551</v>
      </c>
      <c r="E638">
        <v>18</v>
      </c>
      <c r="F638" s="4" t="s">
        <v>3555</v>
      </c>
      <c r="G638" s="4">
        <v>0</v>
      </c>
      <c r="H638">
        <v>1</v>
      </c>
      <c r="I638">
        <v>349237</v>
      </c>
      <c r="J638" s="6">
        <v>17.8</v>
      </c>
      <c r="K638" s="4" t="str">
        <f t="shared" si="9"/>
        <v>Mid</v>
      </c>
      <c r="L638" t="s">
        <v>3561</v>
      </c>
      <c r="M638" s="4" t="s">
        <v>3561</v>
      </c>
      <c r="N638" t="s">
        <v>457</v>
      </c>
      <c r="O638" t="s">
        <v>3569</v>
      </c>
      <c r="P638" s="4" t="s">
        <v>3573</v>
      </c>
      <c r="Q638" t="s">
        <v>3573</v>
      </c>
      <c r="R638" t="s">
        <v>636</v>
      </c>
    </row>
    <row r="639" spans="1:18">
      <c r="A639" t="s">
        <v>838</v>
      </c>
      <c r="B639" t="s">
        <v>840</v>
      </c>
      <c r="C639" t="s">
        <v>2886</v>
      </c>
      <c r="D639" t="s">
        <v>3552</v>
      </c>
      <c r="E639">
        <v>24</v>
      </c>
      <c r="F639" s="4" t="s">
        <v>3555</v>
      </c>
      <c r="G639" s="4">
        <v>0</v>
      </c>
      <c r="H639">
        <v>0</v>
      </c>
      <c r="I639">
        <v>349911</v>
      </c>
      <c r="J639" s="6">
        <v>7.7750000000000004</v>
      </c>
      <c r="K639" s="4" t="str">
        <f t="shared" si="9"/>
        <v>Low</v>
      </c>
      <c r="L639" t="s">
        <v>3561</v>
      </c>
      <c r="M639" s="4" t="s">
        <v>3561</v>
      </c>
      <c r="N639" t="s">
        <v>457</v>
      </c>
      <c r="O639" t="s">
        <v>3569</v>
      </c>
      <c r="P639" s="4" t="s">
        <v>3573</v>
      </c>
      <c r="Q639" t="s">
        <v>3573</v>
      </c>
      <c r="R639" t="s">
        <v>637</v>
      </c>
    </row>
    <row r="640" spans="1:18">
      <c r="A640" t="s">
        <v>838</v>
      </c>
      <c r="B640" t="s">
        <v>840</v>
      </c>
      <c r="C640" t="s">
        <v>2887</v>
      </c>
      <c r="D640" t="s">
        <v>3552</v>
      </c>
      <c r="E640">
        <v>35</v>
      </c>
      <c r="F640" s="4" t="s">
        <v>3557</v>
      </c>
      <c r="G640" s="4">
        <v>0</v>
      </c>
      <c r="H640">
        <v>0</v>
      </c>
      <c r="I640" t="s">
        <v>638</v>
      </c>
      <c r="J640" s="6">
        <v>7.05</v>
      </c>
      <c r="K640" s="4" t="str">
        <f t="shared" si="9"/>
        <v>Low</v>
      </c>
      <c r="L640" t="s">
        <v>3561</v>
      </c>
      <c r="M640" s="4" t="s">
        <v>3561</v>
      </c>
      <c r="N640" t="s">
        <v>457</v>
      </c>
      <c r="O640" t="s">
        <v>3569</v>
      </c>
      <c r="P640" s="4" t="s">
        <v>3573</v>
      </c>
      <c r="Q640" t="s">
        <v>3573</v>
      </c>
    </row>
    <row r="641" spans="1:18">
      <c r="A641" t="s">
        <v>838</v>
      </c>
      <c r="B641" t="s">
        <v>840</v>
      </c>
      <c r="C641" t="s">
        <v>2888</v>
      </c>
      <c r="D641" t="s">
        <v>3552</v>
      </c>
      <c r="E641">
        <v>5</v>
      </c>
      <c r="F641" s="4" t="s">
        <v>3556</v>
      </c>
      <c r="G641" s="4">
        <v>2</v>
      </c>
      <c r="H641">
        <v>4</v>
      </c>
      <c r="I641">
        <v>347077</v>
      </c>
      <c r="J641" s="6">
        <v>31.387499999999999</v>
      </c>
      <c r="K641" s="4" t="str">
        <f t="shared" si="9"/>
        <v>Mid</v>
      </c>
      <c r="L641" t="s">
        <v>3561</v>
      </c>
      <c r="M641" s="4" t="s">
        <v>3561</v>
      </c>
      <c r="N641" t="s">
        <v>457</v>
      </c>
      <c r="O641" t="s">
        <v>3569</v>
      </c>
      <c r="P641" s="4" t="s">
        <v>3573</v>
      </c>
      <c r="Q641" t="s">
        <v>3573</v>
      </c>
      <c r="R641" t="s">
        <v>639</v>
      </c>
    </row>
    <row r="642" spans="1:18">
      <c r="A642" t="s">
        <v>838</v>
      </c>
      <c r="B642" t="s">
        <v>840</v>
      </c>
      <c r="C642" t="s">
        <v>2889</v>
      </c>
      <c r="D642" t="s">
        <v>3552</v>
      </c>
      <c r="E642">
        <v>9</v>
      </c>
      <c r="F642" s="4" t="s">
        <v>3556</v>
      </c>
      <c r="G642" s="4">
        <v>2</v>
      </c>
      <c r="H642">
        <v>4</v>
      </c>
      <c r="I642">
        <v>347077</v>
      </c>
      <c r="J642" s="6">
        <v>31.387499999999999</v>
      </c>
      <c r="K642" s="4" t="str">
        <f t="shared" si="9"/>
        <v>Mid</v>
      </c>
      <c r="L642" t="s">
        <v>3561</v>
      </c>
      <c r="M642" s="4" t="s">
        <v>3561</v>
      </c>
      <c r="N642" t="s">
        <v>457</v>
      </c>
      <c r="O642" t="s">
        <v>3569</v>
      </c>
      <c r="P642" s="4" t="s">
        <v>3573</v>
      </c>
      <c r="Q642" t="s">
        <v>3573</v>
      </c>
      <c r="R642" t="s">
        <v>640</v>
      </c>
    </row>
    <row r="643" spans="1:18">
      <c r="A643" t="s">
        <v>838</v>
      </c>
      <c r="B643" t="s">
        <v>9</v>
      </c>
      <c r="C643" t="s">
        <v>2890</v>
      </c>
      <c r="D643" t="s">
        <v>3552</v>
      </c>
      <c r="E643">
        <v>3</v>
      </c>
      <c r="F643" s="4" t="s">
        <v>3556</v>
      </c>
      <c r="G643" s="4">
        <v>2</v>
      </c>
      <c r="H643">
        <v>4</v>
      </c>
      <c r="I643">
        <v>347077</v>
      </c>
      <c r="J643" s="6">
        <v>31.387499999999999</v>
      </c>
      <c r="K643" s="4" t="str">
        <f t="shared" ref="K643:K706" si="10">IF(J643&lt;=10,"Low",IF(J643&lt;=50,"Mid","High"))</f>
        <v>Mid</v>
      </c>
      <c r="L643" t="s">
        <v>3561</v>
      </c>
      <c r="M643" s="4" t="s">
        <v>3561</v>
      </c>
      <c r="N643" t="s">
        <v>457</v>
      </c>
      <c r="O643">
        <v>15</v>
      </c>
      <c r="P643" s="4" t="s">
        <v>3573</v>
      </c>
      <c r="Q643" t="s">
        <v>3573</v>
      </c>
      <c r="R643" t="s">
        <v>640</v>
      </c>
    </row>
    <row r="644" spans="1:18">
      <c r="A644" t="s">
        <v>838</v>
      </c>
      <c r="B644" t="s">
        <v>840</v>
      </c>
      <c r="C644" t="s">
        <v>2891</v>
      </c>
      <c r="D644" t="s">
        <v>3552</v>
      </c>
      <c r="E644">
        <v>13</v>
      </c>
      <c r="F644" s="4" t="s">
        <v>3560</v>
      </c>
      <c r="G644" s="4">
        <v>2</v>
      </c>
      <c r="H644">
        <v>4</v>
      </c>
      <c r="I644">
        <v>347077</v>
      </c>
      <c r="J644" s="6">
        <v>31.387499999999999</v>
      </c>
      <c r="K644" s="4" t="str">
        <f t="shared" si="10"/>
        <v>Mid</v>
      </c>
      <c r="L644" t="s">
        <v>3561</v>
      </c>
      <c r="M644" s="4" t="s">
        <v>3561</v>
      </c>
      <c r="N644" t="s">
        <v>457</v>
      </c>
      <c r="O644" t="s">
        <v>3569</v>
      </c>
      <c r="P644" s="4" t="s">
        <v>3573</v>
      </c>
      <c r="Q644" t="s">
        <v>3573</v>
      </c>
      <c r="R644" t="s">
        <v>640</v>
      </c>
    </row>
    <row r="645" spans="1:18">
      <c r="A645" t="s">
        <v>838</v>
      </c>
      <c r="B645" t="s">
        <v>9</v>
      </c>
      <c r="C645" t="s">
        <v>2892</v>
      </c>
      <c r="D645" t="s">
        <v>3551</v>
      </c>
      <c r="E645">
        <v>5</v>
      </c>
      <c r="F645" s="4" t="s">
        <v>3556</v>
      </c>
      <c r="G645" s="4">
        <v>2</v>
      </c>
      <c r="H645">
        <v>4</v>
      </c>
      <c r="I645">
        <v>347077</v>
      </c>
      <c r="J645" s="6">
        <v>31.387499999999999</v>
      </c>
      <c r="K645" s="4" t="str">
        <f t="shared" si="10"/>
        <v>Mid</v>
      </c>
      <c r="L645" t="s">
        <v>3561</v>
      </c>
      <c r="M645" s="4" t="s">
        <v>3561</v>
      </c>
      <c r="N645" t="s">
        <v>457</v>
      </c>
      <c r="O645">
        <v>15</v>
      </c>
      <c r="P645" s="4" t="s">
        <v>3573</v>
      </c>
      <c r="Q645" t="s">
        <v>3573</v>
      </c>
      <c r="R645" t="s">
        <v>640</v>
      </c>
    </row>
    <row r="646" spans="1:18">
      <c r="A646" t="s">
        <v>838</v>
      </c>
      <c r="B646" t="s">
        <v>840</v>
      </c>
      <c r="C646" t="s">
        <v>2893</v>
      </c>
      <c r="D646" t="s">
        <v>3552</v>
      </c>
      <c r="E646">
        <v>40</v>
      </c>
      <c r="F646" s="4" t="s">
        <v>3557</v>
      </c>
      <c r="G646" s="4">
        <v>5</v>
      </c>
      <c r="H646">
        <v>1</v>
      </c>
      <c r="I646">
        <v>347077</v>
      </c>
      <c r="J646" s="6">
        <v>31.387499999999999</v>
      </c>
      <c r="K646" s="4" t="str">
        <f t="shared" si="10"/>
        <v>Mid</v>
      </c>
      <c r="L646" t="s">
        <v>3561</v>
      </c>
      <c r="M646" s="4" t="s">
        <v>3561</v>
      </c>
      <c r="N646" t="s">
        <v>457</v>
      </c>
      <c r="O646" t="s">
        <v>3569</v>
      </c>
      <c r="P646" s="4">
        <v>142</v>
      </c>
      <c r="Q646" t="s">
        <v>3574</v>
      </c>
      <c r="R646" t="s">
        <v>639</v>
      </c>
    </row>
    <row r="647" spans="1:18">
      <c r="A647" t="s">
        <v>838</v>
      </c>
      <c r="B647" t="s">
        <v>9</v>
      </c>
      <c r="C647" t="s">
        <v>2894</v>
      </c>
      <c r="D647" t="s">
        <v>3552</v>
      </c>
      <c r="E647">
        <v>23</v>
      </c>
      <c r="F647" s="4" t="s">
        <v>3555</v>
      </c>
      <c r="G647" s="4">
        <v>0</v>
      </c>
      <c r="H647">
        <v>0</v>
      </c>
      <c r="I647">
        <v>350054</v>
      </c>
      <c r="J647" s="6">
        <v>7.7957999999999998</v>
      </c>
      <c r="K647" s="4" t="str">
        <f t="shared" si="10"/>
        <v>Low</v>
      </c>
      <c r="L647" t="s">
        <v>3561</v>
      </c>
      <c r="M647" s="4" t="s">
        <v>3561</v>
      </c>
      <c r="N647" t="s">
        <v>457</v>
      </c>
      <c r="O647">
        <v>13</v>
      </c>
      <c r="P647" s="4" t="s">
        <v>3573</v>
      </c>
      <c r="Q647" t="s">
        <v>3573</v>
      </c>
      <c r="R647" t="s">
        <v>641</v>
      </c>
    </row>
    <row r="648" spans="1:18">
      <c r="A648" t="s">
        <v>838</v>
      </c>
      <c r="B648" t="s">
        <v>9</v>
      </c>
      <c r="C648" t="s">
        <v>2895</v>
      </c>
      <c r="D648" t="s">
        <v>3551</v>
      </c>
      <c r="E648">
        <v>38</v>
      </c>
      <c r="F648" s="4" t="s">
        <v>3557</v>
      </c>
      <c r="G648" s="4">
        <v>5</v>
      </c>
      <c r="H648">
        <v>1</v>
      </c>
      <c r="I648">
        <v>347077</v>
      </c>
      <c r="J648" s="6">
        <v>31.387499999999999</v>
      </c>
      <c r="K648" s="4" t="str">
        <f t="shared" si="10"/>
        <v>Mid</v>
      </c>
      <c r="L648" t="s">
        <v>3561</v>
      </c>
      <c r="M648" s="4" t="s">
        <v>3561</v>
      </c>
      <c r="N648" t="s">
        <v>457</v>
      </c>
      <c r="O648">
        <v>15</v>
      </c>
      <c r="P648" s="4" t="s">
        <v>3573</v>
      </c>
      <c r="Q648" t="s">
        <v>3573</v>
      </c>
      <c r="R648" t="s">
        <v>639</v>
      </c>
    </row>
    <row r="649" spans="1:18">
      <c r="A649" t="s">
        <v>838</v>
      </c>
      <c r="B649" t="s">
        <v>9</v>
      </c>
      <c r="C649" t="s">
        <v>2896</v>
      </c>
      <c r="D649" t="s">
        <v>3551</v>
      </c>
      <c r="E649">
        <v>45</v>
      </c>
      <c r="F649" s="4" t="s">
        <v>3557</v>
      </c>
      <c r="G649" s="4">
        <v>0</v>
      </c>
      <c r="H649">
        <v>0</v>
      </c>
      <c r="I649">
        <v>2696</v>
      </c>
      <c r="J649" s="6">
        <v>7.2249999999999996</v>
      </c>
      <c r="K649" s="4" t="str">
        <f t="shared" si="10"/>
        <v>Low</v>
      </c>
      <c r="L649" t="s">
        <v>3561</v>
      </c>
      <c r="M649" s="4" t="s">
        <v>3561</v>
      </c>
      <c r="N649" t="s">
        <v>3566</v>
      </c>
      <c r="O649" t="s">
        <v>62</v>
      </c>
      <c r="P649" s="4" t="s">
        <v>3573</v>
      </c>
      <c r="Q649" t="s">
        <v>3573</v>
      </c>
      <c r="R649" t="s">
        <v>642</v>
      </c>
    </row>
    <row r="650" spans="1:18">
      <c r="A650" t="s">
        <v>838</v>
      </c>
      <c r="B650" t="s">
        <v>840</v>
      </c>
      <c r="C650" t="s">
        <v>2897</v>
      </c>
      <c r="D650" t="s">
        <v>3552</v>
      </c>
      <c r="E650">
        <v>21</v>
      </c>
      <c r="F650" s="4" t="s">
        <v>3555</v>
      </c>
      <c r="G650" s="4">
        <v>0</v>
      </c>
      <c r="H650">
        <v>0</v>
      </c>
      <c r="I650">
        <v>2692</v>
      </c>
      <c r="J650" s="6">
        <v>7.2249999999999996</v>
      </c>
      <c r="K650" s="4" t="str">
        <f t="shared" si="10"/>
        <v>Low</v>
      </c>
      <c r="L650" t="s">
        <v>3561</v>
      </c>
      <c r="M650" s="4" t="s">
        <v>3561</v>
      </c>
      <c r="N650" t="s">
        <v>3566</v>
      </c>
      <c r="O650" t="s">
        <v>3569</v>
      </c>
      <c r="P650" s="4" t="s">
        <v>3573</v>
      </c>
      <c r="Q650" t="s">
        <v>3573</v>
      </c>
      <c r="R650" t="s">
        <v>642</v>
      </c>
    </row>
    <row r="651" spans="1:18">
      <c r="A651" t="s">
        <v>838</v>
      </c>
      <c r="B651" t="s">
        <v>840</v>
      </c>
      <c r="C651" t="s">
        <v>2898</v>
      </c>
      <c r="D651" t="s">
        <v>3552</v>
      </c>
      <c r="E651">
        <v>23</v>
      </c>
      <c r="F651" s="4" t="s">
        <v>3555</v>
      </c>
      <c r="G651" s="4">
        <v>0</v>
      </c>
      <c r="H651">
        <v>0</v>
      </c>
      <c r="I651" t="s">
        <v>643</v>
      </c>
      <c r="J651" s="6">
        <v>7.05</v>
      </c>
      <c r="K651" s="4" t="str">
        <f t="shared" si="10"/>
        <v>Low</v>
      </c>
      <c r="L651" t="s">
        <v>3561</v>
      </c>
      <c r="M651" s="4" t="s">
        <v>3561</v>
      </c>
      <c r="N651" t="s">
        <v>457</v>
      </c>
      <c r="O651" t="s">
        <v>3569</v>
      </c>
      <c r="P651" s="4" t="s">
        <v>3573</v>
      </c>
      <c r="Q651" t="s">
        <v>3573</v>
      </c>
    </row>
    <row r="652" spans="1:18">
      <c r="A652" t="s">
        <v>838</v>
      </c>
      <c r="B652" t="s">
        <v>840</v>
      </c>
      <c r="C652" t="s">
        <v>2899</v>
      </c>
      <c r="D652" t="s">
        <v>3551</v>
      </c>
      <c r="E652">
        <v>17</v>
      </c>
      <c r="F652" s="4" t="s">
        <v>3560</v>
      </c>
      <c r="G652" s="4">
        <v>0</v>
      </c>
      <c r="H652">
        <v>0</v>
      </c>
      <c r="I652">
        <v>2627</v>
      </c>
      <c r="J652" s="6">
        <v>14.458299999999999</v>
      </c>
      <c r="K652" s="4" t="str">
        <f t="shared" si="10"/>
        <v>Mid</v>
      </c>
      <c r="L652" t="s">
        <v>3561</v>
      </c>
      <c r="M652" s="4" t="s">
        <v>3561</v>
      </c>
      <c r="N652" t="s">
        <v>3566</v>
      </c>
      <c r="O652" t="s">
        <v>3569</v>
      </c>
      <c r="P652" s="4" t="s">
        <v>3573</v>
      </c>
      <c r="Q652" t="s">
        <v>3573</v>
      </c>
    </row>
    <row r="653" spans="1:18">
      <c r="A653" t="s">
        <v>838</v>
      </c>
      <c r="B653" t="s">
        <v>840</v>
      </c>
      <c r="C653" t="s">
        <v>2900</v>
      </c>
      <c r="D653" t="s">
        <v>3552</v>
      </c>
      <c r="E653">
        <v>30</v>
      </c>
      <c r="F653" s="4" t="s">
        <v>3557</v>
      </c>
      <c r="G653" s="4">
        <v>0</v>
      </c>
      <c r="H653">
        <v>0</v>
      </c>
      <c r="I653">
        <v>2694</v>
      </c>
      <c r="J653" s="6">
        <v>7.2249999999999996</v>
      </c>
      <c r="K653" s="4" t="str">
        <f t="shared" si="10"/>
        <v>Low</v>
      </c>
      <c r="L653" t="s">
        <v>3561</v>
      </c>
      <c r="M653" s="4" t="s">
        <v>3561</v>
      </c>
      <c r="N653" t="s">
        <v>3566</v>
      </c>
      <c r="O653" t="s">
        <v>3569</v>
      </c>
      <c r="P653" s="4" t="s">
        <v>3573</v>
      </c>
      <c r="Q653" t="s">
        <v>3573</v>
      </c>
      <c r="R653" t="s">
        <v>642</v>
      </c>
    </row>
    <row r="654" spans="1:18">
      <c r="A654" t="s">
        <v>838</v>
      </c>
      <c r="B654" t="s">
        <v>840</v>
      </c>
      <c r="C654" t="s">
        <v>2901</v>
      </c>
      <c r="D654" t="s">
        <v>3552</v>
      </c>
      <c r="E654">
        <v>23</v>
      </c>
      <c r="F654" s="4" t="s">
        <v>3555</v>
      </c>
      <c r="G654" s="4">
        <v>0</v>
      </c>
      <c r="H654">
        <v>0</v>
      </c>
      <c r="I654">
        <v>347468</v>
      </c>
      <c r="J654" s="6">
        <v>7.8541999999999996</v>
      </c>
      <c r="K654" s="4" t="str">
        <f t="shared" si="10"/>
        <v>Low</v>
      </c>
      <c r="L654" t="s">
        <v>3561</v>
      </c>
      <c r="M654" s="4" t="s">
        <v>3561</v>
      </c>
      <c r="N654" t="s">
        <v>457</v>
      </c>
      <c r="O654" t="s">
        <v>3569</v>
      </c>
      <c r="P654" s="4" t="s">
        <v>3573</v>
      </c>
      <c r="Q654" t="s">
        <v>3573</v>
      </c>
      <c r="R654" t="s">
        <v>644</v>
      </c>
    </row>
    <row r="655" spans="1:18">
      <c r="A655" t="s">
        <v>838</v>
      </c>
      <c r="B655" t="s">
        <v>9</v>
      </c>
      <c r="C655" t="s">
        <v>2902</v>
      </c>
      <c r="D655" t="s">
        <v>3551</v>
      </c>
      <c r="E655">
        <v>13</v>
      </c>
      <c r="F655" s="4" t="s">
        <v>3560</v>
      </c>
      <c r="G655" s="4">
        <v>0</v>
      </c>
      <c r="H655">
        <v>0</v>
      </c>
      <c r="I655">
        <v>2687</v>
      </c>
      <c r="J655" s="6">
        <v>7.2291999999999996</v>
      </c>
      <c r="K655" s="4" t="str">
        <f t="shared" si="10"/>
        <v>Low</v>
      </c>
      <c r="L655" t="s">
        <v>3561</v>
      </c>
      <c r="M655" s="4" t="s">
        <v>3561</v>
      </c>
      <c r="N655" t="s">
        <v>3566</v>
      </c>
      <c r="O655" t="s">
        <v>62</v>
      </c>
      <c r="P655" s="4" t="s">
        <v>3573</v>
      </c>
      <c r="Q655" t="s">
        <v>3573</v>
      </c>
      <c r="R655" t="s">
        <v>645</v>
      </c>
    </row>
    <row r="656" spans="1:18">
      <c r="A656" t="s">
        <v>838</v>
      </c>
      <c r="B656" t="s">
        <v>840</v>
      </c>
      <c r="C656" t="s">
        <v>2903</v>
      </c>
      <c r="D656" t="s">
        <v>3552</v>
      </c>
      <c r="E656">
        <v>20</v>
      </c>
      <c r="F656" s="4" t="s">
        <v>3555</v>
      </c>
      <c r="G656" s="4">
        <v>0</v>
      </c>
      <c r="H656">
        <v>0</v>
      </c>
      <c r="I656">
        <v>2679</v>
      </c>
      <c r="J656" s="6">
        <v>7.2249999999999996</v>
      </c>
      <c r="K656" s="4" t="str">
        <f t="shared" si="10"/>
        <v>Low</v>
      </c>
      <c r="L656" t="s">
        <v>3561</v>
      </c>
      <c r="M656" s="4" t="s">
        <v>3561</v>
      </c>
      <c r="N656" t="s">
        <v>3566</v>
      </c>
      <c r="O656" t="s">
        <v>3569</v>
      </c>
      <c r="P656" s="4" t="s">
        <v>3573</v>
      </c>
      <c r="Q656" t="s">
        <v>3573</v>
      </c>
    </row>
    <row r="657" spans="1:18">
      <c r="A657" t="s">
        <v>838</v>
      </c>
      <c r="B657" t="s">
        <v>840</v>
      </c>
      <c r="C657" t="s">
        <v>2904</v>
      </c>
      <c r="D657" t="s">
        <v>3552</v>
      </c>
      <c r="E657">
        <v>32</v>
      </c>
      <c r="F657" s="4" t="s">
        <v>3557</v>
      </c>
      <c r="G657" s="4">
        <v>0</v>
      </c>
      <c r="H657">
        <v>1</v>
      </c>
      <c r="I657">
        <v>3101278</v>
      </c>
      <c r="J657" s="6">
        <v>15.85</v>
      </c>
      <c r="K657" s="4" t="str">
        <f t="shared" si="10"/>
        <v>Mid</v>
      </c>
      <c r="L657" t="s">
        <v>3561</v>
      </c>
      <c r="M657" s="4" t="s">
        <v>3561</v>
      </c>
      <c r="N657" t="s">
        <v>457</v>
      </c>
      <c r="O657" t="s">
        <v>59</v>
      </c>
      <c r="P657" s="4" t="s">
        <v>3573</v>
      </c>
      <c r="Q657" t="s">
        <v>3573</v>
      </c>
      <c r="R657" t="s">
        <v>646</v>
      </c>
    </row>
    <row r="658" spans="1:18">
      <c r="A658" t="s">
        <v>838</v>
      </c>
      <c r="B658" t="s">
        <v>9</v>
      </c>
      <c r="C658" t="s">
        <v>2905</v>
      </c>
      <c r="D658" t="s">
        <v>3551</v>
      </c>
      <c r="E658">
        <v>33</v>
      </c>
      <c r="F658" s="4" t="s">
        <v>3557</v>
      </c>
      <c r="G658" s="4">
        <v>0</v>
      </c>
      <c r="H658">
        <v>3</v>
      </c>
      <c r="I658">
        <v>3101278</v>
      </c>
      <c r="J658" s="6">
        <v>15.85</v>
      </c>
      <c r="K658" s="4" t="str">
        <f t="shared" si="10"/>
        <v>Mid</v>
      </c>
      <c r="L658" t="s">
        <v>3561</v>
      </c>
      <c r="M658" s="4" t="s">
        <v>3561</v>
      </c>
      <c r="N658" t="s">
        <v>457</v>
      </c>
      <c r="O658" t="s">
        <v>3569</v>
      </c>
      <c r="P658" s="4" t="s">
        <v>3573</v>
      </c>
      <c r="Q658" t="s">
        <v>3573</v>
      </c>
      <c r="R658" t="s">
        <v>646</v>
      </c>
    </row>
    <row r="659" spans="1:18">
      <c r="A659" t="s">
        <v>838</v>
      </c>
      <c r="B659" t="s">
        <v>9</v>
      </c>
      <c r="C659" t="s">
        <v>2906</v>
      </c>
      <c r="D659" t="s">
        <v>3551</v>
      </c>
      <c r="E659">
        <v>1</v>
      </c>
      <c r="F659" s="4" t="s">
        <v>3556</v>
      </c>
      <c r="G659" s="4">
        <v>1</v>
      </c>
      <c r="H659">
        <v>2</v>
      </c>
      <c r="I659">
        <v>2666</v>
      </c>
      <c r="J659" s="6">
        <v>19.258299999999998</v>
      </c>
      <c r="K659" s="4" t="str">
        <f t="shared" si="10"/>
        <v>Mid</v>
      </c>
      <c r="L659" t="s">
        <v>3561</v>
      </c>
      <c r="M659" s="4" t="s">
        <v>3561</v>
      </c>
      <c r="N659" t="s">
        <v>3566</v>
      </c>
      <c r="O659" t="s">
        <v>62</v>
      </c>
      <c r="P659" s="4" t="s">
        <v>3573</v>
      </c>
      <c r="Q659" t="s">
        <v>3573</v>
      </c>
      <c r="R659" t="s">
        <v>647</v>
      </c>
    </row>
    <row r="660" spans="1:18">
      <c r="A660" t="s">
        <v>838</v>
      </c>
      <c r="B660" t="s">
        <v>9</v>
      </c>
      <c r="C660" t="s">
        <v>2907</v>
      </c>
      <c r="D660" t="s">
        <v>3551</v>
      </c>
      <c r="E660">
        <v>1</v>
      </c>
      <c r="F660" s="4" t="s">
        <v>3556</v>
      </c>
      <c r="G660" s="4">
        <v>1</v>
      </c>
      <c r="H660">
        <v>2</v>
      </c>
      <c r="I660">
        <v>2666</v>
      </c>
      <c r="J660" s="6">
        <v>19.258299999999998</v>
      </c>
      <c r="K660" s="4" t="str">
        <f t="shared" si="10"/>
        <v>Mid</v>
      </c>
      <c r="L660" t="s">
        <v>3561</v>
      </c>
      <c r="M660" s="4" t="s">
        <v>3561</v>
      </c>
      <c r="N660" t="s">
        <v>3566</v>
      </c>
      <c r="O660" t="s">
        <v>62</v>
      </c>
      <c r="P660" s="4" t="s">
        <v>3573</v>
      </c>
      <c r="Q660" t="s">
        <v>3573</v>
      </c>
      <c r="R660" t="s">
        <v>647</v>
      </c>
    </row>
    <row r="661" spans="1:18">
      <c r="A661" t="s">
        <v>838</v>
      </c>
      <c r="B661" t="s">
        <v>9</v>
      </c>
      <c r="C661" t="s">
        <v>2908</v>
      </c>
      <c r="D661" t="s">
        <v>3551</v>
      </c>
      <c r="E661">
        <v>5</v>
      </c>
      <c r="F661" s="4" t="s">
        <v>3556</v>
      </c>
      <c r="G661" s="4">
        <v>1</v>
      </c>
      <c r="H661">
        <v>2</v>
      </c>
      <c r="I661">
        <v>2666</v>
      </c>
      <c r="J661" s="6">
        <v>19.258299999999998</v>
      </c>
      <c r="K661" s="4" t="str">
        <f t="shared" si="10"/>
        <v>Mid</v>
      </c>
      <c r="L661" t="s">
        <v>3561</v>
      </c>
      <c r="M661" s="4" t="s">
        <v>3561</v>
      </c>
      <c r="N661" t="s">
        <v>3566</v>
      </c>
      <c r="O661" t="s">
        <v>62</v>
      </c>
      <c r="P661" s="4" t="s">
        <v>3573</v>
      </c>
      <c r="Q661" t="s">
        <v>3573</v>
      </c>
      <c r="R661" t="s">
        <v>647</v>
      </c>
    </row>
    <row r="662" spans="1:18">
      <c r="A662" t="s">
        <v>838</v>
      </c>
      <c r="B662" t="s">
        <v>9</v>
      </c>
      <c r="C662" t="s">
        <v>2909</v>
      </c>
      <c r="D662" t="s">
        <v>3551</v>
      </c>
      <c r="E662">
        <v>24</v>
      </c>
      <c r="F662" s="4" t="s">
        <v>3555</v>
      </c>
      <c r="G662" s="4">
        <v>3</v>
      </c>
      <c r="H662">
        <v>0</v>
      </c>
      <c r="I662">
        <v>2666</v>
      </c>
      <c r="J662" s="6">
        <v>19.258299999999998</v>
      </c>
      <c r="K662" s="4" t="str">
        <f t="shared" si="10"/>
        <v>Mid</v>
      </c>
      <c r="L662" t="s">
        <v>3561</v>
      </c>
      <c r="M662" s="4" t="s">
        <v>3561</v>
      </c>
      <c r="N662" t="s">
        <v>3566</v>
      </c>
      <c r="O662" t="s">
        <v>62</v>
      </c>
      <c r="P662" s="4" t="s">
        <v>3573</v>
      </c>
      <c r="Q662" t="s">
        <v>3573</v>
      </c>
      <c r="R662" t="s">
        <v>647</v>
      </c>
    </row>
    <row r="663" spans="1:18">
      <c r="A663" t="s">
        <v>838</v>
      </c>
      <c r="B663" t="s">
        <v>9</v>
      </c>
      <c r="C663" t="s">
        <v>2910</v>
      </c>
      <c r="D663" t="s">
        <v>3551</v>
      </c>
      <c r="E663">
        <v>18</v>
      </c>
      <c r="F663" s="4" t="s">
        <v>3555</v>
      </c>
      <c r="G663" s="4">
        <v>0</v>
      </c>
      <c r="H663">
        <v>0</v>
      </c>
      <c r="I663" t="s">
        <v>648</v>
      </c>
      <c r="J663" s="6">
        <v>8.0500000000000007</v>
      </c>
      <c r="K663" s="4" t="str">
        <f t="shared" si="10"/>
        <v>Low</v>
      </c>
      <c r="L663" t="s">
        <v>3561</v>
      </c>
      <c r="M663" s="4" t="s">
        <v>3561</v>
      </c>
      <c r="N663" t="s">
        <v>457</v>
      </c>
      <c r="O663" t="s">
        <v>62</v>
      </c>
      <c r="P663" s="4" t="s">
        <v>3573</v>
      </c>
      <c r="Q663" t="s">
        <v>3573</v>
      </c>
      <c r="R663" t="s">
        <v>649</v>
      </c>
    </row>
    <row r="664" spans="1:18">
      <c r="A664" t="s">
        <v>838</v>
      </c>
      <c r="B664" t="s">
        <v>840</v>
      </c>
      <c r="C664" t="s">
        <v>2911</v>
      </c>
      <c r="D664" t="s">
        <v>3552</v>
      </c>
      <c r="E664">
        <v>40</v>
      </c>
      <c r="F664" s="4" t="s">
        <v>3557</v>
      </c>
      <c r="G664" s="4">
        <v>0</v>
      </c>
      <c r="H664">
        <v>0</v>
      </c>
      <c r="I664">
        <v>2623</v>
      </c>
      <c r="J664" s="6">
        <v>7.2249999999999996</v>
      </c>
      <c r="K664" s="4" t="str">
        <f t="shared" si="10"/>
        <v>Low</v>
      </c>
      <c r="L664" t="s">
        <v>3561</v>
      </c>
      <c r="M664" s="4" t="s">
        <v>3561</v>
      </c>
      <c r="N664" t="s">
        <v>3566</v>
      </c>
      <c r="O664" t="s">
        <v>3569</v>
      </c>
      <c r="P664" s="4" t="s">
        <v>3573</v>
      </c>
      <c r="Q664" t="s">
        <v>3573</v>
      </c>
    </row>
    <row r="665" spans="1:18">
      <c r="A665" t="s">
        <v>838</v>
      </c>
      <c r="B665" t="s">
        <v>840</v>
      </c>
      <c r="C665" t="s">
        <v>2912</v>
      </c>
      <c r="D665" t="s">
        <v>3552</v>
      </c>
      <c r="E665">
        <v>26</v>
      </c>
      <c r="F665" s="4" t="s">
        <v>3555</v>
      </c>
      <c r="G665" s="4">
        <v>0</v>
      </c>
      <c r="H665">
        <v>0</v>
      </c>
      <c r="I665">
        <v>349248</v>
      </c>
      <c r="J665" s="6">
        <v>7.8958000000000004</v>
      </c>
      <c r="K665" s="4" t="str">
        <f t="shared" si="10"/>
        <v>Low</v>
      </c>
      <c r="L665" t="s">
        <v>3561</v>
      </c>
      <c r="M665" s="4" t="s">
        <v>3561</v>
      </c>
      <c r="N665" t="s">
        <v>457</v>
      </c>
      <c r="O665" t="s">
        <v>3569</v>
      </c>
      <c r="P665" s="4" t="s">
        <v>3573</v>
      </c>
      <c r="Q665" t="s">
        <v>3573</v>
      </c>
    </row>
    <row r="666" spans="1:18">
      <c r="A666" t="s">
        <v>838</v>
      </c>
      <c r="B666" t="s">
        <v>9</v>
      </c>
      <c r="C666" t="s">
        <v>2913</v>
      </c>
      <c r="D666" t="s">
        <v>3552</v>
      </c>
      <c r="E666">
        <v>20</v>
      </c>
      <c r="F666" s="4" t="s">
        <v>3555</v>
      </c>
      <c r="G666" s="4">
        <v>0</v>
      </c>
      <c r="H666">
        <v>0</v>
      </c>
      <c r="I666">
        <v>2663</v>
      </c>
      <c r="J666" s="6">
        <v>7.2291999999999996</v>
      </c>
      <c r="K666" s="4" t="str">
        <f t="shared" si="10"/>
        <v>Low</v>
      </c>
      <c r="L666" t="s">
        <v>3561</v>
      </c>
      <c r="M666" s="4" t="s">
        <v>3561</v>
      </c>
      <c r="N666" t="s">
        <v>3566</v>
      </c>
      <c r="O666">
        <v>15</v>
      </c>
      <c r="P666" s="4" t="s">
        <v>3573</v>
      </c>
      <c r="Q666" t="s">
        <v>3573</v>
      </c>
    </row>
    <row r="667" spans="1:18">
      <c r="A667" t="s">
        <v>838</v>
      </c>
      <c r="B667" t="s">
        <v>840</v>
      </c>
      <c r="C667" t="s">
        <v>2914</v>
      </c>
      <c r="D667" t="s">
        <v>3551</v>
      </c>
      <c r="E667">
        <v>18</v>
      </c>
      <c r="F667" s="4" t="s">
        <v>3555</v>
      </c>
      <c r="G667" s="4">
        <v>1</v>
      </c>
      <c r="H667">
        <v>0</v>
      </c>
      <c r="I667">
        <v>2691</v>
      </c>
      <c r="J667" s="6">
        <v>14.4542</v>
      </c>
      <c r="K667" s="4" t="str">
        <f t="shared" si="10"/>
        <v>Mid</v>
      </c>
      <c r="L667" t="s">
        <v>3561</v>
      </c>
      <c r="M667" s="4" t="s">
        <v>3561</v>
      </c>
      <c r="N667" t="s">
        <v>3566</v>
      </c>
      <c r="O667" t="s">
        <v>3569</v>
      </c>
      <c r="P667" s="4" t="s">
        <v>3573</v>
      </c>
      <c r="Q667" t="s">
        <v>3573</v>
      </c>
      <c r="R667" t="s">
        <v>650</v>
      </c>
    </row>
    <row r="668" spans="1:18">
      <c r="A668" t="s">
        <v>838</v>
      </c>
      <c r="B668" t="s">
        <v>840</v>
      </c>
      <c r="C668" t="s">
        <v>2915</v>
      </c>
      <c r="D668" t="s">
        <v>3551</v>
      </c>
      <c r="E668">
        <v>45</v>
      </c>
      <c r="F668" s="4" t="s">
        <v>3557</v>
      </c>
      <c r="G668" s="4">
        <v>1</v>
      </c>
      <c r="H668">
        <v>0</v>
      </c>
      <c r="I668">
        <v>2691</v>
      </c>
      <c r="J668" s="6">
        <v>14.4542</v>
      </c>
      <c r="K668" s="4" t="str">
        <f t="shared" si="10"/>
        <v>Mid</v>
      </c>
      <c r="L668" t="s">
        <v>3561</v>
      </c>
      <c r="M668" s="4" t="s">
        <v>3561</v>
      </c>
      <c r="N668" t="s">
        <v>3566</v>
      </c>
      <c r="O668" t="s">
        <v>3569</v>
      </c>
      <c r="P668" s="4" t="s">
        <v>3573</v>
      </c>
      <c r="Q668" t="s">
        <v>3573</v>
      </c>
      <c r="R668" t="s">
        <v>650</v>
      </c>
    </row>
    <row r="669" spans="1:18">
      <c r="A669" t="s">
        <v>838</v>
      </c>
      <c r="B669" t="s">
        <v>840</v>
      </c>
      <c r="C669" t="s">
        <v>2916</v>
      </c>
      <c r="D669" t="s">
        <v>3551</v>
      </c>
      <c r="E669">
        <v>27</v>
      </c>
      <c r="F669" s="4" t="s">
        <v>3555</v>
      </c>
      <c r="G669" s="4">
        <v>0</v>
      </c>
      <c r="H669">
        <v>0</v>
      </c>
      <c r="I669">
        <v>330844</v>
      </c>
      <c r="J669" s="6">
        <v>7.8792</v>
      </c>
      <c r="K669" s="4" t="str">
        <f t="shared" si="10"/>
        <v>Low</v>
      </c>
      <c r="L669" t="s">
        <v>3561</v>
      </c>
      <c r="M669" s="4" t="s">
        <v>3561</v>
      </c>
      <c r="N669" t="s">
        <v>3567</v>
      </c>
      <c r="O669" t="s">
        <v>3569</v>
      </c>
      <c r="P669" s="4" t="s">
        <v>3573</v>
      </c>
      <c r="Q669" t="s">
        <v>3573</v>
      </c>
      <c r="R669" t="s">
        <v>53</v>
      </c>
    </row>
    <row r="670" spans="1:18">
      <c r="A670" t="s">
        <v>838</v>
      </c>
      <c r="B670" t="s">
        <v>840</v>
      </c>
      <c r="C670" t="s">
        <v>2917</v>
      </c>
      <c r="D670" t="s">
        <v>3552</v>
      </c>
      <c r="E670">
        <v>22</v>
      </c>
      <c r="F670" s="4" t="s">
        <v>3555</v>
      </c>
      <c r="G670" s="4">
        <v>0</v>
      </c>
      <c r="H670">
        <v>0</v>
      </c>
      <c r="I670">
        <v>324669</v>
      </c>
      <c r="J670" s="6">
        <v>8.0500000000000007</v>
      </c>
      <c r="K670" s="4" t="str">
        <f t="shared" si="10"/>
        <v>Low</v>
      </c>
      <c r="L670" t="s">
        <v>3561</v>
      </c>
      <c r="M670" s="4" t="s">
        <v>3561</v>
      </c>
      <c r="N670" t="s">
        <v>457</v>
      </c>
      <c r="O670" t="s">
        <v>3569</v>
      </c>
      <c r="P670" s="4" t="s">
        <v>3573</v>
      </c>
      <c r="Q670" t="s">
        <v>3573</v>
      </c>
      <c r="R670" t="s">
        <v>651</v>
      </c>
    </row>
    <row r="671" spans="1:18">
      <c r="A671" t="s">
        <v>838</v>
      </c>
      <c r="B671" t="s">
        <v>840</v>
      </c>
      <c r="C671" t="s">
        <v>2918</v>
      </c>
      <c r="D671" t="s">
        <v>3552</v>
      </c>
      <c r="E671">
        <v>19</v>
      </c>
      <c r="F671" s="4" t="s">
        <v>3555</v>
      </c>
      <c r="G671" s="4">
        <v>0</v>
      </c>
      <c r="H671">
        <v>0</v>
      </c>
      <c r="I671">
        <v>323951</v>
      </c>
      <c r="J671" s="6">
        <v>8.0500000000000007</v>
      </c>
      <c r="K671" s="4" t="str">
        <f t="shared" si="10"/>
        <v>Low</v>
      </c>
      <c r="L671" t="s">
        <v>3561</v>
      </c>
      <c r="M671" s="4" t="s">
        <v>3561</v>
      </c>
      <c r="N671" t="s">
        <v>457</v>
      </c>
      <c r="O671" t="s">
        <v>3569</v>
      </c>
      <c r="P671" s="4" t="s">
        <v>3573</v>
      </c>
      <c r="Q671" t="s">
        <v>3573</v>
      </c>
      <c r="R671" t="s">
        <v>414</v>
      </c>
    </row>
    <row r="672" spans="1:18">
      <c r="A672" t="s">
        <v>838</v>
      </c>
      <c r="B672" t="s">
        <v>840</v>
      </c>
      <c r="C672" t="s">
        <v>2919</v>
      </c>
      <c r="D672" t="s">
        <v>3552</v>
      </c>
      <c r="E672">
        <v>26</v>
      </c>
      <c r="F672" s="4" t="s">
        <v>3555</v>
      </c>
      <c r="G672" s="4">
        <v>0</v>
      </c>
      <c r="H672">
        <v>0</v>
      </c>
      <c r="I672">
        <v>347068</v>
      </c>
      <c r="J672" s="6">
        <v>7.7750000000000004</v>
      </c>
      <c r="K672" s="4" t="str">
        <f t="shared" si="10"/>
        <v>Low</v>
      </c>
      <c r="L672" t="s">
        <v>3561</v>
      </c>
      <c r="M672" s="4" t="s">
        <v>3561</v>
      </c>
      <c r="N672" t="s">
        <v>457</v>
      </c>
      <c r="O672" t="s">
        <v>3569</v>
      </c>
      <c r="P672" s="4" t="s">
        <v>3573</v>
      </c>
      <c r="Q672" t="s">
        <v>3573</v>
      </c>
      <c r="R672" t="s">
        <v>652</v>
      </c>
    </row>
    <row r="673" spans="1:18">
      <c r="A673" t="s">
        <v>838</v>
      </c>
      <c r="B673" t="s">
        <v>840</v>
      </c>
      <c r="C673" t="s">
        <v>2920</v>
      </c>
      <c r="D673" t="s">
        <v>3552</v>
      </c>
      <c r="E673">
        <v>22</v>
      </c>
      <c r="F673" s="4" t="s">
        <v>3555</v>
      </c>
      <c r="G673" s="4">
        <v>0</v>
      </c>
      <c r="H673">
        <v>0</v>
      </c>
      <c r="I673" t="s">
        <v>653</v>
      </c>
      <c r="J673" s="6">
        <v>9.35</v>
      </c>
      <c r="K673" s="4" t="str">
        <f t="shared" si="10"/>
        <v>Low</v>
      </c>
      <c r="L673" t="s">
        <v>3561</v>
      </c>
      <c r="M673" s="4" t="s">
        <v>3561</v>
      </c>
      <c r="N673" t="s">
        <v>457</v>
      </c>
      <c r="O673" t="s">
        <v>3569</v>
      </c>
      <c r="P673" s="4" t="s">
        <v>3573</v>
      </c>
      <c r="Q673" t="s">
        <v>3573</v>
      </c>
      <c r="R673" t="s">
        <v>654</v>
      </c>
    </row>
    <row r="674" spans="1:18">
      <c r="A674" t="s">
        <v>838</v>
      </c>
      <c r="B674" t="s">
        <v>840</v>
      </c>
      <c r="C674" t="s">
        <v>2921</v>
      </c>
      <c r="D674" t="s">
        <v>3552</v>
      </c>
      <c r="E674">
        <v>28</v>
      </c>
      <c r="F674" s="4" t="s">
        <v>3555</v>
      </c>
      <c r="G674" s="4">
        <v>0</v>
      </c>
      <c r="H674">
        <v>0</v>
      </c>
      <c r="I674">
        <v>2622</v>
      </c>
      <c r="J674" s="6">
        <v>7.2291999999999996</v>
      </c>
      <c r="K674" s="4" t="str">
        <f t="shared" si="10"/>
        <v>Low</v>
      </c>
      <c r="L674" t="s">
        <v>3561</v>
      </c>
      <c r="M674" s="4" t="s">
        <v>3561</v>
      </c>
      <c r="N674" t="s">
        <v>3566</v>
      </c>
      <c r="O674" t="s">
        <v>3569</v>
      </c>
      <c r="P674" s="4" t="s">
        <v>3573</v>
      </c>
      <c r="Q674" t="s">
        <v>3573</v>
      </c>
    </row>
    <row r="675" spans="1:18">
      <c r="A675" t="s">
        <v>838</v>
      </c>
      <c r="B675" t="s">
        <v>840</v>
      </c>
      <c r="C675" t="s">
        <v>2922</v>
      </c>
      <c r="D675" t="s">
        <v>3552</v>
      </c>
      <c r="E675">
        <v>20</v>
      </c>
      <c r="F675" s="4" t="s">
        <v>3555</v>
      </c>
      <c r="G675" s="4">
        <v>0</v>
      </c>
      <c r="H675">
        <v>0</v>
      </c>
      <c r="I675">
        <v>2648</v>
      </c>
      <c r="J675" s="6">
        <v>4.0125000000000002</v>
      </c>
      <c r="K675" s="4" t="str">
        <f t="shared" si="10"/>
        <v>Low</v>
      </c>
      <c r="L675" t="s">
        <v>3561</v>
      </c>
      <c r="M675" s="4" t="s">
        <v>3561</v>
      </c>
      <c r="N675" t="s">
        <v>3566</v>
      </c>
      <c r="O675" t="s">
        <v>3569</v>
      </c>
      <c r="P675" s="4" t="s">
        <v>3573</v>
      </c>
      <c r="Q675" t="s">
        <v>3573</v>
      </c>
      <c r="R675" t="s">
        <v>655</v>
      </c>
    </row>
    <row r="676" spans="1:18">
      <c r="A676" t="s">
        <v>838</v>
      </c>
      <c r="B676" t="s">
        <v>9</v>
      </c>
      <c r="C676" t="s">
        <v>2923</v>
      </c>
      <c r="D676" t="s">
        <v>3552</v>
      </c>
      <c r="E676">
        <v>32</v>
      </c>
      <c r="F676" s="4" t="s">
        <v>3557</v>
      </c>
      <c r="G676" s="4">
        <v>0</v>
      </c>
      <c r="H676">
        <v>0</v>
      </c>
      <c r="I676">
        <v>1601</v>
      </c>
      <c r="J676" s="6">
        <v>56.495800000000003</v>
      </c>
      <c r="K676" s="4" t="str">
        <f t="shared" si="10"/>
        <v>High</v>
      </c>
      <c r="L676" t="s">
        <v>3561</v>
      </c>
      <c r="M676" s="4" t="s">
        <v>3561</v>
      </c>
      <c r="N676" t="s">
        <v>457</v>
      </c>
      <c r="O676" t="s">
        <v>62</v>
      </c>
      <c r="P676" s="4" t="s">
        <v>3573</v>
      </c>
      <c r="Q676" t="s">
        <v>3573</v>
      </c>
      <c r="R676" t="s">
        <v>656</v>
      </c>
    </row>
    <row r="677" spans="1:18">
      <c r="A677" t="s">
        <v>838</v>
      </c>
      <c r="B677" t="s">
        <v>840</v>
      </c>
      <c r="C677" t="s">
        <v>2924</v>
      </c>
      <c r="D677" t="s">
        <v>3552</v>
      </c>
      <c r="E677">
        <v>21</v>
      </c>
      <c r="F677" s="4" t="s">
        <v>3555</v>
      </c>
      <c r="G677" s="4">
        <v>0</v>
      </c>
      <c r="H677">
        <v>0</v>
      </c>
      <c r="I677">
        <v>312992</v>
      </c>
      <c r="J677" s="6">
        <v>7.7750000000000004</v>
      </c>
      <c r="K677" s="4" t="str">
        <f t="shared" si="10"/>
        <v>Low</v>
      </c>
      <c r="L677" t="s">
        <v>3561</v>
      </c>
      <c r="M677" s="4" t="s">
        <v>3561</v>
      </c>
      <c r="N677" t="s">
        <v>457</v>
      </c>
      <c r="O677" t="s">
        <v>3569</v>
      </c>
      <c r="P677" s="4" t="s">
        <v>3573</v>
      </c>
      <c r="Q677" t="s">
        <v>3573</v>
      </c>
      <c r="R677" t="s">
        <v>657</v>
      </c>
    </row>
    <row r="678" spans="1:18">
      <c r="A678" t="s">
        <v>838</v>
      </c>
      <c r="B678" t="s">
        <v>840</v>
      </c>
      <c r="C678" t="s">
        <v>2925</v>
      </c>
      <c r="D678" t="s">
        <v>3552</v>
      </c>
      <c r="E678">
        <v>18</v>
      </c>
      <c r="F678" s="4" t="s">
        <v>3555</v>
      </c>
      <c r="G678" s="4">
        <v>0</v>
      </c>
      <c r="H678">
        <v>0</v>
      </c>
      <c r="I678">
        <v>347090</v>
      </c>
      <c r="J678" s="6">
        <v>7.75</v>
      </c>
      <c r="K678" s="4" t="str">
        <f t="shared" si="10"/>
        <v>Low</v>
      </c>
      <c r="L678" t="s">
        <v>3561</v>
      </c>
      <c r="M678" s="4" t="s">
        <v>3561</v>
      </c>
      <c r="N678" t="s">
        <v>457</v>
      </c>
      <c r="O678" t="s">
        <v>3569</v>
      </c>
      <c r="P678" s="4" t="s">
        <v>3573</v>
      </c>
      <c r="Q678" t="s">
        <v>3573</v>
      </c>
      <c r="R678" t="s">
        <v>658</v>
      </c>
    </row>
    <row r="679" spans="1:18">
      <c r="A679" t="s">
        <v>838</v>
      </c>
      <c r="B679" t="s">
        <v>840</v>
      </c>
      <c r="C679" t="s">
        <v>2926</v>
      </c>
      <c r="D679" t="s">
        <v>3552</v>
      </c>
      <c r="E679">
        <v>26</v>
      </c>
      <c r="F679" s="4" t="s">
        <v>3555</v>
      </c>
      <c r="G679" s="4">
        <v>0</v>
      </c>
      <c r="H679">
        <v>0</v>
      </c>
      <c r="I679">
        <v>349224</v>
      </c>
      <c r="J679" s="6">
        <v>7.8958000000000004</v>
      </c>
      <c r="K679" s="4" t="str">
        <f t="shared" si="10"/>
        <v>Low</v>
      </c>
      <c r="L679" t="s">
        <v>3561</v>
      </c>
      <c r="M679" s="4" t="s">
        <v>3561</v>
      </c>
      <c r="N679" t="s">
        <v>457</v>
      </c>
      <c r="O679" t="s">
        <v>3569</v>
      </c>
      <c r="P679" s="4" t="s">
        <v>3573</v>
      </c>
      <c r="Q679" t="s">
        <v>3573</v>
      </c>
      <c r="R679" t="s">
        <v>635</v>
      </c>
    </row>
    <row r="680" spans="1:18">
      <c r="A680" t="s">
        <v>838</v>
      </c>
      <c r="B680" t="s">
        <v>840</v>
      </c>
      <c r="C680" t="s">
        <v>2927</v>
      </c>
      <c r="D680" t="s">
        <v>3552</v>
      </c>
      <c r="E680">
        <v>6</v>
      </c>
      <c r="F680" s="4" t="s">
        <v>3556</v>
      </c>
      <c r="G680" s="4">
        <v>1</v>
      </c>
      <c r="H680">
        <v>1</v>
      </c>
      <c r="I680">
        <v>2678</v>
      </c>
      <c r="J680" s="6">
        <v>15.245799999999999</v>
      </c>
      <c r="K680" s="4" t="str">
        <f t="shared" si="10"/>
        <v>Mid</v>
      </c>
      <c r="L680" t="s">
        <v>3561</v>
      </c>
      <c r="M680" s="4" t="s">
        <v>3561</v>
      </c>
      <c r="N680" t="s">
        <v>3566</v>
      </c>
      <c r="O680" t="s">
        <v>3569</v>
      </c>
      <c r="P680" s="4" t="s">
        <v>3573</v>
      </c>
      <c r="Q680" t="s">
        <v>3573</v>
      </c>
      <c r="R680" t="s">
        <v>659</v>
      </c>
    </row>
    <row r="681" spans="1:18">
      <c r="A681" t="s">
        <v>838</v>
      </c>
      <c r="B681" t="s">
        <v>840</v>
      </c>
      <c r="C681" t="s">
        <v>2928</v>
      </c>
      <c r="D681" t="s">
        <v>3551</v>
      </c>
      <c r="E681">
        <v>9</v>
      </c>
      <c r="F681" s="4" t="s">
        <v>3556</v>
      </c>
      <c r="G681" s="4">
        <v>1</v>
      </c>
      <c r="H681">
        <v>1</v>
      </c>
      <c r="I681">
        <v>2678</v>
      </c>
      <c r="J681" s="6">
        <v>15.245799999999999</v>
      </c>
      <c r="K681" s="4" t="str">
        <f t="shared" si="10"/>
        <v>Mid</v>
      </c>
      <c r="L681" t="s">
        <v>3561</v>
      </c>
      <c r="M681" s="4" t="s">
        <v>3561</v>
      </c>
      <c r="N681" t="s">
        <v>3566</v>
      </c>
      <c r="O681" t="s">
        <v>3569</v>
      </c>
      <c r="P681" s="4" t="s">
        <v>3573</v>
      </c>
      <c r="Q681" t="s">
        <v>3573</v>
      </c>
      <c r="R681" t="s">
        <v>659</v>
      </c>
    </row>
    <row r="682" spans="1:18">
      <c r="A682" t="s">
        <v>838</v>
      </c>
      <c r="B682" t="s">
        <v>840</v>
      </c>
      <c r="C682" t="s">
        <v>2929</v>
      </c>
      <c r="D682" t="s">
        <v>3552</v>
      </c>
      <c r="E682">
        <v>28</v>
      </c>
      <c r="F682" s="4" t="s">
        <v>3555</v>
      </c>
      <c r="G682" s="4">
        <v>0</v>
      </c>
      <c r="H682">
        <v>0</v>
      </c>
      <c r="I682">
        <v>2664</v>
      </c>
      <c r="J682" s="6">
        <v>7.2249999999999996</v>
      </c>
      <c r="K682" s="4" t="str">
        <f t="shared" si="10"/>
        <v>Low</v>
      </c>
      <c r="L682" t="s">
        <v>3561</v>
      </c>
      <c r="M682" s="4" t="s">
        <v>3561</v>
      </c>
      <c r="N682" t="s">
        <v>3566</v>
      </c>
      <c r="O682" t="s">
        <v>3569</v>
      </c>
      <c r="P682" s="4" t="s">
        <v>3573</v>
      </c>
      <c r="Q682" t="s">
        <v>3573</v>
      </c>
      <c r="R682" t="s">
        <v>655</v>
      </c>
    </row>
    <row r="683" spans="1:18">
      <c r="A683" t="s">
        <v>838</v>
      </c>
      <c r="B683" t="s">
        <v>840</v>
      </c>
      <c r="C683" t="s">
        <v>2930</v>
      </c>
      <c r="D683" t="s">
        <v>3551</v>
      </c>
      <c r="E683">
        <v>28</v>
      </c>
      <c r="F683" s="4" t="s">
        <v>3555</v>
      </c>
      <c r="G683" s="4">
        <v>2</v>
      </c>
      <c r="H683">
        <v>0</v>
      </c>
      <c r="I683">
        <v>2678</v>
      </c>
      <c r="J683" s="6">
        <v>15.245799999999999</v>
      </c>
      <c r="K683" s="4" t="str">
        <f t="shared" si="10"/>
        <v>Mid</v>
      </c>
      <c r="L683" t="s">
        <v>3561</v>
      </c>
      <c r="M683" s="4" t="s">
        <v>3561</v>
      </c>
      <c r="N683" t="s">
        <v>3566</v>
      </c>
      <c r="O683" t="s">
        <v>3569</v>
      </c>
      <c r="P683" s="4" t="s">
        <v>3573</v>
      </c>
      <c r="Q683" t="s">
        <v>3573</v>
      </c>
      <c r="R683" t="s">
        <v>659</v>
      </c>
    </row>
    <row r="684" spans="1:18">
      <c r="A684" t="s">
        <v>838</v>
      </c>
      <c r="B684" t="s">
        <v>840</v>
      </c>
      <c r="C684" t="s">
        <v>2931</v>
      </c>
      <c r="D684" t="s">
        <v>3551</v>
      </c>
      <c r="E684">
        <v>28</v>
      </c>
      <c r="F684" s="4" t="s">
        <v>3555</v>
      </c>
      <c r="G684" s="4">
        <v>2</v>
      </c>
      <c r="H684">
        <v>0</v>
      </c>
      <c r="I684">
        <v>364848</v>
      </c>
      <c r="J684" s="6">
        <v>7.75</v>
      </c>
      <c r="K684" s="4" t="str">
        <f t="shared" si="10"/>
        <v>Low</v>
      </c>
      <c r="L684" t="s">
        <v>3561</v>
      </c>
      <c r="M684" s="4" t="s">
        <v>3561</v>
      </c>
      <c r="N684" t="s">
        <v>3567</v>
      </c>
      <c r="O684" t="s">
        <v>3569</v>
      </c>
      <c r="P684" s="4" t="s">
        <v>3573</v>
      </c>
      <c r="Q684" t="s">
        <v>3573</v>
      </c>
      <c r="R684" t="s">
        <v>660</v>
      </c>
    </row>
    <row r="685" spans="1:18">
      <c r="A685" t="s">
        <v>838</v>
      </c>
      <c r="B685" t="s">
        <v>840</v>
      </c>
      <c r="C685" t="s">
        <v>2932</v>
      </c>
      <c r="D685" t="s">
        <v>3552</v>
      </c>
      <c r="E685">
        <v>40</v>
      </c>
      <c r="F685" s="4" t="s">
        <v>3557</v>
      </c>
      <c r="G685" s="4">
        <v>1</v>
      </c>
      <c r="H685">
        <v>1</v>
      </c>
      <c r="I685">
        <v>364849</v>
      </c>
      <c r="J685" s="6">
        <v>15.5</v>
      </c>
      <c r="K685" s="4" t="str">
        <f t="shared" si="10"/>
        <v>Mid</v>
      </c>
      <c r="L685" t="s">
        <v>3561</v>
      </c>
      <c r="M685" s="4" t="s">
        <v>3561</v>
      </c>
      <c r="N685" t="s">
        <v>3567</v>
      </c>
      <c r="O685" t="s">
        <v>3569</v>
      </c>
      <c r="P685" s="4" t="s">
        <v>3573</v>
      </c>
      <c r="Q685" t="s">
        <v>3573</v>
      </c>
      <c r="R685" t="s">
        <v>660</v>
      </c>
    </row>
    <row r="686" spans="1:18">
      <c r="A686" t="s">
        <v>838</v>
      </c>
      <c r="B686" t="s">
        <v>840</v>
      </c>
      <c r="C686" t="s">
        <v>2933</v>
      </c>
      <c r="D686" t="s">
        <v>3551</v>
      </c>
      <c r="E686">
        <v>32</v>
      </c>
      <c r="F686" s="4" t="s">
        <v>3557</v>
      </c>
      <c r="G686" s="4">
        <v>1</v>
      </c>
      <c r="H686">
        <v>1</v>
      </c>
      <c r="I686">
        <v>364849</v>
      </c>
      <c r="J686" s="6">
        <v>15.5</v>
      </c>
      <c r="K686" s="4" t="str">
        <f t="shared" si="10"/>
        <v>Mid</v>
      </c>
      <c r="L686" t="s">
        <v>3561</v>
      </c>
      <c r="M686" s="4" t="s">
        <v>3561</v>
      </c>
      <c r="N686" t="s">
        <v>3567</v>
      </c>
      <c r="O686" t="s">
        <v>3569</v>
      </c>
      <c r="P686" s="4" t="s">
        <v>3573</v>
      </c>
      <c r="Q686" t="s">
        <v>3573</v>
      </c>
      <c r="R686" t="s">
        <v>660</v>
      </c>
    </row>
    <row r="687" spans="1:18">
      <c r="A687" t="s">
        <v>838</v>
      </c>
      <c r="B687" t="s">
        <v>840</v>
      </c>
      <c r="C687" t="s">
        <v>2934</v>
      </c>
      <c r="D687" t="s">
        <v>3552</v>
      </c>
      <c r="E687">
        <v>21</v>
      </c>
      <c r="F687" s="4" t="s">
        <v>3555</v>
      </c>
      <c r="G687" s="4">
        <v>0</v>
      </c>
      <c r="H687">
        <v>0</v>
      </c>
      <c r="I687">
        <v>54636</v>
      </c>
      <c r="J687" s="6">
        <v>16.100000000000001</v>
      </c>
      <c r="K687" s="4" t="str">
        <f t="shared" si="10"/>
        <v>Mid</v>
      </c>
      <c r="L687" t="s">
        <v>3561</v>
      </c>
      <c r="M687" s="4" t="s">
        <v>3561</v>
      </c>
      <c r="N687" t="s">
        <v>457</v>
      </c>
      <c r="O687" t="s">
        <v>3569</v>
      </c>
      <c r="P687" s="4" t="s">
        <v>3573</v>
      </c>
      <c r="Q687" t="s">
        <v>3573</v>
      </c>
      <c r="R687" t="s">
        <v>661</v>
      </c>
    </row>
    <row r="688" spans="1:18">
      <c r="A688" t="s">
        <v>838</v>
      </c>
      <c r="B688" t="s">
        <v>9</v>
      </c>
      <c r="C688" t="s">
        <v>2935</v>
      </c>
      <c r="D688" t="s">
        <v>3551</v>
      </c>
      <c r="E688">
        <v>22</v>
      </c>
      <c r="F688" s="4" t="s">
        <v>3555</v>
      </c>
      <c r="G688" s="4">
        <v>0</v>
      </c>
      <c r="H688">
        <v>0</v>
      </c>
      <c r="I688">
        <v>334914</v>
      </c>
      <c r="J688" s="6">
        <v>7.7249999999999996</v>
      </c>
      <c r="K688" s="4" t="str">
        <f t="shared" si="10"/>
        <v>Low</v>
      </c>
      <c r="L688" t="s">
        <v>3561</v>
      </c>
      <c r="M688" s="4" t="s">
        <v>3561</v>
      </c>
      <c r="N688" t="s">
        <v>3567</v>
      </c>
      <c r="O688">
        <v>13</v>
      </c>
      <c r="P688" s="4" t="s">
        <v>3573</v>
      </c>
      <c r="Q688" t="s">
        <v>3573</v>
      </c>
      <c r="R688" t="s">
        <v>662</v>
      </c>
    </row>
    <row r="689" spans="1:18">
      <c r="A689" t="s">
        <v>838</v>
      </c>
      <c r="B689" t="s">
        <v>840</v>
      </c>
      <c r="C689" t="s">
        <v>2936</v>
      </c>
      <c r="D689" t="s">
        <v>3551</v>
      </c>
      <c r="E689">
        <v>20</v>
      </c>
      <c r="F689" s="4" t="s">
        <v>3555</v>
      </c>
      <c r="G689" s="4">
        <v>0</v>
      </c>
      <c r="H689">
        <v>0</v>
      </c>
      <c r="I689">
        <v>347471</v>
      </c>
      <c r="J689" s="6">
        <v>7.8541999999999996</v>
      </c>
      <c r="K689" s="4" t="str">
        <f t="shared" si="10"/>
        <v>Low</v>
      </c>
      <c r="L689" t="s">
        <v>3561</v>
      </c>
      <c r="M689" s="4" t="s">
        <v>3561</v>
      </c>
      <c r="N689" t="s">
        <v>457</v>
      </c>
      <c r="O689" t="s">
        <v>3569</v>
      </c>
      <c r="P689" s="4" t="s">
        <v>3573</v>
      </c>
      <c r="Q689" t="s">
        <v>3573</v>
      </c>
      <c r="R689" t="s">
        <v>663</v>
      </c>
    </row>
    <row r="690" spans="1:18">
      <c r="A690" t="s">
        <v>838</v>
      </c>
      <c r="B690" t="s">
        <v>840</v>
      </c>
      <c r="C690" t="s">
        <v>2937</v>
      </c>
      <c r="D690" t="s">
        <v>3552</v>
      </c>
      <c r="E690">
        <v>29</v>
      </c>
      <c r="F690" s="4" t="s">
        <v>3555</v>
      </c>
      <c r="G690" s="4">
        <v>0</v>
      </c>
      <c r="H690">
        <v>1</v>
      </c>
      <c r="I690">
        <v>3460</v>
      </c>
      <c r="J690" s="6">
        <v>7.0457999999999998</v>
      </c>
      <c r="K690" s="4" t="str">
        <f t="shared" si="10"/>
        <v>Low</v>
      </c>
      <c r="L690" t="s">
        <v>3561</v>
      </c>
      <c r="M690" s="4" t="s">
        <v>3561</v>
      </c>
      <c r="N690" t="s">
        <v>457</v>
      </c>
      <c r="O690" t="s">
        <v>3569</v>
      </c>
      <c r="P690" s="4" t="s">
        <v>3573</v>
      </c>
      <c r="Q690" t="s">
        <v>3573</v>
      </c>
      <c r="R690" t="s">
        <v>664</v>
      </c>
    </row>
    <row r="691" spans="1:18">
      <c r="A691" t="s">
        <v>838</v>
      </c>
      <c r="B691" t="s">
        <v>840</v>
      </c>
      <c r="C691" t="s">
        <v>2938</v>
      </c>
      <c r="D691" t="s">
        <v>3552</v>
      </c>
      <c r="E691">
        <v>22</v>
      </c>
      <c r="F691" s="4" t="s">
        <v>3555</v>
      </c>
      <c r="G691" s="4">
        <v>0</v>
      </c>
      <c r="H691">
        <v>1</v>
      </c>
      <c r="I691" t="s">
        <v>30</v>
      </c>
      <c r="J691" s="6">
        <v>7.25</v>
      </c>
      <c r="K691" s="4" t="str">
        <f t="shared" si="10"/>
        <v>Low</v>
      </c>
      <c r="L691" t="s">
        <v>3561</v>
      </c>
      <c r="M691" s="4" t="s">
        <v>3561</v>
      </c>
      <c r="N691" t="s">
        <v>457</v>
      </c>
      <c r="O691" t="s">
        <v>3569</v>
      </c>
      <c r="P691" s="4" t="s">
        <v>3573</v>
      </c>
      <c r="Q691" t="s">
        <v>3573</v>
      </c>
      <c r="R691" t="s">
        <v>664</v>
      </c>
    </row>
    <row r="692" spans="1:18">
      <c r="A692" t="s">
        <v>838</v>
      </c>
      <c r="B692" t="s">
        <v>840</v>
      </c>
      <c r="C692" t="s">
        <v>2939</v>
      </c>
      <c r="D692" t="s">
        <v>3552</v>
      </c>
      <c r="E692">
        <v>22</v>
      </c>
      <c r="F692" s="4" t="s">
        <v>3555</v>
      </c>
      <c r="G692" s="4">
        <v>0</v>
      </c>
      <c r="H692">
        <v>0</v>
      </c>
      <c r="I692">
        <v>350045</v>
      </c>
      <c r="J692" s="6">
        <v>7.7957999999999998</v>
      </c>
      <c r="K692" s="4" t="str">
        <f t="shared" si="10"/>
        <v>Low</v>
      </c>
      <c r="L692" t="s">
        <v>3561</v>
      </c>
      <c r="M692" s="4" t="s">
        <v>3561</v>
      </c>
      <c r="N692" t="s">
        <v>457</v>
      </c>
      <c r="O692" t="s">
        <v>3569</v>
      </c>
      <c r="P692" s="4" t="s">
        <v>3573</v>
      </c>
      <c r="Q692" t="s">
        <v>3573</v>
      </c>
      <c r="R692" t="s">
        <v>640</v>
      </c>
    </row>
    <row r="693" spans="1:18">
      <c r="A693" t="s">
        <v>838</v>
      </c>
      <c r="B693" t="s">
        <v>840</v>
      </c>
      <c r="C693" t="s">
        <v>2940</v>
      </c>
      <c r="D693" t="s">
        <v>3552</v>
      </c>
      <c r="E693">
        <v>35</v>
      </c>
      <c r="F693" s="4" t="s">
        <v>3557</v>
      </c>
      <c r="G693" s="4">
        <v>0</v>
      </c>
      <c r="H693">
        <v>0</v>
      </c>
      <c r="I693">
        <v>364512</v>
      </c>
      <c r="J693" s="6">
        <v>8.0500000000000007</v>
      </c>
      <c r="K693" s="4" t="str">
        <f t="shared" si="10"/>
        <v>Low</v>
      </c>
      <c r="L693" t="s">
        <v>3561</v>
      </c>
      <c r="M693" s="4" t="s">
        <v>3561</v>
      </c>
      <c r="N693" t="s">
        <v>457</v>
      </c>
      <c r="O693" t="s">
        <v>3569</v>
      </c>
      <c r="P693" s="4" t="s">
        <v>3573</v>
      </c>
      <c r="Q693" t="s">
        <v>3573</v>
      </c>
      <c r="R693" t="s">
        <v>665</v>
      </c>
    </row>
    <row r="694" spans="1:18">
      <c r="A694" t="s">
        <v>838</v>
      </c>
      <c r="B694" t="s">
        <v>840</v>
      </c>
      <c r="C694" t="s">
        <v>2941</v>
      </c>
      <c r="D694" t="s">
        <v>3551</v>
      </c>
      <c r="E694">
        <v>19</v>
      </c>
      <c r="F694" s="4" t="s">
        <v>3555</v>
      </c>
      <c r="G694" s="4">
        <v>0</v>
      </c>
      <c r="H694">
        <v>0</v>
      </c>
      <c r="I694">
        <v>329944</v>
      </c>
      <c r="J694" s="6">
        <v>7.2832999999999997</v>
      </c>
      <c r="K694" s="4" t="str">
        <f t="shared" si="10"/>
        <v>Low</v>
      </c>
      <c r="L694" t="s">
        <v>3561</v>
      </c>
      <c r="M694" s="4" t="s">
        <v>3561</v>
      </c>
      <c r="N694" t="s">
        <v>3567</v>
      </c>
      <c r="O694" t="s">
        <v>3569</v>
      </c>
      <c r="P694" s="4">
        <v>299</v>
      </c>
      <c r="Q694" t="s">
        <v>3574</v>
      </c>
      <c r="R694" t="s">
        <v>666</v>
      </c>
    </row>
    <row r="695" spans="1:18">
      <c r="A695" t="s">
        <v>838</v>
      </c>
      <c r="B695" t="s">
        <v>9</v>
      </c>
      <c r="C695" t="s">
        <v>2942</v>
      </c>
      <c r="D695" t="s">
        <v>3552</v>
      </c>
      <c r="E695">
        <v>21</v>
      </c>
      <c r="F695" s="4" t="s">
        <v>3555</v>
      </c>
      <c r="G695" s="4">
        <v>0</v>
      </c>
      <c r="H695">
        <v>0</v>
      </c>
      <c r="I695">
        <v>330920</v>
      </c>
      <c r="J695" s="6">
        <v>7.8208000000000002</v>
      </c>
      <c r="K695" s="4" t="str">
        <f t="shared" si="10"/>
        <v>Low</v>
      </c>
      <c r="L695" t="s">
        <v>3561</v>
      </c>
      <c r="M695" s="4" t="s">
        <v>3561</v>
      </c>
      <c r="N695" t="s">
        <v>3567</v>
      </c>
      <c r="O695">
        <v>13</v>
      </c>
      <c r="P695" s="4" t="s">
        <v>3573</v>
      </c>
      <c r="Q695" t="s">
        <v>3573</v>
      </c>
      <c r="R695" t="s">
        <v>667</v>
      </c>
    </row>
    <row r="696" spans="1:18">
      <c r="A696" t="s">
        <v>838</v>
      </c>
      <c r="B696" t="s">
        <v>840</v>
      </c>
      <c r="C696" t="s">
        <v>2943</v>
      </c>
      <c r="D696" t="s">
        <v>3552</v>
      </c>
      <c r="E696">
        <v>19</v>
      </c>
      <c r="F696" s="4" t="s">
        <v>3555</v>
      </c>
      <c r="G696" s="4">
        <v>0</v>
      </c>
      <c r="H696">
        <v>0</v>
      </c>
      <c r="I696">
        <v>365222</v>
      </c>
      <c r="J696" s="6">
        <v>6.75</v>
      </c>
      <c r="K696" s="4" t="str">
        <f t="shared" si="10"/>
        <v>Low</v>
      </c>
      <c r="L696" t="s">
        <v>3561</v>
      </c>
      <c r="M696" s="4" t="s">
        <v>3561</v>
      </c>
      <c r="N696" t="s">
        <v>3567</v>
      </c>
      <c r="O696" t="s">
        <v>3569</v>
      </c>
      <c r="P696" s="4" t="s">
        <v>3573</v>
      </c>
      <c r="Q696" t="s">
        <v>3573</v>
      </c>
      <c r="R696" t="s">
        <v>668</v>
      </c>
    </row>
    <row r="697" spans="1:18">
      <c r="A697" t="s">
        <v>838</v>
      </c>
      <c r="B697" t="s">
        <v>840</v>
      </c>
      <c r="C697" t="s">
        <v>2944</v>
      </c>
      <c r="D697" t="s">
        <v>3551</v>
      </c>
      <c r="E697">
        <v>18</v>
      </c>
      <c r="F697" s="4" t="s">
        <v>3555</v>
      </c>
      <c r="G697" s="4">
        <v>0</v>
      </c>
      <c r="H697">
        <v>0</v>
      </c>
      <c r="I697">
        <v>330963</v>
      </c>
      <c r="J697" s="6">
        <v>7.8792</v>
      </c>
      <c r="K697" s="4" t="str">
        <f t="shared" si="10"/>
        <v>Low</v>
      </c>
      <c r="L697" t="s">
        <v>3561</v>
      </c>
      <c r="M697" s="4" t="s">
        <v>3561</v>
      </c>
      <c r="N697" t="s">
        <v>3567</v>
      </c>
      <c r="O697" t="s">
        <v>3569</v>
      </c>
      <c r="P697" s="4" t="s">
        <v>3573</v>
      </c>
      <c r="Q697" t="s">
        <v>3573</v>
      </c>
      <c r="R697" t="s">
        <v>669</v>
      </c>
    </row>
    <row r="698" spans="1:18">
      <c r="A698" t="s">
        <v>838</v>
      </c>
      <c r="B698" t="s">
        <v>840</v>
      </c>
      <c r="C698" t="s">
        <v>2945</v>
      </c>
      <c r="D698" t="s">
        <v>3551</v>
      </c>
      <c r="E698">
        <v>21</v>
      </c>
      <c r="F698" s="4" t="s">
        <v>3555</v>
      </c>
      <c r="G698" s="4">
        <v>0</v>
      </c>
      <c r="H698">
        <v>0</v>
      </c>
      <c r="I698">
        <v>315087</v>
      </c>
      <c r="J698" s="6">
        <v>8.6624999999999996</v>
      </c>
      <c r="K698" s="4" t="str">
        <f t="shared" si="10"/>
        <v>Low</v>
      </c>
      <c r="L698" t="s">
        <v>3561</v>
      </c>
      <c r="M698" s="4" t="s">
        <v>3561</v>
      </c>
      <c r="N698" t="s">
        <v>457</v>
      </c>
      <c r="O698" t="s">
        <v>3569</v>
      </c>
      <c r="P698" s="4" t="s">
        <v>3573</v>
      </c>
      <c r="Q698" t="s">
        <v>3573</v>
      </c>
    </row>
    <row r="699" spans="1:18">
      <c r="A699" t="s">
        <v>838</v>
      </c>
      <c r="B699" t="s">
        <v>840</v>
      </c>
      <c r="C699" t="s">
        <v>2946</v>
      </c>
      <c r="D699" t="s">
        <v>3551</v>
      </c>
      <c r="E699">
        <v>30</v>
      </c>
      <c r="F699" s="4" t="s">
        <v>3557</v>
      </c>
      <c r="G699" s="4">
        <v>0</v>
      </c>
      <c r="H699">
        <v>0</v>
      </c>
      <c r="I699">
        <v>315084</v>
      </c>
      <c r="J699" s="6">
        <v>8.6624999999999996</v>
      </c>
      <c r="K699" s="4" t="str">
        <f t="shared" si="10"/>
        <v>Low</v>
      </c>
      <c r="L699" t="s">
        <v>3561</v>
      </c>
      <c r="M699" s="4" t="s">
        <v>3561</v>
      </c>
      <c r="N699" t="s">
        <v>457</v>
      </c>
      <c r="O699" t="s">
        <v>3569</v>
      </c>
      <c r="P699" s="4" t="s">
        <v>3573</v>
      </c>
      <c r="Q699" t="s">
        <v>3573</v>
      </c>
    </row>
    <row r="700" spans="1:18">
      <c r="A700" t="s">
        <v>838</v>
      </c>
      <c r="B700" t="s">
        <v>840</v>
      </c>
      <c r="C700" t="s">
        <v>2947</v>
      </c>
      <c r="D700" t="s">
        <v>3552</v>
      </c>
      <c r="E700">
        <v>18</v>
      </c>
      <c r="F700" s="4" t="s">
        <v>3555</v>
      </c>
      <c r="G700" s="4">
        <v>0</v>
      </c>
      <c r="H700">
        <v>0</v>
      </c>
      <c r="I700">
        <v>315091</v>
      </c>
      <c r="J700" s="6">
        <v>8.6624999999999996</v>
      </c>
      <c r="K700" s="4" t="str">
        <f t="shared" si="10"/>
        <v>Low</v>
      </c>
      <c r="L700" t="s">
        <v>3561</v>
      </c>
      <c r="M700" s="4" t="s">
        <v>3561</v>
      </c>
      <c r="N700" t="s">
        <v>457</v>
      </c>
      <c r="O700" t="s">
        <v>3569</v>
      </c>
      <c r="P700" s="4" t="s">
        <v>3573</v>
      </c>
      <c r="Q700" t="s">
        <v>3573</v>
      </c>
    </row>
    <row r="701" spans="1:18">
      <c r="A701" t="s">
        <v>838</v>
      </c>
      <c r="B701" t="s">
        <v>840</v>
      </c>
      <c r="C701" t="s">
        <v>2948</v>
      </c>
      <c r="D701" t="s">
        <v>3552</v>
      </c>
      <c r="E701">
        <v>38</v>
      </c>
      <c r="F701" s="4" t="s">
        <v>3557</v>
      </c>
      <c r="G701" s="4">
        <v>0</v>
      </c>
      <c r="H701">
        <v>0</v>
      </c>
      <c r="I701">
        <v>315089</v>
      </c>
      <c r="J701" s="6">
        <v>8.6624999999999996</v>
      </c>
      <c r="K701" s="4" t="str">
        <f t="shared" si="10"/>
        <v>Low</v>
      </c>
      <c r="L701" t="s">
        <v>3561</v>
      </c>
      <c r="M701" s="4" t="s">
        <v>3561</v>
      </c>
      <c r="N701" t="s">
        <v>457</v>
      </c>
      <c r="O701" t="s">
        <v>3569</v>
      </c>
      <c r="P701" s="4" t="s">
        <v>3573</v>
      </c>
      <c r="Q701" t="s">
        <v>3573</v>
      </c>
      <c r="R701" t="s">
        <v>670</v>
      </c>
    </row>
    <row r="702" spans="1:18">
      <c r="A702" t="s">
        <v>838</v>
      </c>
      <c r="B702" t="s">
        <v>840</v>
      </c>
      <c r="C702" t="s">
        <v>2949</v>
      </c>
      <c r="D702" t="s">
        <v>3552</v>
      </c>
      <c r="E702">
        <v>17</v>
      </c>
      <c r="F702" s="4" t="s">
        <v>3560</v>
      </c>
      <c r="G702" s="4">
        <v>0</v>
      </c>
      <c r="H702">
        <v>0</v>
      </c>
      <c r="I702">
        <v>315093</v>
      </c>
      <c r="J702" s="6">
        <v>8.6624999999999996</v>
      </c>
      <c r="K702" s="4" t="str">
        <f t="shared" si="10"/>
        <v>Low</v>
      </c>
      <c r="L702" t="s">
        <v>3561</v>
      </c>
      <c r="M702" s="4" t="s">
        <v>3561</v>
      </c>
      <c r="N702" t="s">
        <v>457</v>
      </c>
      <c r="O702" t="s">
        <v>3569</v>
      </c>
      <c r="P702" s="4" t="s">
        <v>3573</v>
      </c>
      <c r="Q702" t="s">
        <v>3573</v>
      </c>
    </row>
    <row r="703" spans="1:18">
      <c r="A703" t="s">
        <v>838</v>
      </c>
      <c r="B703" t="s">
        <v>840</v>
      </c>
      <c r="C703" t="s">
        <v>2950</v>
      </c>
      <c r="D703" t="s">
        <v>3552</v>
      </c>
      <c r="E703">
        <v>17</v>
      </c>
      <c r="F703" s="4" t="s">
        <v>3560</v>
      </c>
      <c r="G703" s="4">
        <v>0</v>
      </c>
      <c r="H703">
        <v>0</v>
      </c>
      <c r="I703">
        <v>315086</v>
      </c>
      <c r="J703" s="6">
        <v>8.6624999999999996</v>
      </c>
      <c r="K703" s="4" t="str">
        <f t="shared" si="10"/>
        <v>Low</v>
      </c>
      <c r="L703" t="s">
        <v>3561</v>
      </c>
      <c r="M703" s="4" t="s">
        <v>3561</v>
      </c>
      <c r="N703" t="s">
        <v>457</v>
      </c>
      <c r="O703" t="s">
        <v>3569</v>
      </c>
      <c r="P703" s="4" t="s">
        <v>3573</v>
      </c>
      <c r="Q703" t="s">
        <v>3573</v>
      </c>
    </row>
    <row r="704" spans="1:18">
      <c r="A704" t="s">
        <v>838</v>
      </c>
      <c r="B704" t="s">
        <v>840</v>
      </c>
      <c r="C704" t="s">
        <v>2951</v>
      </c>
      <c r="D704" t="s">
        <v>3551</v>
      </c>
      <c r="E704">
        <v>21</v>
      </c>
      <c r="F704" s="4" t="s">
        <v>3555</v>
      </c>
      <c r="G704" s="4">
        <v>0</v>
      </c>
      <c r="H704">
        <v>0</v>
      </c>
      <c r="I704">
        <v>364846</v>
      </c>
      <c r="J704" s="6">
        <v>7.75</v>
      </c>
      <c r="K704" s="4" t="str">
        <f t="shared" si="10"/>
        <v>Low</v>
      </c>
      <c r="L704" t="s">
        <v>3561</v>
      </c>
      <c r="M704" s="4" t="s">
        <v>3561</v>
      </c>
      <c r="N704" t="s">
        <v>3567</v>
      </c>
      <c r="O704" t="s">
        <v>3569</v>
      </c>
      <c r="P704" s="4" t="s">
        <v>3573</v>
      </c>
      <c r="Q704" t="s">
        <v>3573</v>
      </c>
    </row>
    <row r="705" spans="1:18">
      <c r="A705" t="s">
        <v>838</v>
      </c>
      <c r="B705" t="s">
        <v>840</v>
      </c>
      <c r="C705" t="s">
        <v>2952</v>
      </c>
      <c r="D705" t="s">
        <v>3552</v>
      </c>
      <c r="E705">
        <v>21</v>
      </c>
      <c r="F705" s="4" t="s">
        <v>3555</v>
      </c>
      <c r="G705" s="4">
        <v>0</v>
      </c>
      <c r="H705">
        <v>0</v>
      </c>
      <c r="I705">
        <v>364858</v>
      </c>
      <c r="J705" s="6">
        <v>7.75</v>
      </c>
      <c r="K705" s="4" t="str">
        <f t="shared" si="10"/>
        <v>Low</v>
      </c>
      <c r="L705" t="s">
        <v>3561</v>
      </c>
      <c r="M705" s="4" t="s">
        <v>3561</v>
      </c>
      <c r="N705" t="s">
        <v>3567</v>
      </c>
      <c r="O705" t="s">
        <v>3569</v>
      </c>
      <c r="P705" s="4" t="s">
        <v>3573</v>
      </c>
      <c r="Q705" t="s">
        <v>3573</v>
      </c>
      <c r="R705" t="s">
        <v>671</v>
      </c>
    </row>
    <row r="706" spans="1:18">
      <c r="A706" t="s">
        <v>838</v>
      </c>
      <c r="B706" t="s">
        <v>840</v>
      </c>
      <c r="C706" t="s">
        <v>2953</v>
      </c>
      <c r="D706" t="s">
        <v>3552</v>
      </c>
      <c r="E706">
        <v>21</v>
      </c>
      <c r="F706" s="4" t="s">
        <v>3555</v>
      </c>
      <c r="G706" s="4">
        <v>0</v>
      </c>
      <c r="H706">
        <v>0</v>
      </c>
      <c r="I706" t="s">
        <v>672</v>
      </c>
      <c r="J706" s="6">
        <v>8.0500000000000007</v>
      </c>
      <c r="K706" s="4" t="str">
        <f t="shared" si="10"/>
        <v>Low</v>
      </c>
      <c r="L706" t="s">
        <v>3561</v>
      </c>
      <c r="M706" s="4" t="s">
        <v>3561</v>
      </c>
      <c r="N706" t="s">
        <v>457</v>
      </c>
      <c r="O706" t="s">
        <v>3569</v>
      </c>
      <c r="P706" s="4" t="s">
        <v>3573</v>
      </c>
      <c r="Q706" t="s">
        <v>3573</v>
      </c>
    </row>
    <row r="707" spans="1:18">
      <c r="A707" t="s">
        <v>838</v>
      </c>
      <c r="B707" t="s">
        <v>840</v>
      </c>
      <c r="C707" t="s">
        <v>2954</v>
      </c>
      <c r="D707" t="s">
        <v>3552</v>
      </c>
      <c r="E707">
        <v>28</v>
      </c>
      <c r="F707" s="4" t="s">
        <v>3555</v>
      </c>
      <c r="G707" s="4">
        <v>0</v>
      </c>
      <c r="H707">
        <v>1</v>
      </c>
      <c r="I707">
        <v>2689</v>
      </c>
      <c r="J707" s="6">
        <v>14.458299999999999</v>
      </c>
      <c r="K707" s="4" t="str">
        <f t="shared" ref="K707:K770" si="11">IF(J707&lt;=10,"Low",IF(J707&lt;=50,"Mid","High"))</f>
        <v>Mid</v>
      </c>
      <c r="L707" t="s">
        <v>3561</v>
      </c>
      <c r="M707" s="4" t="s">
        <v>3561</v>
      </c>
      <c r="N707" t="s">
        <v>3566</v>
      </c>
      <c r="O707" t="s">
        <v>3569</v>
      </c>
      <c r="P707" s="4" t="s">
        <v>3573</v>
      </c>
      <c r="Q707" t="s">
        <v>3573</v>
      </c>
      <c r="R707" t="s">
        <v>642</v>
      </c>
    </row>
    <row r="708" spans="1:18">
      <c r="A708" t="s">
        <v>838</v>
      </c>
      <c r="B708" t="s">
        <v>840</v>
      </c>
      <c r="C708" t="s">
        <v>2955</v>
      </c>
      <c r="D708" t="s">
        <v>3551</v>
      </c>
      <c r="E708">
        <v>28</v>
      </c>
      <c r="F708" s="4" t="s">
        <v>3555</v>
      </c>
      <c r="G708" s="4">
        <v>0</v>
      </c>
      <c r="H708">
        <v>1</v>
      </c>
      <c r="I708">
        <v>2689</v>
      </c>
      <c r="J708" s="6">
        <v>14.458299999999999</v>
      </c>
      <c r="K708" s="4" t="str">
        <f t="shared" si="11"/>
        <v>Mid</v>
      </c>
      <c r="L708" t="s">
        <v>3561</v>
      </c>
      <c r="M708" s="4" t="s">
        <v>3561</v>
      </c>
      <c r="N708" t="s">
        <v>3566</v>
      </c>
      <c r="O708" t="s">
        <v>3569</v>
      </c>
      <c r="P708" s="4" t="s">
        <v>3573</v>
      </c>
      <c r="Q708" t="s">
        <v>3573</v>
      </c>
      <c r="R708" t="s">
        <v>642</v>
      </c>
    </row>
    <row r="709" spans="1:18">
      <c r="A709" t="s">
        <v>838</v>
      </c>
      <c r="B709" t="s">
        <v>840</v>
      </c>
      <c r="C709" t="s">
        <v>2956</v>
      </c>
      <c r="D709" t="s">
        <v>3552</v>
      </c>
      <c r="E709">
        <v>28</v>
      </c>
      <c r="F709" s="4" t="s">
        <v>3555</v>
      </c>
      <c r="G709" s="4">
        <v>0</v>
      </c>
      <c r="H709">
        <v>0</v>
      </c>
      <c r="I709">
        <v>350042</v>
      </c>
      <c r="J709" s="6">
        <v>7.7957999999999998</v>
      </c>
      <c r="K709" s="4" t="str">
        <f t="shared" si="11"/>
        <v>Low</v>
      </c>
      <c r="L709" t="s">
        <v>3561</v>
      </c>
      <c r="M709" s="4" t="s">
        <v>3561</v>
      </c>
      <c r="N709" t="s">
        <v>457</v>
      </c>
      <c r="O709" t="s">
        <v>3569</v>
      </c>
      <c r="P709" s="4" t="s">
        <v>3573</v>
      </c>
      <c r="Q709" t="s">
        <v>3573</v>
      </c>
      <c r="R709" t="s">
        <v>673</v>
      </c>
    </row>
    <row r="710" spans="1:18">
      <c r="A710" t="s">
        <v>838</v>
      </c>
      <c r="B710" t="s">
        <v>840</v>
      </c>
      <c r="C710" t="s">
        <v>2957</v>
      </c>
      <c r="D710" t="s">
        <v>3552</v>
      </c>
      <c r="E710">
        <v>24</v>
      </c>
      <c r="F710" s="4" t="s">
        <v>3555</v>
      </c>
      <c r="G710" s="4">
        <v>0</v>
      </c>
      <c r="H710">
        <v>0</v>
      </c>
      <c r="I710">
        <v>350409</v>
      </c>
      <c r="J710" s="6">
        <v>7.8541999999999996</v>
      </c>
      <c r="K710" s="4" t="str">
        <f t="shared" si="11"/>
        <v>Low</v>
      </c>
      <c r="L710" t="s">
        <v>3561</v>
      </c>
      <c r="M710" s="4" t="s">
        <v>3561</v>
      </c>
      <c r="N710" t="s">
        <v>457</v>
      </c>
      <c r="O710" t="s">
        <v>3569</v>
      </c>
      <c r="P710" s="4" t="s">
        <v>3573</v>
      </c>
      <c r="Q710" t="s">
        <v>3573</v>
      </c>
      <c r="R710" t="s">
        <v>674</v>
      </c>
    </row>
    <row r="711" spans="1:18">
      <c r="A711" t="s">
        <v>838</v>
      </c>
      <c r="B711" t="s">
        <v>9</v>
      </c>
      <c r="C711" t="s">
        <v>2958</v>
      </c>
      <c r="D711" t="s">
        <v>3551</v>
      </c>
      <c r="E711">
        <v>16</v>
      </c>
      <c r="F711" s="4" t="s">
        <v>3560</v>
      </c>
      <c r="G711" s="4">
        <v>0</v>
      </c>
      <c r="H711">
        <v>0</v>
      </c>
      <c r="I711">
        <v>367231</v>
      </c>
      <c r="J711" s="6">
        <v>7.75</v>
      </c>
      <c r="K711" s="4" t="str">
        <f t="shared" si="11"/>
        <v>Low</v>
      </c>
      <c r="L711" t="s">
        <v>3561</v>
      </c>
      <c r="M711" s="4" t="s">
        <v>3561</v>
      </c>
      <c r="N711" t="s">
        <v>3567</v>
      </c>
      <c r="O711">
        <v>16</v>
      </c>
      <c r="P711" s="4" t="s">
        <v>3573</v>
      </c>
      <c r="Q711" t="s">
        <v>3573</v>
      </c>
      <c r="R711" t="s">
        <v>675</v>
      </c>
    </row>
    <row r="712" spans="1:18">
      <c r="A712" t="s">
        <v>838</v>
      </c>
      <c r="B712" t="s">
        <v>840</v>
      </c>
      <c r="C712" t="s">
        <v>2959</v>
      </c>
      <c r="D712" t="s">
        <v>3551</v>
      </c>
      <c r="E712">
        <v>37</v>
      </c>
      <c r="F712" s="4" t="s">
        <v>3557</v>
      </c>
      <c r="G712" s="4">
        <v>0</v>
      </c>
      <c r="H712">
        <v>0</v>
      </c>
      <c r="I712">
        <v>368364</v>
      </c>
      <c r="J712" s="6">
        <v>7.75</v>
      </c>
      <c r="K712" s="4" t="str">
        <f t="shared" si="11"/>
        <v>Low</v>
      </c>
      <c r="L712" t="s">
        <v>3561</v>
      </c>
      <c r="M712" s="4" t="s">
        <v>3561</v>
      </c>
      <c r="N712" t="s">
        <v>3567</v>
      </c>
      <c r="O712" t="s">
        <v>3569</v>
      </c>
      <c r="P712" s="4" t="s">
        <v>3573</v>
      </c>
      <c r="Q712" t="s">
        <v>3573</v>
      </c>
      <c r="R712" t="s">
        <v>676</v>
      </c>
    </row>
    <row r="713" spans="1:18">
      <c r="A713" t="s">
        <v>838</v>
      </c>
      <c r="B713" t="s">
        <v>840</v>
      </c>
      <c r="C713" t="s">
        <v>2960</v>
      </c>
      <c r="D713" t="s">
        <v>3552</v>
      </c>
      <c r="E713">
        <v>28</v>
      </c>
      <c r="F713" s="4" t="s">
        <v>3555</v>
      </c>
      <c r="G713" s="4">
        <v>0</v>
      </c>
      <c r="H713">
        <v>0</v>
      </c>
      <c r="I713">
        <v>392095</v>
      </c>
      <c r="J713" s="6">
        <v>7.25</v>
      </c>
      <c r="K713" s="4" t="str">
        <f t="shared" si="11"/>
        <v>Low</v>
      </c>
      <c r="L713" t="s">
        <v>3561</v>
      </c>
      <c r="M713" s="4" t="s">
        <v>3561</v>
      </c>
      <c r="N713" t="s">
        <v>457</v>
      </c>
      <c r="O713" t="s">
        <v>3569</v>
      </c>
      <c r="P713" s="4" t="s">
        <v>3573</v>
      </c>
      <c r="Q713" t="s">
        <v>3573</v>
      </c>
      <c r="R713" t="s">
        <v>677</v>
      </c>
    </row>
    <row r="714" spans="1:18">
      <c r="A714" t="s">
        <v>838</v>
      </c>
      <c r="B714" t="s">
        <v>840</v>
      </c>
      <c r="C714" t="s">
        <v>2961</v>
      </c>
      <c r="D714" t="s">
        <v>3552</v>
      </c>
      <c r="E714">
        <v>24</v>
      </c>
      <c r="F714" s="4" t="s">
        <v>3555</v>
      </c>
      <c r="G714" s="4">
        <v>0</v>
      </c>
      <c r="H714">
        <v>0</v>
      </c>
      <c r="I714">
        <v>343275</v>
      </c>
      <c r="J714" s="6">
        <v>8.0500000000000007</v>
      </c>
      <c r="K714" s="4" t="str">
        <f t="shared" si="11"/>
        <v>Low</v>
      </c>
      <c r="L714" t="s">
        <v>3561</v>
      </c>
      <c r="M714" s="4" t="s">
        <v>3561</v>
      </c>
      <c r="N714" t="s">
        <v>457</v>
      </c>
      <c r="O714" t="s">
        <v>3569</v>
      </c>
      <c r="P714" s="4" t="s">
        <v>3573</v>
      </c>
      <c r="Q714" t="s">
        <v>3573</v>
      </c>
      <c r="R714" t="s">
        <v>249</v>
      </c>
    </row>
    <row r="715" spans="1:18">
      <c r="A715" t="s">
        <v>838</v>
      </c>
      <c r="B715" t="s">
        <v>840</v>
      </c>
      <c r="C715" t="s">
        <v>2962</v>
      </c>
      <c r="D715" t="s">
        <v>3552</v>
      </c>
      <c r="E715">
        <v>21</v>
      </c>
      <c r="F715" s="4" t="s">
        <v>3555</v>
      </c>
      <c r="G715" s="4">
        <v>0</v>
      </c>
      <c r="H715">
        <v>0</v>
      </c>
      <c r="I715" t="s">
        <v>678</v>
      </c>
      <c r="J715" s="6">
        <v>7.7332999999999998</v>
      </c>
      <c r="K715" s="4" t="str">
        <f t="shared" si="11"/>
        <v>Low</v>
      </c>
      <c r="L715" t="s">
        <v>3561</v>
      </c>
      <c r="M715" s="4" t="s">
        <v>3561</v>
      </c>
      <c r="N715" t="s">
        <v>3567</v>
      </c>
      <c r="O715" t="s">
        <v>3569</v>
      </c>
      <c r="P715" s="4" t="s">
        <v>3573</v>
      </c>
      <c r="Q715" t="s">
        <v>3573</v>
      </c>
      <c r="R715" t="s">
        <v>679</v>
      </c>
    </row>
    <row r="716" spans="1:18">
      <c r="A716" t="s">
        <v>838</v>
      </c>
      <c r="B716" t="s">
        <v>9</v>
      </c>
      <c r="C716" t="s">
        <v>2963</v>
      </c>
      <c r="D716" t="s">
        <v>3552</v>
      </c>
      <c r="E716">
        <v>32</v>
      </c>
      <c r="F716" s="4" t="s">
        <v>3557</v>
      </c>
      <c r="G716" s="4">
        <v>0</v>
      </c>
      <c r="H716">
        <v>0</v>
      </c>
      <c r="I716">
        <v>1601</v>
      </c>
      <c r="J716" s="6">
        <v>56.495800000000003</v>
      </c>
      <c r="K716" s="4" t="str">
        <f t="shared" si="11"/>
        <v>High</v>
      </c>
      <c r="L716" t="s">
        <v>3561</v>
      </c>
      <c r="M716" s="4" t="s">
        <v>3561</v>
      </c>
      <c r="N716" t="s">
        <v>457</v>
      </c>
      <c r="O716" t="s">
        <v>62</v>
      </c>
      <c r="P716" s="4" t="s">
        <v>3573</v>
      </c>
      <c r="Q716" t="s">
        <v>3573</v>
      </c>
      <c r="R716" t="s">
        <v>656</v>
      </c>
    </row>
    <row r="717" spans="1:18">
      <c r="A717" t="s">
        <v>838</v>
      </c>
      <c r="B717" t="s">
        <v>840</v>
      </c>
      <c r="C717" t="s">
        <v>2964</v>
      </c>
      <c r="D717" t="s">
        <v>3552</v>
      </c>
      <c r="E717">
        <v>29</v>
      </c>
      <c r="F717" s="4" t="s">
        <v>3555</v>
      </c>
      <c r="G717" s="4">
        <v>0</v>
      </c>
      <c r="H717">
        <v>0</v>
      </c>
      <c r="I717">
        <v>343276</v>
      </c>
      <c r="J717" s="6">
        <v>8.0500000000000007</v>
      </c>
      <c r="K717" s="4" t="str">
        <f t="shared" si="11"/>
        <v>Low</v>
      </c>
      <c r="L717" t="s">
        <v>3561</v>
      </c>
      <c r="M717" s="4" t="s">
        <v>3561</v>
      </c>
      <c r="N717" t="s">
        <v>457</v>
      </c>
      <c r="O717" t="s">
        <v>3569</v>
      </c>
      <c r="P717" s="4" t="s">
        <v>3573</v>
      </c>
      <c r="Q717" t="s">
        <v>3573</v>
      </c>
    </row>
    <row r="718" spans="1:18">
      <c r="A718" t="s">
        <v>838</v>
      </c>
      <c r="B718" t="s">
        <v>840</v>
      </c>
      <c r="C718" t="s">
        <v>2965</v>
      </c>
      <c r="D718" t="s">
        <v>3552</v>
      </c>
      <c r="E718">
        <v>26</v>
      </c>
      <c r="F718" s="4" t="s">
        <v>3555</v>
      </c>
      <c r="G718" s="4">
        <v>0</v>
      </c>
      <c r="H718">
        <v>1</v>
      </c>
      <c r="I718">
        <v>2680</v>
      </c>
      <c r="J718" s="6">
        <v>14.4542</v>
      </c>
      <c r="K718" s="4" t="str">
        <f t="shared" si="11"/>
        <v>Mid</v>
      </c>
      <c r="L718" t="s">
        <v>3561</v>
      </c>
      <c r="M718" s="4" t="s">
        <v>3561</v>
      </c>
      <c r="N718" t="s">
        <v>3566</v>
      </c>
      <c r="O718" t="s">
        <v>3569</v>
      </c>
      <c r="P718" s="4" t="s">
        <v>3573</v>
      </c>
      <c r="Q718" t="s">
        <v>3573</v>
      </c>
      <c r="R718" t="s">
        <v>680</v>
      </c>
    </row>
    <row r="719" spans="1:18">
      <c r="A719" t="s">
        <v>838</v>
      </c>
      <c r="B719" t="s">
        <v>840</v>
      </c>
      <c r="C719" t="s">
        <v>2966</v>
      </c>
      <c r="D719" t="s">
        <v>3552</v>
      </c>
      <c r="E719">
        <v>18</v>
      </c>
      <c r="F719" s="4" t="s">
        <v>3555</v>
      </c>
      <c r="G719" s="4">
        <v>0</v>
      </c>
      <c r="H719">
        <v>1</v>
      </c>
      <c r="I719">
        <v>2680</v>
      </c>
      <c r="J719" s="6">
        <v>14.4542</v>
      </c>
      <c r="K719" s="4" t="str">
        <f t="shared" si="11"/>
        <v>Mid</v>
      </c>
      <c r="L719" t="s">
        <v>3561</v>
      </c>
      <c r="M719" s="4" t="s">
        <v>3561</v>
      </c>
      <c r="N719" t="s">
        <v>3566</v>
      </c>
      <c r="O719" t="s">
        <v>3569</v>
      </c>
      <c r="P719" s="4" t="s">
        <v>3573</v>
      </c>
      <c r="Q719" t="s">
        <v>3573</v>
      </c>
      <c r="R719" t="s">
        <v>680</v>
      </c>
    </row>
    <row r="720" spans="1:18">
      <c r="A720" t="s">
        <v>838</v>
      </c>
      <c r="B720" t="s">
        <v>840</v>
      </c>
      <c r="C720" t="s">
        <v>2967</v>
      </c>
      <c r="D720" t="s">
        <v>3552</v>
      </c>
      <c r="E720">
        <v>20</v>
      </c>
      <c r="F720" s="4" t="s">
        <v>3555</v>
      </c>
      <c r="G720" s="4">
        <v>0</v>
      </c>
      <c r="H720">
        <v>0</v>
      </c>
      <c r="I720" t="s">
        <v>681</v>
      </c>
      <c r="J720" s="6">
        <v>7.05</v>
      </c>
      <c r="K720" s="4" t="str">
        <f t="shared" si="11"/>
        <v>Low</v>
      </c>
      <c r="L720" t="s">
        <v>3561</v>
      </c>
      <c r="M720" s="4" t="s">
        <v>3561</v>
      </c>
      <c r="N720" t="s">
        <v>457</v>
      </c>
      <c r="O720" t="s">
        <v>3569</v>
      </c>
      <c r="P720" s="4" t="s">
        <v>3573</v>
      </c>
      <c r="Q720" t="s">
        <v>3573</v>
      </c>
      <c r="R720" t="s">
        <v>682</v>
      </c>
    </row>
    <row r="721" spans="1:18">
      <c r="A721" t="s">
        <v>838</v>
      </c>
      <c r="B721" t="s">
        <v>9</v>
      </c>
      <c r="C721" t="s">
        <v>2968</v>
      </c>
      <c r="D721" t="s">
        <v>3552</v>
      </c>
      <c r="E721">
        <v>18</v>
      </c>
      <c r="F721" s="4" t="s">
        <v>3555</v>
      </c>
      <c r="G721" s="4">
        <v>0</v>
      </c>
      <c r="H721">
        <v>0</v>
      </c>
      <c r="I721" t="s">
        <v>683</v>
      </c>
      <c r="J721" s="6">
        <v>8.0500000000000007</v>
      </c>
      <c r="K721" s="4" t="str">
        <f t="shared" si="11"/>
        <v>Low</v>
      </c>
      <c r="L721" t="s">
        <v>3561</v>
      </c>
      <c r="M721" s="4" t="s">
        <v>3561</v>
      </c>
      <c r="N721" t="s">
        <v>457</v>
      </c>
      <c r="O721">
        <v>12</v>
      </c>
      <c r="P721" s="4" t="s">
        <v>3573</v>
      </c>
      <c r="Q721" t="s">
        <v>3573</v>
      </c>
      <c r="R721" t="s">
        <v>684</v>
      </c>
    </row>
    <row r="722" spans="1:18">
      <c r="A722" t="s">
        <v>838</v>
      </c>
      <c r="B722" t="s">
        <v>840</v>
      </c>
      <c r="C722" t="s">
        <v>2969</v>
      </c>
      <c r="D722" t="s">
        <v>3552</v>
      </c>
      <c r="E722">
        <v>24</v>
      </c>
      <c r="F722" s="4" t="s">
        <v>3555</v>
      </c>
      <c r="G722" s="4">
        <v>0</v>
      </c>
      <c r="H722">
        <v>0</v>
      </c>
      <c r="I722">
        <v>371109</v>
      </c>
      <c r="J722" s="6">
        <v>7.25</v>
      </c>
      <c r="K722" s="4" t="str">
        <f t="shared" si="11"/>
        <v>Low</v>
      </c>
      <c r="L722" t="s">
        <v>3561</v>
      </c>
      <c r="M722" s="4" t="s">
        <v>3561</v>
      </c>
      <c r="N722" t="s">
        <v>3567</v>
      </c>
      <c r="O722" t="s">
        <v>3569</v>
      </c>
      <c r="P722" s="4" t="s">
        <v>3573</v>
      </c>
      <c r="Q722" t="s">
        <v>3573</v>
      </c>
      <c r="R722" t="s">
        <v>685</v>
      </c>
    </row>
    <row r="723" spans="1:18">
      <c r="A723" t="s">
        <v>838</v>
      </c>
      <c r="B723" t="s">
        <v>840</v>
      </c>
      <c r="C723" t="s">
        <v>2970</v>
      </c>
      <c r="D723" t="s">
        <v>3552</v>
      </c>
      <c r="E723">
        <v>36</v>
      </c>
      <c r="F723" s="4" t="s">
        <v>3557</v>
      </c>
      <c r="G723" s="4">
        <v>0</v>
      </c>
      <c r="H723">
        <v>0</v>
      </c>
      <c r="I723">
        <v>349210</v>
      </c>
      <c r="J723" s="6">
        <v>7.4958</v>
      </c>
      <c r="K723" s="4" t="str">
        <f t="shared" si="11"/>
        <v>Low</v>
      </c>
      <c r="L723" t="s">
        <v>3561</v>
      </c>
      <c r="M723" s="4" t="s">
        <v>3561</v>
      </c>
      <c r="N723" t="s">
        <v>457</v>
      </c>
      <c r="O723" t="s">
        <v>3569</v>
      </c>
      <c r="P723" s="4" t="s">
        <v>3573</v>
      </c>
      <c r="Q723" t="s">
        <v>3573</v>
      </c>
      <c r="R723" t="s">
        <v>635</v>
      </c>
    </row>
    <row r="724" spans="1:18">
      <c r="A724" t="s">
        <v>838</v>
      </c>
      <c r="B724" t="s">
        <v>840</v>
      </c>
      <c r="C724" t="s">
        <v>2971</v>
      </c>
      <c r="D724" t="s">
        <v>3552</v>
      </c>
      <c r="E724">
        <v>24</v>
      </c>
      <c r="F724" s="4" t="s">
        <v>3555</v>
      </c>
      <c r="G724" s="4">
        <v>0</v>
      </c>
      <c r="H724">
        <v>0</v>
      </c>
      <c r="I724">
        <v>349209</v>
      </c>
      <c r="J724" s="6">
        <v>7.4958</v>
      </c>
      <c r="K724" s="4" t="str">
        <f t="shared" si="11"/>
        <v>Low</v>
      </c>
      <c r="L724" t="s">
        <v>3561</v>
      </c>
      <c r="M724" s="4" t="s">
        <v>3561</v>
      </c>
      <c r="N724" t="s">
        <v>457</v>
      </c>
      <c r="O724" t="s">
        <v>3569</v>
      </c>
      <c r="P724" s="4" t="s">
        <v>3573</v>
      </c>
      <c r="Q724" t="s">
        <v>3573</v>
      </c>
    </row>
    <row r="725" spans="1:18">
      <c r="A725" t="s">
        <v>838</v>
      </c>
      <c r="B725" t="s">
        <v>840</v>
      </c>
      <c r="C725" t="s">
        <v>2972</v>
      </c>
      <c r="D725" t="s">
        <v>3552</v>
      </c>
      <c r="E725">
        <v>31</v>
      </c>
      <c r="F725" s="4" t="s">
        <v>3557</v>
      </c>
      <c r="G725" s="4">
        <v>0</v>
      </c>
      <c r="H725">
        <v>0</v>
      </c>
      <c r="I725">
        <v>21332</v>
      </c>
      <c r="J725" s="6">
        <v>7.7332999999999998</v>
      </c>
      <c r="K725" s="4" t="str">
        <f t="shared" si="11"/>
        <v>Low</v>
      </c>
      <c r="L725" t="s">
        <v>3561</v>
      </c>
      <c r="M725" s="4" t="s">
        <v>3561</v>
      </c>
      <c r="N725" t="s">
        <v>3567</v>
      </c>
      <c r="O725" t="s">
        <v>3569</v>
      </c>
      <c r="P725" s="4" t="s">
        <v>3573</v>
      </c>
      <c r="Q725" t="s">
        <v>3573</v>
      </c>
      <c r="R725" t="s">
        <v>111</v>
      </c>
    </row>
    <row r="726" spans="1:18">
      <c r="A726" t="s">
        <v>838</v>
      </c>
      <c r="B726" t="s">
        <v>840</v>
      </c>
      <c r="C726" t="s">
        <v>2973</v>
      </c>
      <c r="D726" t="s">
        <v>3552</v>
      </c>
      <c r="E726">
        <v>31</v>
      </c>
      <c r="F726" s="4" t="s">
        <v>3557</v>
      </c>
      <c r="G726" s="4">
        <v>0</v>
      </c>
      <c r="H726">
        <v>0</v>
      </c>
      <c r="I726">
        <v>335097</v>
      </c>
      <c r="J726" s="6">
        <v>7.75</v>
      </c>
      <c r="K726" s="4" t="str">
        <f t="shared" si="11"/>
        <v>Low</v>
      </c>
      <c r="L726" t="s">
        <v>3561</v>
      </c>
      <c r="M726" s="4" t="s">
        <v>3561</v>
      </c>
      <c r="N726" t="s">
        <v>3567</v>
      </c>
      <c r="O726" t="s">
        <v>3569</v>
      </c>
      <c r="P726" s="4" t="s">
        <v>3573</v>
      </c>
      <c r="Q726" t="s">
        <v>3573</v>
      </c>
      <c r="R726" t="s">
        <v>686</v>
      </c>
    </row>
    <row r="727" spans="1:18">
      <c r="A727" t="s">
        <v>838</v>
      </c>
      <c r="B727" t="s">
        <v>9</v>
      </c>
      <c r="C727" t="s">
        <v>2974</v>
      </c>
      <c r="D727" t="s">
        <v>3551</v>
      </c>
      <c r="E727">
        <v>22</v>
      </c>
      <c r="F727" s="4" t="s">
        <v>3555</v>
      </c>
      <c r="G727" s="4">
        <v>0</v>
      </c>
      <c r="H727">
        <v>0</v>
      </c>
      <c r="I727">
        <v>370373</v>
      </c>
      <c r="J727" s="6">
        <v>7.75</v>
      </c>
      <c r="K727" s="4" t="str">
        <f t="shared" si="11"/>
        <v>Low</v>
      </c>
      <c r="L727" t="s">
        <v>3561</v>
      </c>
      <c r="M727" s="4" t="s">
        <v>3561</v>
      </c>
      <c r="N727" t="s">
        <v>3567</v>
      </c>
      <c r="O727">
        <v>13</v>
      </c>
      <c r="P727" s="4" t="s">
        <v>3573</v>
      </c>
      <c r="Q727" t="s">
        <v>3573</v>
      </c>
      <c r="R727" t="s">
        <v>687</v>
      </c>
    </row>
    <row r="728" spans="1:18">
      <c r="A728" t="s">
        <v>838</v>
      </c>
      <c r="B728" t="s">
        <v>840</v>
      </c>
      <c r="C728" t="s">
        <v>2974</v>
      </c>
      <c r="D728" t="s">
        <v>3551</v>
      </c>
      <c r="E728">
        <v>30</v>
      </c>
      <c r="F728" s="4" t="s">
        <v>3557</v>
      </c>
      <c r="G728" s="4">
        <v>0</v>
      </c>
      <c r="H728">
        <v>0</v>
      </c>
      <c r="I728">
        <v>330972</v>
      </c>
      <c r="J728" s="6">
        <v>7.6292</v>
      </c>
      <c r="K728" s="4" t="str">
        <f t="shared" si="11"/>
        <v>Low</v>
      </c>
      <c r="L728" t="s">
        <v>3561</v>
      </c>
      <c r="M728" s="4" t="s">
        <v>3561</v>
      </c>
      <c r="N728" t="s">
        <v>3567</v>
      </c>
      <c r="O728" t="s">
        <v>3569</v>
      </c>
      <c r="P728" s="4" t="s">
        <v>3573</v>
      </c>
      <c r="Q728" t="s">
        <v>3573</v>
      </c>
      <c r="R728" t="s">
        <v>687</v>
      </c>
    </row>
    <row r="729" spans="1:18">
      <c r="A729" t="s">
        <v>838</v>
      </c>
      <c r="B729" t="s">
        <v>840</v>
      </c>
      <c r="C729" t="s">
        <v>2975</v>
      </c>
      <c r="D729" t="s">
        <v>3552</v>
      </c>
      <c r="E729">
        <v>71</v>
      </c>
      <c r="F729" s="4" t="s">
        <v>3559</v>
      </c>
      <c r="G729" s="4">
        <v>0</v>
      </c>
      <c r="H729">
        <v>0</v>
      </c>
      <c r="I729">
        <v>370369</v>
      </c>
      <c r="J729" s="6">
        <v>7.75</v>
      </c>
      <c r="K729" s="4" t="str">
        <f t="shared" si="11"/>
        <v>Low</v>
      </c>
      <c r="L729" t="s">
        <v>3561</v>
      </c>
      <c r="M729" s="4" t="s">
        <v>3561</v>
      </c>
      <c r="N729" t="s">
        <v>3567</v>
      </c>
      <c r="O729" t="s">
        <v>3569</v>
      </c>
      <c r="P729" s="4">
        <v>171</v>
      </c>
      <c r="Q729" t="s">
        <v>3574</v>
      </c>
    </row>
    <row r="730" spans="1:18">
      <c r="A730" t="s">
        <v>838</v>
      </c>
      <c r="B730" t="s">
        <v>840</v>
      </c>
      <c r="C730" t="s">
        <v>2976</v>
      </c>
      <c r="D730" t="s">
        <v>3552</v>
      </c>
      <c r="E730">
        <v>43</v>
      </c>
      <c r="F730" s="4" t="s">
        <v>3557</v>
      </c>
      <c r="G730" s="4">
        <v>0</v>
      </c>
      <c r="H730">
        <v>0</v>
      </c>
      <c r="I730" t="s">
        <v>688</v>
      </c>
      <c r="J730" s="6">
        <v>8.0500000000000007</v>
      </c>
      <c r="K730" s="4" t="str">
        <f t="shared" si="11"/>
        <v>Low</v>
      </c>
      <c r="L730" t="s">
        <v>3561</v>
      </c>
      <c r="M730" s="4" t="s">
        <v>3561</v>
      </c>
      <c r="N730" t="s">
        <v>457</v>
      </c>
      <c r="O730" t="s">
        <v>3569</v>
      </c>
      <c r="P730" s="4" t="s">
        <v>3573</v>
      </c>
      <c r="Q730" t="s">
        <v>3573</v>
      </c>
    </row>
    <row r="731" spans="1:18">
      <c r="A731" t="s">
        <v>838</v>
      </c>
      <c r="B731" t="s">
        <v>840</v>
      </c>
      <c r="C731" t="s">
        <v>2977</v>
      </c>
      <c r="D731" t="s">
        <v>3552</v>
      </c>
      <c r="E731">
        <v>35</v>
      </c>
      <c r="F731" s="4" t="s">
        <v>3557</v>
      </c>
      <c r="G731" s="4">
        <v>0</v>
      </c>
      <c r="H731">
        <v>0</v>
      </c>
      <c r="I731">
        <v>349230</v>
      </c>
      <c r="J731" s="6">
        <v>7.8958000000000004</v>
      </c>
      <c r="K731" s="4" t="str">
        <f t="shared" si="11"/>
        <v>Low</v>
      </c>
      <c r="L731" t="s">
        <v>3561</v>
      </c>
      <c r="M731" s="4" t="s">
        <v>3561</v>
      </c>
      <c r="N731" t="s">
        <v>457</v>
      </c>
      <c r="O731" t="s">
        <v>3569</v>
      </c>
      <c r="P731" s="4" t="s">
        <v>3573</v>
      </c>
      <c r="Q731" t="s">
        <v>3573</v>
      </c>
      <c r="R731" t="s">
        <v>689</v>
      </c>
    </row>
    <row r="732" spans="1:18">
      <c r="A732" t="s">
        <v>838</v>
      </c>
      <c r="B732" t="s">
        <v>840</v>
      </c>
      <c r="C732" t="s">
        <v>2978</v>
      </c>
      <c r="D732" t="s">
        <v>3552</v>
      </c>
      <c r="E732">
        <v>27</v>
      </c>
      <c r="F732" s="4" t="s">
        <v>3555</v>
      </c>
      <c r="G732" s="4">
        <v>0</v>
      </c>
      <c r="H732">
        <v>0</v>
      </c>
      <c r="I732">
        <v>349229</v>
      </c>
      <c r="J732" s="6">
        <v>7.8958000000000004</v>
      </c>
      <c r="K732" s="4" t="str">
        <f t="shared" si="11"/>
        <v>Low</v>
      </c>
      <c r="L732" t="s">
        <v>3561</v>
      </c>
      <c r="M732" s="4" t="s">
        <v>3561</v>
      </c>
      <c r="N732" t="s">
        <v>457</v>
      </c>
      <c r="O732" t="s">
        <v>3569</v>
      </c>
      <c r="P732" s="4" t="s">
        <v>3573</v>
      </c>
      <c r="Q732" t="s">
        <v>3573</v>
      </c>
      <c r="R732" t="s">
        <v>689</v>
      </c>
    </row>
    <row r="733" spans="1:18">
      <c r="A733" t="s">
        <v>838</v>
      </c>
      <c r="B733" t="s">
        <v>840</v>
      </c>
      <c r="C733" t="s">
        <v>2979</v>
      </c>
      <c r="D733" t="s">
        <v>3552</v>
      </c>
      <c r="E733">
        <v>19</v>
      </c>
      <c r="F733" s="4" t="s">
        <v>3555</v>
      </c>
      <c r="G733" s="4">
        <v>0</v>
      </c>
      <c r="H733">
        <v>0</v>
      </c>
      <c r="I733">
        <v>349231</v>
      </c>
      <c r="J733" s="6">
        <v>7.8958000000000004</v>
      </c>
      <c r="K733" s="4" t="str">
        <f t="shared" si="11"/>
        <v>Low</v>
      </c>
      <c r="L733" t="s">
        <v>3561</v>
      </c>
      <c r="M733" s="4" t="s">
        <v>3561</v>
      </c>
      <c r="N733" t="s">
        <v>457</v>
      </c>
      <c r="O733" t="s">
        <v>3569</v>
      </c>
      <c r="P733" s="4" t="s">
        <v>3573</v>
      </c>
      <c r="Q733" t="s">
        <v>3573</v>
      </c>
      <c r="R733" t="s">
        <v>689</v>
      </c>
    </row>
    <row r="734" spans="1:18">
      <c r="A734" t="s">
        <v>838</v>
      </c>
      <c r="B734" t="s">
        <v>840</v>
      </c>
      <c r="C734" t="s">
        <v>2980</v>
      </c>
      <c r="D734" t="s">
        <v>3552</v>
      </c>
      <c r="E734">
        <v>30</v>
      </c>
      <c r="F734" s="4" t="s">
        <v>3557</v>
      </c>
      <c r="G734" s="4">
        <v>0</v>
      </c>
      <c r="H734">
        <v>0</v>
      </c>
      <c r="I734" t="s">
        <v>690</v>
      </c>
      <c r="J734" s="6">
        <v>8.0500000000000007</v>
      </c>
      <c r="K734" s="4" t="str">
        <f t="shared" si="11"/>
        <v>Low</v>
      </c>
      <c r="L734" t="s">
        <v>3561</v>
      </c>
      <c r="M734" s="4" t="s">
        <v>3561</v>
      </c>
      <c r="N734" t="s">
        <v>457</v>
      </c>
      <c r="O734" t="s">
        <v>3569</v>
      </c>
      <c r="P734" s="4" t="s">
        <v>3573</v>
      </c>
      <c r="Q734" t="s">
        <v>3573</v>
      </c>
      <c r="R734" t="s">
        <v>249</v>
      </c>
    </row>
    <row r="735" spans="1:18">
      <c r="A735" t="s">
        <v>838</v>
      </c>
      <c r="B735" t="s">
        <v>9</v>
      </c>
      <c r="C735" t="s">
        <v>2981</v>
      </c>
      <c r="D735" t="s">
        <v>3552</v>
      </c>
      <c r="E735">
        <v>9</v>
      </c>
      <c r="F735" s="4" t="s">
        <v>3556</v>
      </c>
      <c r="G735" s="4">
        <v>1</v>
      </c>
      <c r="H735">
        <v>1</v>
      </c>
      <c r="I735" t="s">
        <v>691</v>
      </c>
      <c r="J735" s="6">
        <v>15.9</v>
      </c>
      <c r="K735" s="4" t="str">
        <f t="shared" si="11"/>
        <v>Mid</v>
      </c>
      <c r="L735" t="s">
        <v>3561</v>
      </c>
      <c r="M735" s="4" t="s">
        <v>3561</v>
      </c>
      <c r="N735" t="s">
        <v>457</v>
      </c>
      <c r="O735">
        <v>2</v>
      </c>
      <c r="P735" s="4" t="s">
        <v>3573</v>
      </c>
      <c r="Q735" t="s">
        <v>3573</v>
      </c>
      <c r="R735" t="s">
        <v>692</v>
      </c>
    </row>
    <row r="736" spans="1:18">
      <c r="A736" t="s">
        <v>838</v>
      </c>
      <c r="B736" t="s">
        <v>9</v>
      </c>
      <c r="C736" t="s">
        <v>2982</v>
      </c>
      <c r="D736" t="s">
        <v>3552</v>
      </c>
      <c r="E736">
        <v>3</v>
      </c>
      <c r="F736" s="4" t="s">
        <v>3556</v>
      </c>
      <c r="G736" s="4">
        <v>1</v>
      </c>
      <c r="H736">
        <v>1</v>
      </c>
      <c r="I736" t="s">
        <v>691</v>
      </c>
      <c r="J736" s="6">
        <v>15.9</v>
      </c>
      <c r="K736" s="4" t="str">
        <f t="shared" si="11"/>
        <v>Mid</v>
      </c>
      <c r="L736" t="s">
        <v>3561</v>
      </c>
      <c r="M736" s="4" t="s">
        <v>3561</v>
      </c>
      <c r="N736" t="s">
        <v>457</v>
      </c>
      <c r="O736">
        <v>2</v>
      </c>
      <c r="P736" s="4" t="s">
        <v>3573</v>
      </c>
      <c r="Q736" t="s">
        <v>3573</v>
      </c>
      <c r="R736" t="s">
        <v>692</v>
      </c>
    </row>
    <row r="737" spans="1:18">
      <c r="A737" t="s">
        <v>838</v>
      </c>
      <c r="B737" t="s">
        <v>9</v>
      </c>
      <c r="C737" t="s">
        <v>2983</v>
      </c>
      <c r="D737" t="s">
        <v>3551</v>
      </c>
      <c r="E737">
        <v>36</v>
      </c>
      <c r="F737" s="4" t="s">
        <v>3557</v>
      </c>
      <c r="G737" s="4">
        <v>2</v>
      </c>
      <c r="H737">
        <v>0</v>
      </c>
      <c r="I737" t="s">
        <v>691</v>
      </c>
      <c r="J737" s="6">
        <v>15.9</v>
      </c>
      <c r="K737" s="4" t="str">
        <f t="shared" si="11"/>
        <v>Mid</v>
      </c>
      <c r="L737" t="s">
        <v>3561</v>
      </c>
      <c r="M737" s="4" t="s">
        <v>3561</v>
      </c>
      <c r="N737" t="s">
        <v>457</v>
      </c>
      <c r="O737">
        <v>2</v>
      </c>
      <c r="P737" s="4" t="s">
        <v>3573</v>
      </c>
      <c r="Q737" t="s">
        <v>3573</v>
      </c>
      <c r="R737" t="s">
        <v>692</v>
      </c>
    </row>
    <row r="738" spans="1:18">
      <c r="A738" t="s">
        <v>838</v>
      </c>
      <c r="B738" t="s">
        <v>840</v>
      </c>
      <c r="C738" t="s">
        <v>2984</v>
      </c>
      <c r="D738" t="s">
        <v>3552</v>
      </c>
      <c r="E738">
        <v>59</v>
      </c>
      <c r="F738" s="4" t="s">
        <v>3557</v>
      </c>
      <c r="G738" s="4">
        <v>0</v>
      </c>
      <c r="H738">
        <v>0</v>
      </c>
      <c r="I738">
        <v>364500</v>
      </c>
      <c r="J738" s="6">
        <v>7.25</v>
      </c>
      <c r="K738" s="4" t="str">
        <f t="shared" si="11"/>
        <v>Low</v>
      </c>
      <c r="L738" t="s">
        <v>3561</v>
      </c>
      <c r="M738" s="4" t="s">
        <v>3561</v>
      </c>
      <c r="N738" t="s">
        <v>457</v>
      </c>
      <c r="O738" t="s">
        <v>3569</v>
      </c>
      <c r="P738" s="4" t="s">
        <v>3573</v>
      </c>
      <c r="Q738" t="s">
        <v>3573</v>
      </c>
      <c r="R738" t="s">
        <v>693</v>
      </c>
    </row>
    <row r="739" spans="1:18">
      <c r="A739" t="s">
        <v>838</v>
      </c>
      <c r="B739" t="s">
        <v>840</v>
      </c>
      <c r="C739" t="s">
        <v>2985</v>
      </c>
      <c r="D739" t="s">
        <v>3552</v>
      </c>
      <c r="E739">
        <v>19</v>
      </c>
      <c r="F739" s="4" t="s">
        <v>3555</v>
      </c>
      <c r="G739" s="4">
        <v>0</v>
      </c>
      <c r="H739">
        <v>0</v>
      </c>
      <c r="I739" t="s">
        <v>694</v>
      </c>
      <c r="J739" s="6">
        <v>8.1583000000000006</v>
      </c>
      <c r="K739" s="4" t="str">
        <f t="shared" si="11"/>
        <v>Low</v>
      </c>
      <c r="L739" t="s">
        <v>3561</v>
      </c>
      <c r="M739" s="4" t="s">
        <v>3561</v>
      </c>
      <c r="N739" t="s">
        <v>457</v>
      </c>
      <c r="O739" t="s">
        <v>3569</v>
      </c>
      <c r="P739" s="4" t="s">
        <v>3573</v>
      </c>
      <c r="Q739" t="s">
        <v>3573</v>
      </c>
      <c r="R739" t="s">
        <v>695</v>
      </c>
    </row>
    <row r="740" spans="1:18">
      <c r="A740" t="s">
        <v>838</v>
      </c>
      <c r="B740" t="s">
        <v>9</v>
      </c>
      <c r="C740" t="s">
        <v>2986</v>
      </c>
      <c r="D740" t="s">
        <v>3551</v>
      </c>
      <c r="E740">
        <v>17</v>
      </c>
      <c r="F740" s="4" t="s">
        <v>3560</v>
      </c>
      <c r="G740" s="4">
        <v>1</v>
      </c>
      <c r="H740">
        <v>0</v>
      </c>
      <c r="I740">
        <v>371362</v>
      </c>
      <c r="J740" s="6">
        <v>16.100000000000001</v>
      </c>
      <c r="K740" s="4" t="str">
        <f t="shared" si="11"/>
        <v>Mid</v>
      </c>
      <c r="L740" t="s">
        <v>3561</v>
      </c>
      <c r="M740" s="4" t="s">
        <v>3561</v>
      </c>
      <c r="N740" t="s">
        <v>457</v>
      </c>
      <c r="O740">
        <v>12</v>
      </c>
      <c r="P740" s="4" t="s">
        <v>3573</v>
      </c>
      <c r="Q740" t="s">
        <v>3573</v>
      </c>
      <c r="R740" t="s">
        <v>696</v>
      </c>
    </row>
    <row r="741" spans="1:18">
      <c r="A741" t="s">
        <v>838</v>
      </c>
      <c r="B741" t="s">
        <v>840</v>
      </c>
      <c r="C741" t="s">
        <v>2987</v>
      </c>
      <c r="D741" t="s">
        <v>3552</v>
      </c>
      <c r="E741">
        <v>44</v>
      </c>
      <c r="F741" s="4" t="s">
        <v>3557</v>
      </c>
      <c r="G741" s="4">
        <v>1</v>
      </c>
      <c r="H741">
        <v>0</v>
      </c>
      <c r="I741">
        <v>371362</v>
      </c>
      <c r="J741" s="6">
        <v>16.100000000000001</v>
      </c>
      <c r="K741" s="4" t="str">
        <f t="shared" si="11"/>
        <v>Mid</v>
      </c>
      <c r="L741" t="s">
        <v>3561</v>
      </c>
      <c r="M741" s="4" t="s">
        <v>3561</v>
      </c>
      <c r="N741" t="s">
        <v>457</v>
      </c>
      <c r="O741" t="s">
        <v>3569</v>
      </c>
      <c r="P741" s="4" t="s">
        <v>3573</v>
      </c>
      <c r="Q741" t="s">
        <v>3573</v>
      </c>
      <c r="R741" t="s">
        <v>696</v>
      </c>
    </row>
    <row r="742" spans="1:18">
      <c r="A742" t="s">
        <v>838</v>
      </c>
      <c r="B742" t="s">
        <v>840</v>
      </c>
      <c r="C742" t="s">
        <v>2988</v>
      </c>
      <c r="D742" t="s">
        <v>3552</v>
      </c>
      <c r="E742">
        <v>17</v>
      </c>
      <c r="F742" s="4" t="s">
        <v>3560</v>
      </c>
      <c r="G742" s="4">
        <v>0</v>
      </c>
      <c r="H742">
        <v>0</v>
      </c>
      <c r="I742">
        <v>315090</v>
      </c>
      <c r="J742" s="6">
        <v>8.6624999999999996</v>
      </c>
      <c r="K742" s="4" t="str">
        <f t="shared" si="11"/>
        <v>Low</v>
      </c>
      <c r="L742" t="s">
        <v>3561</v>
      </c>
      <c r="M742" s="4" t="s">
        <v>3561</v>
      </c>
      <c r="N742" t="s">
        <v>457</v>
      </c>
      <c r="O742" t="s">
        <v>3569</v>
      </c>
      <c r="P742" s="4" t="s">
        <v>3573</v>
      </c>
      <c r="Q742" t="s">
        <v>3573</v>
      </c>
      <c r="R742" t="s">
        <v>697</v>
      </c>
    </row>
    <row r="743" spans="1:18">
      <c r="A743" t="s">
        <v>838</v>
      </c>
      <c r="B743" t="s">
        <v>840</v>
      </c>
      <c r="C743" t="s">
        <v>2989</v>
      </c>
      <c r="D743" t="s">
        <v>3552</v>
      </c>
      <c r="E743">
        <v>23</v>
      </c>
      <c r="F743" s="4" t="s">
        <v>3555</v>
      </c>
      <c r="G743" s="4">
        <v>0</v>
      </c>
      <c r="H743">
        <v>0</v>
      </c>
      <c r="I743">
        <v>2698</v>
      </c>
      <c r="J743" s="6">
        <v>7.2249999999999996</v>
      </c>
      <c r="K743" s="4" t="str">
        <f t="shared" si="11"/>
        <v>Low</v>
      </c>
      <c r="L743" t="s">
        <v>3561</v>
      </c>
      <c r="M743" s="4" t="s">
        <v>3561</v>
      </c>
      <c r="N743" t="s">
        <v>3566</v>
      </c>
      <c r="O743" t="s">
        <v>3569</v>
      </c>
      <c r="P743" s="4">
        <v>9</v>
      </c>
      <c r="Q743" t="s">
        <v>3574</v>
      </c>
    </row>
    <row r="744" spans="1:18">
      <c r="A744" t="s">
        <v>838</v>
      </c>
      <c r="B744" t="s">
        <v>9</v>
      </c>
      <c r="C744" t="s">
        <v>2990</v>
      </c>
      <c r="D744" t="s">
        <v>3552</v>
      </c>
      <c r="E744">
        <v>45</v>
      </c>
      <c r="F744" s="4" t="s">
        <v>3557</v>
      </c>
      <c r="G744" s="4">
        <v>0</v>
      </c>
      <c r="H744">
        <v>0</v>
      </c>
      <c r="I744">
        <v>7598</v>
      </c>
      <c r="J744" s="6">
        <v>8.0500000000000007</v>
      </c>
      <c r="K744" s="4" t="str">
        <f t="shared" si="11"/>
        <v>Low</v>
      </c>
      <c r="L744" t="s">
        <v>3561</v>
      </c>
      <c r="M744" s="4" t="s">
        <v>3561</v>
      </c>
      <c r="N744" t="s">
        <v>457</v>
      </c>
      <c r="O744">
        <v>15</v>
      </c>
      <c r="P744" s="4" t="s">
        <v>3573</v>
      </c>
      <c r="Q744" t="s">
        <v>3573</v>
      </c>
      <c r="R744" t="s">
        <v>698</v>
      </c>
    </row>
    <row r="745" spans="1:18">
      <c r="A745" t="s">
        <v>838</v>
      </c>
      <c r="B745" t="s">
        <v>840</v>
      </c>
      <c r="C745" t="s">
        <v>2991</v>
      </c>
      <c r="D745" t="s">
        <v>3551</v>
      </c>
      <c r="E745">
        <v>22</v>
      </c>
      <c r="F745" s="4" t="s">
        <v>3555</v>
      </c>
      <c r="G745" s="4">
        <v>0</v>
      </c>
      <c r="H745">
        <v>0</v>
      </c>
      <c r="I745">
        <v>7552</v>
      </c>
      <c r="J745" s="6">
        <v>10.5167</v>
      </c>
      <c r="K745" s="4" t="str">
        <f t="shared" si="11"/>
        <v>Mid</v>
      </c>
      <c r="L745" t="s">
        <v>3561</v>
      </c>
      <c r="M745" s="4" t="s">
        <v>3561</v>
      </c>
      <c r="N745" t="s">
        <v>457</v>
      </c>
      <c r="O745" t="s">
        <v>3569</v>
      </c>
      <c r="P745" s="4" t="s">
        <v>3573</v>
      </c>
      <c r="Q745" t="s">
        <v>3573</v>
      </c>
      <c r="R745" t="s">
        <v>699</v>
      </c>
    </row>
    <row r="746" spans="1:18">
      <c r="A746" t="s">
        <v>838</v>
      </c>
      <c r="B746" t="s">
        <v>840</v>
      </c>
      <c r="C746" t="s">
        <v>2992</v>
      </c>
      <c r="D746" t="s">
        <v>3552</v>
      </c>
      <c r="E746">
        <v>19</v>
      </c>
      <c r="F746" s="4" t="s">
        <v>3555</v>
      </c>
      <c r="G746" s="4">
        <v>0</v>
      </c>
      <c r="H746">
        <v>0</v>
      </c>
      <c r="I746">
        <v>349228</v>
      </c>
      <c r="J746" s="6">
        <v>10.1708</v>
      </c>
      <c r="K746" s="4" t="str">
        <f t="shared" si="11"/>
        <v>Mid</v>
      </c>
      <c r="L746" t="s">
        <v>3561</v>
      </c>
      <c r="M746" s="4" t="s">
        <v>3561</v>
      </c>
      <c r="N746" t="s">
        <v>457</v>
      </c>
      <c r="O746" t="s">
        <v>3569</v>
      </c>
      <c r="P746" s="4" t="s">
        <v>3573</v>
      </c>
      <c r="Q746" t="s">
        <v>3573</v>
      </c>
      <c r="R746" t="s">
        <v>689</v>
      </c>
    </row>
    <row r="747" spans="1:18">
      <c r="A747" t="s">
        <v>838</v>
      </c>
      <c r="B747" t="s">
        <v>9</v>
      </c>
      <c r="C747" t="s">
        <v>2993</v>
      </c>
      <c r="D747" t="s">
        <v>3551</v>
      </c>
      <c r="E747">
        <v>30</v>
      </c>
      <c r="F747" s="4" t="s">
        <v>3557</v>
      </c>
      <c r="G747" s="4">
        <v>0</v>
      </c>
      <c r="H747">
        <v>0</v>
      </c>
      <c r="I747">
        <v>382650</v>
      </c>
      <c r="J747" s="6">
        <v>6.95</v>
      </c>
      <c r="K747" s="4" t="str">
        <f t="shared" si="11"/>
        <v>Low</v>
      </c>
      <c r="L747" t="s">
        <v>3561</v>
      </c>
      <c r="M747" s="4" t="s">
        <v>3561</v>
      </c>
      <c r="N747" t="s">
        <v>3567</v>
      </c>
      <c r="O747">
        <v>15</v>
      </c>
      <c r="P747" s="4" t="s">
        <v>3573</v>
      </c>
      <c r="Q747" t="s">
        <v>3573</v>
      </c>
      <c r="R747" t="s">
        <v>700</v>
      </c>
    </row>
    <row r="748" spans="1:18">
      <c r="A748" t="s">
        <v>838</v>
      </c>
      <c r="B748" t="s">
        <v>9</v>
      </c>
      <c r="C748" t="s">
        <v>2994</v>
      </c>
      <c r="D748" t="s">
        <v>3552</v>
      </c>
      <c r="E748">
        <v>29</v>
      </c>
      <c r="F748" s="4" t="s">
        <v>3555</v>
      </c>
      <c r="G748" s="4">
        <v>0</v>
      </c>
      <c r="H748">
        <v>0</v>
      </c>
      <c r="I748">
        <v>382651</v>
      </c>
      <c r="J748" s="6">
        <v>7.75</v>
      </c>
      <c r="K748" s="4" t="str">
        <f t="shared" si="11"/>
        <v>Low</v>
      </c>
      <c r="L748" t="s">
        <v>3561</v>
      </c>
      <c r="M748" s="4" t="s">
        <v>3561</v>
      </c>
      <c r="N748" t="s">
        <v>3567</v>
      </c>
      <c r="O748" t="s">
        <v>701</v>
      </c>
      <c r="P748" s="4" t="s">
        <v>3573</v>
      </c>
      <c r="Q748" t="s">
        <v>3573</v>
      </c>
      <c r="R748" t="s">
        <v>700</v>
      </c>
    </row>
    <row r="749" spans="1:18">
      <c r="A749" t="s">
        <v>838</v>
      </c>
      <c r="B749" t="s">
        <v>840</v>
      </c>
      <c r="C749" t="s">
        <v>2995</v>
      </c>
      <c r="D749" t="s">
        <v>3552</v>
      </c>
      <c r="E749">
        <v>1</v>
      </c>
      <c r="F749" s="4" t="s">
        <v>3556</v>
      </c>
      <c r="G749" s="4">
        <v>2</v>
      </c>
      <c r="H749">
        <v>0</v>
      </c>
      <c r="I749">
        <v>347080</v>
      </c>
      <c r="J749" s="6">
        <v>14.4</v>
      </c>
      <c r="K749" s="4" t="str">
        <f t="shared" si="11"/>
        <v>Mid</v>
      </c>
      <c r="L749" t="s">
        <v>3561</v>
      </c>
      <c r="M749" s="4" t="s">
        <v>3561</v>
      </c>
      <c r="N749" t="s">
        <v>457</v>
      </c>
      <c r="O749" t="s">
        <v>3569</v>
      </c>
      <c r="P749" s="4" t="s">
        <v>3573</v>
      </c>
      <c r="Q749" t="s">
        <v>3573</v>
      </c>
      <c r="R749" t="s">
        <v>702</v>
      </c>
    </row>
    <row r="750" spans="1:18">
      <c r="A750" t="s">
        <v>838</v>
      </c>
      <c r="B750" t="s">
        <v>840</v>
      </c>
      <c r="C750" t="s">
        <v>2996</v>
      </c>
      <c r="D750" t="s">
        <v>3552</v>
      </c>
      <c r="E750">
        <v>34</v>
      </c>
      <c r="F750" s="4" t="s">
        <v>3557</v>
      </c>
      <c r="G750" s="4">
        <v>1</v>
      </c>
      <c r="H750">
        <v>1</v>
      </c>
      <c r="I750">
        <v>347080</v>
      </c>
      <c r="J750" s="6">
        <v>14.4</v>
      </c>
      <c r="K750" s="4" t="str">
        <f t="shared" si="11"/>
        <v>Mid</v>
      </c>
      <c r="L750" t="s">
        <v>3561</v>
      </c>
      <c r="M750" s="4" t="s">
        <v>3561</v>
      </c>
      <c r="N750" t="s">
        <v>457</v>
      </c>
      <c r="O750" t="s">
        <v>3569</v>
      </c>
      <c r="P750" s="4">
        <v>197</v>
      </c>
      <c r="Q750" t="s">
        <v>3574</v>
      </c>
      <c r="R750" t="s">
        <v>702</v>
      </c>
    </row>
    <row r="751" spans="1:18">
      <c r="A751" t="s">
        <v>838</v>
      </c>
      <c r="B751" t="s">
        <v>840</v>
      </c>
      <c r="C751" t="s">
        <v>2997</v>
      </c>
      <c r="D751" t="s">
        <v>3551</v>
      </c>
      <c r="E751">
        <v>28</v>
      </c>
      <c r="F751" s="4" t="s">
        <v>3555</v>
      </c>
      <c r="G751" s="4">
        <v>1</v>
      </c>
      <c r="H751">
        <v>1</v>
      </c>
      <c r="I751">
        <v>347080</v>
      </c>
      <c r="J751" s="6">
        <v>14.4</v>
      </c>
      <c r="K751" s="4" t="str">
        <f t="shared" si="11"/>
        <v>Mid</v>
      </c>
      <c r="L751" t="s">
        <v>3561</v>
      </c>
      <c r="M751" s="4" t="s">
        <v>3561</v>
      </c>
      <c r="N751" t="s">
        <v>457</v>
      </c>
      <c r="O751" t="s">
        <v>3569</v>
      </c>
      <c r="P751" s="4" t="s">
        <v>3573</v>
      </c>
      <c r="Q751" t="s">
        <v>3573</v>
      </c>
      <c r="R751" t="s">
        <v>702</v>
      </c>
    </row>
    <row r="752" spans="1:18">
      <c r="A752" t="s">
        <v>838</v>
      </c>
      <c r="B752" t="s">
        <v>840</v>
      </c>
      <c r="C752" t="s">
        <v>2998</v>
      </c>
      <c r="D752" t="s">
        <v>3552</v>
      </c>
      <c r="E752">
        <v>27</v>
      </c>
      <c r="F752" s="4" t="s">
        <v>3555</v>
      </c>
      <c r="G752" s="4">
        <v>0</v>
      </c>
      <c r="H752">
        <v>0</v>
      </c>
      <c r="I752">
        <v>349219</v>
      </c>
      <c r="J752" s="6">
        <v>7.8958000000000004</v>
      </c>
      <c r="K752" s="4" t="str">
        <f t="shared" si="11"/>
        <v>Low</v>
      </c>
      <c r="L752" t="s">
        <v>3561</v>
      </c>
      <c r="M752" s="4" t="s">
        <v>3561</v>
      </c>
      <c r="N752" t="s">
        <v>457</v>
      </c>
      <c r="O752" t="s">
        <v>3569</v>
      </c>
      <c r="P752" s="4" t="s">
        <v>3573</v>
      </c>
      <c r="Q752" t="s">
        <v>3573</v>
      </c>
      <c r="R752" t="s">
        <v>635</v>
      </c>
    </row>
    <row r="753" spans="1:18">
      <c r="A753" t="s">
        <v>838</v>
      </c>
      <c r="B753" t="s">
        <v>840</v>
      </c>
      <c r="C753" t="s">
        <v>2999</v>
      </c>
      <c r="D753" t="s">
        <v>3552</v>
      </c>
      <c r="E753">
        <v>25</v>
      </c>
      <c r="F753" s="4" t="s">
        <v>3555</v>
      </c>
      <c r="G753" s="4">
        <v>0</v>
      </c>
      <c r="H753">
        <v>0</v>
      </c>
      <c r="I753">
        <v>349203</v>
      </c>
      <c r="J753" s="6">
        <v>7.8958000000000004</v>
      </c>
      <c r="K753" s="4" t="str">
        <f t="shared" si="11"/>
        <v>Low</v>
      </c>
      <c r="L753" t="s">
        <v>3561</v>
      </c>
      <c r="M753" s="4" t="s">
        <v>3561</v>
      </c>
      <c r="N753" t="s">
        <v>457</v>
      </c>
      <c r="O753" t="s">
        <v>3569</v>
      </c>
      <c r="P753" s="4" t="s">
        <v>3573</v>
      </c>
      <c r="Q753" t="s">
        <v>3573</v>
      </c>
      <c r="R753" t="s">
        <v>635</v>
      </c>
    </row>
    <row r="754" spans="1:18">
      <c r="A754" t="s">
        <v>838</v>
      </c>
      <c r="B754" t="s">
        <v>840</v>
      </c>
      <c r="C754" t="s">
        <v>3000</v>
      </c>
      <c r="D754" t="s">
        <v>3552</v>
      </c>
      <c r="E754">
        <v>24</v>
      </c>
      <c r="F754" s="4" t="s">
        <v>3555</v>
      </c>
      <c r="G754" s="4">
        <v>0</v>
      </c>
      <c r="H754">
        <v>2</v>
      </c>
      <c r="I754" t="s">
        <v>703</v>
      </c>
      <c r="J754" s="6">
        <v>24.15</v>
      </c>
      <c r="K754" s="4" t="str">
        <f t="shared" si="11"/>
        <v>Mid</v>
      </c>
      <c r="L754" t="s">
        <v>3561</v>
      </c>
      <c r="M754" s="4" t="s">
        <v>3561</v>
      </c>
      <c r="N754" t="s">
        <v>457</v>
      </c>
      <c r="O754" t="s">
        <v>3569</v>
      </c>
      <c r="P754" s="4" t="s">
        <v>3573</v>
      </c>
      <c r="Q754" t="s">
        <v>3573</v>
      </c>
      <c r="R754" t="s">
        <v>704</v>
      </c>
    </row>
    <row r="755" spans="1:18">
      <c r="A755" t="s">
        <v>838</v>
      </c>
      <c r="B755" t="s">
        <v>840</v>
      </c>
      <c r="C755" t="s">
        <v>3001</v>
      </c>
      <c r="D755" t="s">
        <v>3552</v>
      </c>
      <c r="E755">
        <v>22</v>
      </c>
      <c r="F755" s="4" t="s">
        <v>3555</v>
      </c>
      <c r="G755" s="4">
        <v>0</v>
      </c>
      <c r="H755">
        <v>0</v>
      </c>
      <c r="I755" t="s">
        <v>705</v>
      </c>
      <c r="J755" s="6">
        <v>8.0500000000000007</v>
      </c>
      <c r="K755" s="4" t="str">
        <f t="shared" si="11"/>
        <v>Low</v>
      </c>
      <c r="L755" t="s">
        <v>3561</v>
      </c>
      <c r="M755" s="4" t="s">
        <v>3561</v>
      </c>
      <c r="N755" t="s">
        <v>457</v>
      </c>
      <c r="O755" t="s">
        <v>3569</v>
      </c>
      <c r="P755" s="4" t="s">
        <v>3573</v>
      </c>
      <c r="Q755" t="s">
        <v>3573</v>
      </c>
    </row>
    <row r="756" spans="1:18">
      <c r="A756" t="s">
        <v>838</v>
      </c>
      <c r="B756" t="s">
        <v>840</v>
      </c>
      <c r="C756" t="s">
        <v>3002</v>
      </c>
      <c r="D756" t="s">
        <v>3552</v>
      </c>
      <c r="E756">
        <v>21</v>
      </c>
      <c r="F756" s="4" t="s">
        <v>3555</v>
      </c>
      <c r="G756" s="4">
        <v>0</v>
      </c>
      <c r="H756">
        <v>2</v>
      </c>
      <c r="I756" t="s">
        <v>703</v>
      </c>
      <c r="J756" s="6">
        <v>24.15</v>
      </c>
      <c r="K756" s="4" t="str">
        <f t="shared" si="11"/>
        <v>Mid</v>
      </c>
      <c r="L756" t="s">
        <v>3561</v>
      </c>
      <c r="M756" s="4" t="s">
        <v>3561</v>
      </c>
      <c r="N756" t="s">
        <v>457</v>
      </c>
      <c r="O756" t="s">
        <v>3569</v>
      </c>
      <c r="P756" s="4" t="s">
        <v>3573</v>
      </c>
      <c r="Q756" t="s">
        <v>3573</v>
      </c>
      <c r="R756" t="s">
        <v>704</v>
      </c>
    </row>
    <row r="757" spans="1:18">
      <c r="A757" t="s">
        <v>838</v>
      </c>
      <c r="B757" t="s">
        <v>840</v>
      </c>
      <c r="C757" t="s">
        <v>3003</v>
      </c>
      <c r="D757" t="s">
        <v>3552</v>
      </c>
      <c r="E757">
        <v>17</v>
      </c>
      <c r="F757" s="4" t="s">
        <v>3560</v>
      </c>
      <c r="G757" s="4">
        <v>0</v>
      </c>
      <c r="H757">
        <v>2</v>
      </c>
      <c r="I757" t="s">
        <v>706</v>
      </c>
      <c r="J757" s="6">
        <v>8.0500000000000007</v>
      </c>
      <c r="K757" s="4" t="str">
        <f t="shared" si="11"/>
        <v>Low</v>
      </c>
      <c r="L757" t="s">
        <v>3561</v>
      </c>
      <c r="M757" s="4" t="s">
        <v>3561</v>
      </c>
      <c r="N757" t="s">
        <v>457</v>
      </c>
      <c r="O757" t="s">
        <v>3569</v>
      </c>
      <c r="P757" s="4" t="s">
        <v>3573</v>
      </c>
      <c r="Q757" t="s">
        <v>3573</v>
      </c>
      <c r="R757" t="s">
        <v>704</v>
      </c>
    </row>
    <row r="758" spans="1:18">
      <c r="A758" t="s">
        <v>838</v>
      </c>
      <c r="B758" t="s">
        <v>840</v>
      </c>
      <c r="C758" t="s">
        <v>3004</v>
      </c>
      <c r="D758" t="s">
        <v>3552</v>
      </c>
      <c r="E758">
        <v>28</v>
      </c>
      <c r="F758" s="4" t="s">
        <v>3555</v>
      </c>
      <c r="G758" s="4">
        <v>0</v>
      </c>
      <c r="H758">
        <v>1</v>
      </c>
      <c r="I758">
        <v>386525</v>
      </c>
      <c r="J758" s="6">
        <v>16.100000000000001</v>
      </c>
      <c r="K758" s="4" t="str">
        <f t="shared" si="11"/>
        <v>Mid</v>
      </c>
      <c r="L758" t="s">
        <v>3561</v>
      </c>
      <c r="M758" s="4" t="s">
        <v>3561</v>
      </c>
      <c r="N758" t="s">
        <v>457</v>
      </c>
      <c r="O758" t="s">
        <v>3569</v>
      </c>
      <c r="P758" s="4" t="s">
        <v>3573</v>
      </c>
      <c r="Q758" t="s">
        <v>3573</v>
      </c>
      <c r="R758" t="s">
        <v>707</v>
      </c>
    </row>
    <row r="759" spans="1:18">
      <c r="A759" t="s">
        <v>838</v>
      </c>
      <c r="B759" t="s">
        <v>9</v>
      </c>
      <c r="C759" t="s">
        <v>3005</v>
      </c>
      <c r="D759" t="s">
        <v>3551</v>
      </c>
      <c r="E759">
        <v>28</v>
      </c>
      <c r="F759" s="4" t="s">
        <v>3555</v>
      </c>
      <c r="G759" s="4">
        <v>0</v>
      </c>
      <c r="H759">
        <v>1</v>
      </c>
      <c r="I759">
        <v>386525</v>
      </c>
      <c r="J759" s="6">
        <v>16.100000000000001</v>
      </c>
      <c r="K759" s="4" t="str">
        <f t="shared" si="11"/>
        <v>Mid</v>
      </c>
      <c r="L759" t="s">
        <v>3561</v>
      </c>
      <c r="M759" s="4" t="s">
        <v>3561</v>
      </c>
      <c r="N759" t="s">
        <v>457</v>
      </c>
      <c r="O759">
        <v>16</v>
      </c>
      <c r="P759" s="4" t="s">
        <v>3573</v>
      </c>
      <c r="Q759" t="s">
        <v>3573</v>
      </c>
      <c r="R759" t="s">
        <v>707</v>
      </c>
    </row>
    <row r="760" spans="1:18">
      <c r="A760" t="s">
        <v>838</v>
      </c>
      <c r="B760" t="s">
        <v>9</v>
      </c>
      <c r="C760" t="s">
        <v>3006</v>
      </c>
      <c r="D760" t="s">
        <v>3552</v>
      </c>
      <c r="E760">
        <v>37</v>
      </c>
      <c r="F760" s="4" t="s">
        <v>3557</v>
      </c>
      <c r="G760" s="4">
        <v>0</v>
      </c>
      <c r="H760">
        <v>1</v>
      </c>
      <c r="I760">
        <v>345572</v>
      </c>
      <c r="J760" s="6">
        <v>17.399999999999999</v>
      </c>
      <c r="K760" s="4" t="str">
        <f t="shared" si="11"/>
        <v>Mid</v>
      </c>
      <c r="L760" t="s">
        <v>3561</v>
      </c>
      <c r="M760" s="4" t="s">
        <v>3561</v>
      </c>
      <c r="N760" t="s">
        <v>457</v>
      </c>
      <c r="O760">
        <v>15</v>
      </c>
      <c r="P760" s="4" t="s">
        <v>3573</v>
      </c>
      <c r="Q760" t="s">
        <v>3573</v>
      </c>
      <c r="R760" t="s">
        <v>708</v>
      </c>
    </row>
    <row r="761" spans="1:18">
      <c r="A761" t="s">
        <v>838</v>
      </c>
      <c r="B761" t="s">
        <v>9</v>
      </c>
      <c r="C761" t="s">
        <v>3007</v>
      </c>
      <c r="D761" t="s">
        <v>3551</v>
      </c>
      <c r="E761">
        <v>36</v>
      </c>
      <c r="F761" s="4" t="s">
        <v>3557</v>
      </c>
      <c r="G761" s="4">
        <v>0</v>
      </c>
      <c r="H761">
        <v>1</v>
      </c>
      <c r="I761">
        <v>345572</v>
      </c>
      <c r="J761" s="6">
        <v>17.399999999999999</v>
      </c>
      <c r="K761" s="4" t="str">
        <f t="shared" si="11"/>
        <v>Mid</v>
      </c>
      <c r="L761" t="s">
        <v>3561</v>
      </c>
      <c r="M761" s="4" t="s">
        <v>3561</v>
      </c>
      <c r="N761" t="s">
        <v>457</v>
      </c>
      <c r="O761">
        <v>13</v>
      </c>
      <c r="P761" s="4" t="s">
        <v>3573</v>
      </c>
      <c r="Q761" t="s">
        <v>3573</v>
      </c>
      <c r="R761" t="s">
        <v>708</v>
      </c>
    </row>
    <row r="762" spans="1:18">
      <c r="A762" t="s">
        <v>838</v>
      </c>
      <c r="B762" t="s">
        <v>9</v>
      </c>
      <c r="C762" t="s">
        <v>3008</v>
      </c>
      <c r="D762" t="s">
        <v>3552</v>
      </c>
      <c r="E762">
        <v>30</v>
      </c>
      <c r="F762" s="4" t="s">
        <v>3557</v>
      </c>
      <c r="G762" s="4">
        <v>0</v>
      </c>
      <c r="H762">
        <v>0</v>
      </c>
      <c r="I762">
        <v>345774</v>
      </c>
      <c r="J762" s="6">
        <v>9.5</v>
      </c>
      <c r="K762" s="4" t="str">
        <f t="shared" si="11"/>
        <v>Low</v>
      </c>
      <c r="L762" t="s">
        <v>3561</v>
      </c>
      <c r="M762" s="4" t="s">
        <v>3561</v>
      </c>
      <c r="N762" t="s">
        <v>457</v>
      </c>
      <c r="O762">
        <v>11</v>
      </c>
      <c r="P762" s="4" t="s">
        <v>3573</v>
      </c>
      <c r="Q762" t="s">
        <v>3573</v>
      </c>
      <c r="R762" t="s">
        <v>709</v>
      </c>
    </row>
    <row r="763" spans="1:18">
      <c r="A763" t="s">
        <v>838</v>
      </c>
      <c r="B763" t="s">
        <v>840</v>
      </c>
      <c r="C763" t="s">
        <v>3009</v>
      </c>
      <c r="D763" t="s">
        <v>3552</v>
      </c>
      <c r="E763">
        <v>16</v>
      </c>
      <c r="F763" s="4" t="s">
        <v>3560</v>
      </c>
      <c r="G763" s="4">
        <v>0</v>
      </c>
      <c r="H763">
        <v>0</v>
      </c>
      <c r="I763">
        <v>345778</v>
      </c>
      <c r="J763" s="6">
        <v>9.5</v>
      </c>
      <c r="K763" s="4" t="str">
        <f t="shared" si="11"/>
        <v>Low</v>
      </c>
      <c r="L763" t="s">
        <v>3561</v>
      </c>
      <c r="M763" s="4" t="s">
        <v>3561</v>
      </c>
      <c r="N763" t="s">
        <v>457</v>
      </c>
      <c r="O763" t="s">
        <v>3569</v>
      </c>
      <c r="P763" s="4" t="s">
        <v>3573</v>
      </c>
      <c r="Q763" t="s">
        <v>3573</v>
      </c>
    </row>
    <row r="764" spans="1:18">
      <c r="A764" t="s">
        <v>838</v>
      </c>
      <c r="B764" t="s">
        <v>9</v>
      </c>
      <c r="C764" t="s">
        <v>3010</v>
      </c>
      <c r="D764" t="s">
        <v>3552</v>
      </c>
      <c r="E764">
        <v>1</v>
      </c>
      <c r="F764" s="4" t="s">
        <v>3556</v>
      </c>
      <c r="G764" s="4">
        <v>2</v>
      </c>
      <c r="H764">
        <v>1</v>
      </c>
      <c r="I764" t="s">
        <v>710</v>
      </c>
      <c r="J764" s="6">
        <v>20.574999999999999</v>
      </c>
      <c r="K764" s="4" t="str">
        <f t="shared" si="11"/>
        <v>Mid</v>
      </c>
      <c r="L764" t="s">
        <v>3561</v>
      </c>
      <c r="M764" s="4" t="s">
        <v>3561</v>
      </c>
      <c r="N764" t="s">
        <v>457</v>
      </c>
      <c r="O764">
        <v>10</v>
      </c>
      <c r="P764" s="4" t="s">
        <v>3573</v>
      </c>
      <c r="Q764" t="s">
        <v>3573</v>
      </c>
      <c r="R764" t="s">
        <v>711</v>
      </c>
    </row>
    <row r="765" spans="1:18">
      <c r="A765" t="s">
        <v>838</v>
      </c>
      <c r="B765" t="s">
        <v>9</v>
      </c>
      <c r="C765" t="s">
        <v>3011</v>
      </c>
      <c r="D765" t="s">
        <v>3551</v>
      </c>
      <c r="E765">
        <v>1</v>
      </c>
      <c r="F765" s="4" t="s">
        <v>3556</v>
      </c>
      <c r="G765" s="4">
        <v>2</v>
      </c>
      <c r="H765">
        <v>1</v>
      </c>
      <c r="I765" t="s">
        <v>710</v>
      </c>
      <c r="J765" s="6">
        <v>20.574999999999999</v>
      </c>
      <c r="K765" s="4" t="str">
        <f t="shared" si="11"/>
        <v>Mid</v>
      </c>
      <c r="L765" t="s">
        <v>3561</v>
      </c>
      <c r="M765" s="4" t="s">
        <v>3561</v>
      </c>
      <c r="N765" t="s">
        <v>457</v>
      </c>
      <c r="O765">
        <v>10</v>
      </c>
      <c r="P765" s="4" t="s">
        <v>3573</v>
      </c>
      <c r="Q765" t="s">
        <v>3573</v>
      </c>
      <c r="R765" t="s">
        <v>711</v>
      </c>
    </row>
    <row r="766" spans="1:18">
      <c r="A766" t="s">
        <v>838</v>
      </c>
      <c r="B766" t="s">
        <v>840</v>
      </c>
      <c r="C766" t="s">
        <v>3012</v>
      </c>
      <c r="D766" t="s">
        <v>3552</v>
      </c>
      <c r="E766">
        <v>26</v>
      </c>
      <c r="F766" s="4" t="s">
        <v>3555</v>
      </c>
      <c r="G766" s="4">
        <v>2</v>
      </c>
      <c r="H766">
        <v>1</v>
      </c>
      <c r="I766" t="s">
        <v>710</v>
      </c>
      <c r="J766" s="6">
        <v>20.574999999999999</v>
      </c>
      <c r="K766" s="4" t="str">
        <f t="shared" si="11"/>
        <v>Mid</v>
      </c>
      <c r="L766" t="s">
        <v>3561</v>
      </c>
      <c r="M766" s="4" t="s">
        <v>3561</v>
      </c>
      <c r="N766" t="s">
        <v>457</v>
      </c>
      <c r="O766" t="s">
        <v>3569</v>
      </c>
      <c r="P766" s="4" t="s">
        <v>3573</v>
      </c>
      <c r="Q766" t="s">
        <v>3573</v>
      </c>
      <c r="R766" t="s">
        <v>711</v>
      </c>
    </row>
    <row r="767" spans="1:18">
      <c r="A767" t="s">
        <v>838</v>
      </c>
      <c r="B767" t="s">
        <v>9</v>
      </c>
      <c r="C767" t="s">
        <v>3013</v>
      </c>
      <c r="D767" t="s">
        <v>3551</v>
      </c>
      <c r="E767">
        <v>33</v>
      </c>
      <c r="F767" s="4" t="s">
        <v>3557</v>
      </c>
      <c r="G767" s="4">
        <v>2</v>
      </c>
      <c r="H767">
        <v>1</v>
      </c>
      <c r="I767" t="s">
        <v>710</v>
      </c>
      <c r="J767" s="6">
        <v>20.574999999999999</v>
      </c>
      <c r="K767" s="4" t="str">
        <f t="shared" si="11"/>
        <v>Mid</v>
      </c>
      <c r="L767" t="s">
        <v>3561</v>
      </c>
      <c r="M767" s="4" t="s">
        <v>3561</v>
      </c>
      <c r="N767" t="s">
        <v>457</v>
      </c>
      <c r="O767">
        <v>10</v>
      </c>
      <c r="P767" s="4" t="s">
        <v>3573</v>
      </c>
      <c r="Q767" t="s">
        <v>3573</v>
      </c>
      <c r="R767" t="s">
        <v>711</v>
      </c>
    </row>
    <row r="768" spans="1:18">
      <c r="A768" t="s">
        <v>838</v>
      </c>
      <c r="B768" t="s">
        <v>840</v>
      </c>
      <c r="C768" t="s">
        <v>3014</v>
      </c>
      <c r="D768" t="s">
        <v>3552</v>
      </c>
      <c r="E768">
        <v>25</v>
      </c>
      <c r="F768" s="4" t="s">
        <v>3555</v>
      </c>
      <c r="G768" s="4">
        <v>0</v>
      </c>
      <c r="H768">
        <v>0</v>
      </c>
      <c r="I768">
        <v>349250</v>
      </c>
      <c r="J768" s="6">
        <v>7.8958000000000004</v>
      </c>
      <c r="K768" s="4" t="str">
        <f t="shared" si="11"/>
        <v>Low</v>
      </c>
      <c r="L768" t="s">
        <v>3561</v>
      </c>
      <c r="M768" s="4" t="s">
        <v>3561</v>
      </c>
      <c r="N768" t="s">
        <v>457</v>
      </c>
      <c r="O768" t="s">
        <v>3569</v>
      </c>
      <c r="P768" s="4" t="s">
        <v>3573</v>
      </c>
      <c r="Q768" t="s">
        <v>3573</v>
      </c>
    </row>
    <row r="769" spans="1:18">
      <c r="A769" t="s">
        <v>838</v>
      </c>
      <c r="B769" t="s">
        <v>840</v>
      </c>
      <c r="C769" t="s">
        <v>3015</v>
      </c>
      <c r="D769" t="s">
        <v>3552</v>
      </c>
      <c r="E769">
        <v>28</v>
      </c>
      <c r="F769" s="4" t="s">
        <v>3555</v>
      </c>
      <c r="G769" s="4">
        <v>0</v>
      </c>
      <c r="H769">
        <v>0</v>
      </c>
      <c r="I769">
        <v>349238</v>
      </c>
      <c r="J769" s="6">
        <v>7.8958000000000004</v>
      </c>
      <c r="K769" s="4" t="str">
        <f t="shared" si="11"/>
        <v>Low</v>
      </c>
      <c r="L769" t="s">
        <v>3561</v>
      </c>
      <c r="M769" s="4" t="s">
        <v>3561</v>
      </c>
      <c r="N769" t="s">
        <v>457</v>
      </c>
      <c r="O769" t="s">
        <v>3569</v>
      </c>
      <c r="P769" s="4" t="s">
        <v>3573</v>
      </c>
      <c r="Q769" t="s">
        <v>3573</v>
      </c>
    </row>
    <row r="770" spans="1:18">
      <c r="A770" t="s">
        <v>838</v>
      </c>
      <c r="B770" t="s">
        <v>840</v>
      </c>
      <c r="C770" t="s">
        <v>3016</v>
      </c>
      <c r="D770" t="s">
        <v>3552</v>
      </c>
      <c r="E770">
        <v>28</v>
      </c>
      <c r="F770" s="4" t="s">
        <v>3555</v>
      </c>
      <c r="G770" s="4">
        <v>0</v>
      </c>
      <c r="H770">
        <v>0</v>
      </c>
      <c r="I770">
        <v>349225</v>
      </c>
      <c r="J770" s="6">
        <v>7.8958000000000004</v>
      </c>
      <c r="K770" s="4" t="str">
        <f t="shared" si="11"/>
        <v>Low</v>
      </c>
      <c r="L770" t="s">
        <v>3561</v>
      </c>
      <c r="M770" s="4" t="s">
        <v>3561</v>
      </c>
      <c r="N770" t="s">
        <v>457</v>
      </c>
      <c r="O770" t="s">
        <v>3569</v>
      </c>
      <c r="P770" s="4" t="s">
        <v>3573</v>
      </c>
      <c r="Q770" t="s">
        <v>3573</v>
      </c>
      <c r="R770" t="s">
        <v>712</v>
      </c>
    </row>
    <row r="771" spans="1:18">
      <c r="A771" t="s">
        <v>838</v>
      </c>
      <c r="B771" t="s">
        <v>840</v>
      </c>
      <c r="C771" t="s">
        <v>3017</v>
      </c>
      <c r="D771" t="s">
        <v>3552</v>
      </c>
      <c r="E771">
        <v>22</v>
      </c>
      <c r="F771" s="4" t="s">
        <v>3555</v>
      </c>
      <c r="G771" s="4">
        <v>0</v>
      </c>
      <c r="H771">
        <v>0</v>
      </c>
      <c r="I771" t="s">
        <v>713</v>
      </c>
      <c r="J771" s="6">
        <v>7.25</v>
      </c>
      <c r="K771" s="4" t="str">
        <f t="shared" ref="K771:K834" si="12">IF(J771&lt;=10,"Low",IF(J771&lt;=50,"Mid","High"))</f>
        <v>Low</v>
      </c>
      <c r="L771" t="s">
        <v>3561</v>
      </c>
      <c r="M771" s="4" t="s">
        <v>3561</v>
      </c>
      <c r="N771" t="s">
        <v>457</v>
      </c>
      <c r="O771" t="s">
        <v>3569</v>
      </c>
      <c r="P771" s="4" t="s">
        <v>3573</v>
      </c>
      <c r="Q771" t="s">
        <v>3573</v>
      </c>
    </row>
    <row r="772" spans="1:18">
      <c r="A772" t="s">
        <v>838</v>
      </c>
      <c r="B772" t="s">
        <v>840</v>
      </c>
      <c r="C772" t="s">
        <v>3018</v>
      </c>
      <c r="D772" t="s">
        <v>3552</v>
      </c>
      <c r="E772">
        <v>36</v>
      </c>
      <c r="F772" s="4" t="s">
        <v>3557</v>
      </c>
      <c r="G772" s="4">
        <v>0</v>
      </c>
      <c r="H772">
        <v>0</v>
      </c>
      <c r="I772" t="s">
        <v>714</v>
      </c>
      <c r="J772" s="6">
        <v>7.25</v>
      </c>
      <c r="K772" s="4" t="str">
        <f t="shared" si="12"/>
        <v>Low</v>
      </c>
      <c r="L772" t="s">
        <v>3561</v>
      </c>
      <c r="M772" s="4" t="s">
        <v>3561</v>
      </c>
      <c r="N772" t="s">
        <v>457</v>
      </c>
      <c r="O772" t="s">
        <v>3569</v>
      </c>
      <c r="P772" s="4" t="s">
        <v>3573</v>
      </c>
      <c r="Q772" t="s">
        <v>3573</v>
      </c>
    </row>
    <row r="773" spans="1:18">
      <c r="A773" t="s">
        <v>838</v>
      </c>
      <c r="B773" t="s">
        <v>9</v>
      </c>
      <c r="C773" t="s">
        <v>3019</v>
      </c>
      <c r="D773" t="s">
        <v>3551</v>
      </c>
      <c r="E773">
        <v>19</v>
      </c>
      <c r="F773" s="4" t="s">
        <v>3555</v>
      </c>
      <c r="G773" s="4">
        <v>0</v>
      </c>
      <c r="H773">
        <v>0</v>
      </c>
      <c r="I773">
        <v>330958</v>
      </c>
      <c r="J773" s="6">
        <v>7.8792</v>
      </c>
      <c r="K773" s="4" t="str">
        <f t="shared" si="12"/>
        <v>Low</v>
      </c>
      <c r="L773" t="s">
        <v>3561</v>
      </c>
      <c r="M773" s="4" t="s">
        <v>3561</v>
      </c>
      <c r="N773" t="s">
        <v>3567</v>
      </c>
      <c r="O773" t="s">
        <v>62</v>
      </c>
      <c r="P773" s="4" t="s">
        <v>3573</v>
      </c>
      <c r="Q773" t="s">
        <v>3573</v>
      </c>
      <c r="R773" t="s">
        <v>715</v>
      </c>
    </row>
    <row r="774" spans="1:18">
      <c r="A774" t="s">
        <v>838</v>
      </c>
      <c r="B774" t="s">
        <v>840</v>
      </c>
      <c r="C774" t="s">
        <v>3020</v>
      </c>
      <c r="D774" t="s">
        <v>3552</v>
      </c>
      <c r="E774">
        <v>17</v>
      </c>
      <c r="F774" s="4" t="s">
        <v>3560</v>
      </c>
      <c r="G774" s="4">
        <v>0</v>
      </c>
      <c r="H774">
        <v>0</v>
      </c>
      <c r="I774">
        <v>349232</v>
      </c>
      <c r="J774" s="6">
        <v>7.8958000000000004</v>
      </c>
      <c r="K774" s="4" t="str">
        <f t="shared" si="12"/>
        <v>Low</v>
      </c>
      <c r="L774" t="s">
        <v>3561</v>
      </c>
      <c r="M774" s="4" t="s">
        <v>3561</v>
      </c>
      <c r="N774" t="s">
        <v>457</v>
      </c>
      <c r="O774" t="s">
        <v>3569</v>
      </c>
      <c r="P774" s="4" t="s">
        <v>3573</v>
      </c>
      <c r="Q774" t="s">
        <v>3573</v>
      </c>
    </row>
    <row r="775" spans="1:18">
      <c r="A775" t="s">
        <v>838</v>
      </c>
      <c r="B775" t="s">
        <v>840</v>
      </c>
      <c r="C775" t="s">
        <v>3021</v>
      </c>
      <c r="D775" t="s">
        <v>3552</v>
      </c>
      <c r="E775">
        <v>42</v>
      </c>
      <c r="F775" s="4" t="s">
        <v>3557</v>
      </c>
      <c r="G775" s="4">
        <v>0</v>
      </c>
      <c r="H775">
        <v>0</v>
      </c>
      <c r="I775">
        <v>315088</v>
      </c>
      <c r="J775" s="6">
        <v>8.6624999999999996</v>
      </c>
      <c r="K775" s="4" t="str">
        <f t="shared" si="12"/>
        <v>Low</v>
      </c>
      <c r="L775" t="s">
        <v>3561</v>
      </c>
      <c r="M775" s="4" t="s">
        <v>3561</v>
      </c>
      <c r="N775" t="s">
        <v>457</v>
      </c>
      <c r="O775" t="s">
        <v>3569</v>
      </c>
      <c r="P775" s="4" t="s">
        <v>3573</v>
      </c>
      <c r="Q775" t="s">
        <v>3573</v>
      </c>
    </row>
    <row r="776" spans="1:18">
      <c r="A776" t="s">
        <v>838</v>
      </c>
      <c r="B776" t="s">
        <v>840</v>
      </c>
      <c r="C776" t="s">
        <v>3022</v>
      </c>
      <c r="D776" t="s">
        <v>3552</v>
      </c>
      <c r="E776">
        <v>43</v>
      </c>
      <c r="F776" s="4" t="s">
        <v>3557</v>
      </c>
      <c r="G776" s="4">
        <v>0</v>
      </c>
      <c r="H776">
        <v>0</v>
      </c>
      <c r="I776">
        <v>349226</v>
      </c>
      <c r="J776" s="6">
        <v>7.8958000000000004</v>
      </c>
      <c r="K776" s="4" t="str">
        <f t="shared" si="12"/>
        <v>Low</v>
      </c>
      <c r="L776" t="s">
        <v>3561</v>
      </c>
      <c r="M776" s="4" t="s">
        <v>3561</v>
      </c>
      <c r="N776" t="s">
        <v>457</v>
      </c>
      <c r="O776" t="s">
        <v>3569</v>
      </c>
      <c r="P776" s="4" t="s">
        <v>3573</v>
      </c>
      <c r="Q776" t="s">
        <v>3573</v>
      </c>
    </row>
    <row r="777" spans="1:18">
      <c r="A777" t="s">
        <v>838</v>
      </c>
      <c r="B777" t="s">
        <v>840</v>
      </c>
      <c r="C777" t="s">
        <v>3023</v>
      </c>
      <c r="D777" t="s">
        <v>3552</v>
      </c>
      <c r="E777">
        <v>28</v>
      </c>
      <c r="F777" s="4" t="s">
        <v>3555</v>
      </c>
      <c r="G777" s="4">
        <v>0</v>
      </c>
      <c r="H777">
        <v>0</v>
      </c>
      <c r="I777">
        <v>2686</v>
      </c>
      <c r="J777" s="6">
        <v>7.2291999999999996</v>
      </c>
      <c r="K777" s="4" t="str">
        <f t="shared" si="12"/>
        <v>Low</v>
      </c>
      <c r="L777" t="s">
        <v>3561</v>
      </c>
      <c r="M777" s="4" t="s">
        <v>3561</v>
      </c>
      <c r="N777" t="s">
        <v>3566</v>
      </c>
      <c r="O777" t="s">
        <v>3569</v>
      </c>
      <c r="P777" s="4" t="s">
        <v>3573</v>
      </c>
      <c r="Q777" t="s">
        <v>3573</v>
      </c>
    </row>
    <row r="778" spans="1:18">
      <c r="A778" t="s">
        <v>838</v>
      </c>
      <c r="B778" t="s">
        <v>840</v>
      </c>
      <c r="C778" t="s">
        <v>3024</v>
      </c>
      <c r="D778" t="s">
        <v>3552</v>
      </c>
      <c r="E778">
        <v>32</v>
      </c>
      <c r="F778" s="4" t="s">
        <v>3557</v>
      </c>
      <c r="G778" s="4">
        <v>0</v>
      </c>
      <c r="H778">
        <v>0</v>
      </c>
      <c r="I778">
        <v>370376</v>
      </c>
      <c r="J778" s="6">
        <v>7.75</v>
      </c>
      <c r="K778" s="4" t="str">
        <f t="shared" si="12"/>
        <v>Low</v>
      </c>
      <c r="L778" t="s">
        <v>3561</v>
      </c>
      <c r="M778" s="4" t="s">
        <v>3561</v>
      </c>
      <c r="N778" t="s">
        <v>3567</v>
      </c>
      <c r="O778" t="s">
        <v>3569</v>
      </c>
      <c r="P778" s="4" t="s">
        <v>3573</v>
      </c>
      <c r="Q778" t="s">
        <v>3573</v>
      </c>
      <c r="R778" t="s">
        <v>679</v>
      </c>
    </row>
    <row r="779" spans="1:18">
      <c r="A779" t="s">
        <v>838</v>
      </c>
      <c r="B779" t="s">
        <v>9</v>
      </c>
      <c r="C779" t="s">
        <v>3025</v>
      </c>
      <c r="D779" t="s">
        <v>3552</v>
      </c>
      <c r="E779">
        <v>19</v>
      </c>
      <c r="F779" s="4" t="s">
        <v>3555</v>
      </c>
      <c r="G779" s="4">
        <v>0</v>
      </c>
      <c r="H779">
        <v>0</v>
      </c>
      <c r="I779" t="s">
        <v>716</v>
      </c>
      <c r="J779" s="6">
        <v>8.0500000000000007</v>
      </c>
      <c r="K779" s="4" t="str">
        <f t="shared" si="12"/>
        <v>Low</v>
      </c>
      <c r="L779" t="s">
        <v>3561</v>
      </c>
      <c r="M779" s="4" t="s">
        <v>3561</v>
      </c>
      <c r="N779" t="s">
        <v>457</v>
      </c>
      <c r="O779" t="s">
        <v>70</v>
      </c>
      <c r="P779" s="4" t="s">
        <v>3573</v>
      </c>
      <c r="Q779" t="s">
        <v>3573</v>
      </c>
      <c r="R779" t="s">
        <v>717</v>
      </c>
    </row>
    <row r="780" spans="1:18">
      <c r="A780" t="s">
        <v>838</v>
      </c>
      <c r="B780" t="s">
        <v>9</v>
      </c>
      <c r="C780" t="s">
        <v>3026</v>
      </c>
      <c r="D780" t="s">
        <v>3551</v>
      </c>
      <c r="E780">
        <v>30</v>
      </c>
      <c r="F780" s="4" t="s">
        <v>3557</v>
      </c>
      <c r="G780" s="4">
        <v>0</v>
      </c>
      <c r="H780">
        <v>0</v>
      </c>
      <c r="I780">
        <v>364516</v>
      </c>
      <c r="J780" s="6">
        <v>12.475</v>
      </c>
      <c r="K780" s="4" t="str">
        <f t="shared" si="12"/>
        <v>Mid</v>
      </c>
      <c r="L780" t="s">
        <v>3561</v>
      </c>
      <c r="M780" s="4" t="s">
        <v>3561</v>
      </c>
      <c r="N780" t="s">
        <v>457</v>
      </c>
      <c r="O780">
        <v>13</v>
      </c>
      <c r="P780" s="4" t="s">
        <v>3573</v>
      </c>
      <c r="Q780" t="s">
        <v>3573</v>
      </c>
      <c r="R780" t="s">
        <v>718</v>
      </c>
    </row>
    <row r="781" spans="1:18">
      <c r="A781" t="s">
        <v>838</v>
      </c>
      <c r="B781" t="s">
        <v>840</v>
      </c>
      <c r="C781" t="s">
        <v>3027</v>
      </c>
      <c r="D781" t="s">
        <v>3551</v>
      </c>
      <c r="E781">
        <v>24</v>
      </c>
      <c r="F781" s="4" t="s">
        <v>3555</v>
      </c>
      <c r="G781" s="4">
        <v>0</v>
      </c>
      <c r="H781">
        <v>0</v>
      </c>
      <c r="I781">
        <v>368702</v>
      </c>
      <c r="J781" s="6">
        <v>7.75</v>
      </c>
      <c r="K781" s="4" t="str">
        <f t="shared" si="12"/>
        <v>Low</v>
      </c>
      <c r="L781" t="s">
        <v>3561</v>
      </c>
      <c r="M781" s="4" t="s">
        <v>3561</v>
      </c>
      <c r="N781" t="s">
        <v>3567</v>
      </c>
      <c r="O781" t="s">
        <v>3569</v>
      </c>
      <c r="P781" s="4" t="s">
        <v>3573</v>
      </c>
      <c r="Q781" t="s">
        <v>3573</v>
      </c>
      <c r="R781" t="s">
        <v>679</v>
      </c>
    </row>
    <row r="782" spans="1:18">
      <c r="A782" t="s">
        <v>838</v>
      </c>
      <c r="B782" t="s">
        <v>9</v>
      </c>
      <c r="C782" t="s">
        <v>3028</v>
      </c>
      <c r="D782" t="s">
        <v>3551</v>
      </c>
      <c r="E782">
        <v>23</v>
      </c>
      <c r="F782" s="4" t="s">
        <v>3555</v>
      </c>
      <c r="G782" s="4">
        <v>0</v>
      </c>
      <c r="H782">
        <v>0</v>
      </c>
      <c r="I782" t="s">
        <v>719</v>
      </c>
      <c r="J782" s="6">
        <v>8.0500000000000007</v>
      </c>
      <c r="K782" s="4" t="str">
        <f t="shared" si="12"/>
        <v>Low</v>
      </c>
      <c r="L782" t="s">
        <v>3561</v>
      </c>
      <c r="M782" s="4" t="s">
        <v>3561</v>
      </c>
      <c r="N782" t="s">
        <v>457</v>
      </c>
      <c r="O782" t="s">
        <v>3569</v>
      </c>
      <c r="P782" s="4" t="s">
        <v>3573</v>
      </c>
      <c r="Q782" t="s">
        <v>3573</v>
      </c>
      <c r="R782" t="s">
        <v>720</v>
      </c>
    </row>
    <row r="783" spans="1:18">
      <c r="A783" t="s">
        <v>838</v>
      </c>
      <c r="B783" t="s">
        <v>840</v>
      </c>
      <c r="C783" t="s">
        <v>3029</v>
      </c>
      <c r="D783" t="s">
        <v>3552</v>
      </c>
      <c r="E783">
        <v>33</v>
      </c>
      <c r="F783" s="4" t="s">
        <v>3557</v>
      </c>
      <c r="G783" s="4">
        <v>0</v>
      </c>
      <c r="H783">
        <v>0</v>
      </c>
      <c r="I783">
        <v>349241</v>
      </c>
      <c r="J783" s="6">
        <v>7.8958000000000004</v>
      </c>
      <c r="K783" s="4" t="str">
        <f t="shared" si="12"/>
        <v>Low</v>
      </c>
      <c r="L783" t="s">
        <v>3561</v>
      </c>
      <c r="M783" s="4" t="s">
        <v>3561</v>
      </c>
      <c r="N783" t="s">
        <v>3566</v>
      </c>
      <c r="O783" t="s">
        <v>3569</v>
      </c>
      <c r="P783" s="4">
        <v>51</v>
      </c>
      <c r="Q783" t="s">
        <v>3574</v>
      </c>
      <c r="R783" t="s">
        <v>721</v>
      </c>
    </row>
    <row r="784" spans="1:18">
      <c r="A784" t="s">
        <v>838</v>
      </c>
      <c r="B784" t="s">
        <v>840</v>
      </c>
      <c r="C784" t="s">
        <v>3030</v>
      </c>
      <c r="D784" t="s">
        <v>3552</v>
      </c>
      <c r="E784">
        <v>65</v>
      </c>
      <c r="F784" s="4" t="s">
        <v>3559</v>
      </c>
      <c r="G784" s="4">
        <v>0</v>
      </c>
      <c r="H784">
        <v>0</v>
      </c>
      <c r="I784">
        <v>336439</v>
      </c>
      <c r="J784" s="6">
        <v>7.75</v>
      </c>
      <c r="K784" s="4" t="str">
        <f t="shared" si="12"/>
        <v>Low</v>
      </c>
      <c r="L784" t="s">
        <v>3561</v>
      </c>
      <c r="M784" s="4" t="s">
        <v>3561</v>
      </c>
      <c r="N784" t="s">
        <v>3567</v>
      </c>
      <c r="O784" t="s">
        <v>3569</v>
      </c>
      <c r="P784" s="4" t="s">
        <v>3573</v>
      </c>
      <c r="Q784" t="s">
        <v>3573</v>
      </c>
    </row>
    <row r="785" spans="1:18">
      <c r="A785" t="s">
        <v>838</v>
      </c>
      <c r="B785" t="s">
        <v>9</v>
      </c>
      <c r="C785" t="s">
        <v>3031</v>
      </c>
      <c r="D785" t="s">
        <v>3552</v>
      </c>
      <c r="E785">
        <v>24</v>
      </c>
      <c r="F785" s="4" t="s">
        <v>3555</v>
      </c>
      <c r="G785" s="4">
        <v>0</v>
      </c>
      <c r="H785">
        <v>0</v>
      </c>
      <c r="I785" t="s">
        <v>722</v>
      </c>
      <c r="J785" s="6">
        <v>7.55</v>
      </c>
      <c r="K785" s="4" t="str">
        <f t="shared" si="12"/>
        <v>Low</v>
      </c>
      <c r="L785" t="s">
        <v>3561</v>
      </c>
      <c r="M785" s="4" t="s">
        <v>3561</v>
      </c>
      <c r="N785" t="s">
        <v>457</v>
      </c>
      <c r="O785" t="s">
        <v>59</v>
      </c>
      <c r="P785" s="4" t="s">
        <v>3573</v>
      </c>
      <c r="Q785" t="s">
        <v>3573</v>
      </c>
      <c r="R785" t="s">
        <v>620</v>
      </c>
    </row>
    <row r="786" spans="1:18">
      <c r="A786" t="s">
        <v>838</v>
      </c>
      <c r="B786" t="s">
        <v>840</v>
      </c>
      <c r="C786" t="s">
        <v>3032</v>
      </c>
      <c r="D786" t="s">
        <v>3552</v>
      </c>
      <c r="E786">
        <v>23</v>
      </c>
      <c r="F786" s="4" t="s">
        <v>3555</v>
      </c>
      <c r="G786" s="4">
        <v>0</v>
      </c>
      <c r="H786">
        <v>1</v>
      </c>
      <c r="I786">
        <v>347072</v>
      </c>
      <c r="J786" s="6">
        <v>13.9</v>
      </c>
      <c r="K786" s="4" t="str">
        <f t="shared" si="12"/>
        <v>Mid</v>
      </c>
      <c r="L786" t="s">
        <v>3561</v>
      </c>
      <c r="M786" s="4" t="s">
        <v>3561</v>
      </c>
      <c r="N786" t="s">
        <v>457</v>
      </c>
      <c r="O786" t="s">
        <v>3569</v>
      </c>
      <c r="P786" s="4" t="s">
        <v>3573</v>
      </c>
      <c r="Q786" t="s">
        <v>3573</v>
      </c>
      <c r="R786" t="s">
        <v>723</v>
      </c>
    </row>
    <row r="787" spans="1:18">
      <c r="A787" t="s">
        <v>838</v>
      </c>
      <c r="B787" t="s">
        <v>9</v>
      </c>
      <c r="C787" t="s">
        <v>3033</v>
      </c>
      <c r="D787" t="s">
        <v>3551</v>
      </c>
      <c r="E787">
        <v>22</v>
      </c>
      <c r="F787" s="4" t="s">
        <v>3555</v>
      </c>
      <c r="G787" s="4">
        <v>0</v>
      </c>
      <c r="H787">
        <v>1</v>
      </c>
      <c r="I787">
        <v>347072</v>
      </c>
      <c r="J787" s="6">
        <v>13.9</v>
      </c>
      <c r="K787" s="4" t="str">
        <f t="shared" si="12"/>
        <v>Mid</v>
      </c>
      <c r="L787" t="s">
        <v>3561</v>
      </c>
      <c r="M787" s="4" t="s">
        <v>3561</v>
      </c>
      <c r="N787" t="s">
        <v>457</v>
      </c>
      <c r="O787">
        <v>16</v>
      </c>
      <c r="P787" s="4" t="s">
        <v>3573</v>
      </c>
      <c r="Q787" t="s">
        <v>3573</v>
      </c>
      <c r="R787" t="s">
        <v>723</v>
      </c>
    </row>
    <row r="788" spans="1:18">
      <c r="A788" t="s">
        <v>838</v>
      </c>
      <c r="B788" t="s">
        <v>840</v>
      </c>
      <c r="C788" t="s">
        <v>3034</v>
      </c>
      <c r="D788" t="s">
        <v>3552</v>
      </c>
      <c r="E788">
        <v>18</v>
      </c>
      <c r="F788" s="4" t="s">
        <v>3555</v>
      </c>
      <c r="G788" s="4">
        <v>0</v>
      </c>
      <c r="H788">
        <v>0</v>
      </c>
      <c r="I788">
        <v>349912</v>
      </c>
      <c r="J788" s="6">
        <v>7.7750000000000004</v>
      </c>
      <c r="K788" s="4" t="str">
        <f t="shared" si="12"/>
        <v>Low</v>
      </c>
      <c r="L788" t="s">
        <v>3561</v>
      </c>
      <c r="M788" s="4" t="s">
        <v>3561</v>
      </c>
      <c r="N788" t="s">
        <v>457</v>
      </c>
      <c r="O788" t="s">
        <v>3569</v>
      </c>
      <c r="P788" s="4" t="s">
        <v>3573</v>
      </c>
      <c r="Q788" t="s">
        <v>3573</v>
      </c>
      <c r="R788" t="s">
        <v>724</v>
      </c>
    </row>
    <row r="789" spans="1:18">
      <c r="A789" t="s">
        <v>838</v>
      </c>
      <c r="B789" t="s">
        <v>840</v>
      </c>
      <c r="C789" t="s">
        <v>3035</v>
      </c>
      <c r="D789" t="s">
        <v>3552</v>
      </c>
      <c r="E789">
        <v>16</v>
      </c>
      <c r="F789" s="4" t="s">
        <v>3560</v>
      </c>
      <c r="G789" s="4">
        <v>0</v>
      </c>
      <c r="H789">
        <v>0</v>
      </c>
      <c r="I789">
        <v>347074</v>
      </c>
      <c r="J789" s="6">
        <v>7.7750000000000004</v>
      </c>
      <c r="K789" s="4" t="str">
        <f t="shared" si="12"/>
        <v>Low</v>
      </c>
      <c r="L789" t="s">
        <v>3561</v>
      </c>
      <c r="M789" s="4" t="s">
        <v>3561</v>
      </c>
      <c r="N789" t="s">
        <v>457</v>
      </c>
      <c r="O789" t="s">
        <v>3569</v>
      </c>
      <c r="P789" s="4" t="s">
        <v>3573</v>
      </c>
      <c r="Q789" t="s">
        <v>3573</v>
      </c>
      <c r="R789" t="s">
        <v>725</v>
      </c>
    </row>
    <row r="790" spans="1:18">
      <c r="A790" t="s">
        <v>838</v>
      </c>
      <c r="B790" t="s">
        <v>840</v>
      </c>
      <c r="C790" t="s">
        <v>3036</v>
      </c>
      <c r="D790" t="s">
        <v>3552</v>
      </c>
      <c r="E790">
        <v>45</v>
      </c>
      <c r="F790" s="4" t="s">
        <v>3557</v>
      </c>
      <c r="G790" s="4">
        <v>0</v>
      </c>
      <c r="H790">
        <v>0</v>
      </c>
      <c r="I790">
        <v>347061</v>
      </c>
      <c r="J790" s="6">
        <v>6.9749999999999996</v>
      </c>
      <c r="K790" s="4" t="str">
        <f t="shared" si="12"/>
        <v>Low</v>
      </c>
      <c r="L790" t="s">
        <v>3561</v>
      </c>
      <c r="M790" s="4" t="s">
        <v>3561</v>
      </c>
      <c r="N790" t="s">
        <v>457</v>
      </c>
      <c r="O790" t="s">
        <v>3569</v>
      </c>
      <c r="P790" s="4" t="s">
        <v>3573</v>
      </c>
      <c r="Q790" t="s">
        <v>3573</v>
      </c>
      <c r="R790" t="s">
        <v>726</v>
      </c>
    </row>
    <row r="791" spans="1:18">
      <c r="A791" t="s">
        <v>838</v>
      </c>
      <c r="B791" t="s">
        <v>840</v>
      </c>
      <c r="C791" t="s">
        <v>3037</v>
      </c>
      <c r="D791" t="s">
        <v>3552</v>
      </c>
      <c r="E791">
        <v>28</v>
      </c>
      <c r="F791" s="4" t="s">
        <v>3555</v>
      </c>
      <c r="G791" s="4">
        <v>0</v>
      </c>
      <c r="H791">
        <v>0</v>
      </c>
      <c r="I791">
        <v>2674</v>
      </c>
      <c r="J791" s="6">
        <v>7.2249999999999996</v>
      </c>
      <c r="K791" s="4" t="str">
        <f t="shared" si="12"/>
        <v>Low</v>
      </c>
      <c r="L791" t="s">
        <v>3561</v>
      </c>
      <c r="M791" s="4" t="s">
        <v>3561</v>
      </c>
      <c r="N791" t="s">
        <v>3566</v>
      </c>
      <c r="O791" t="s">
        <v>3569</v>
      </c>
      <c r="P791" s="4" t="s">
        <v>3573</v>
      </c>
      <c r="Q791" t="s">
        <v>3573</v>
      </c>
    </row>
    <row r="792" spans="1:18">
      <c r="A792" t="s">
        <v>838</v>
      </c>
      <c r="B792" t="s">
        <v>840</v>
      </c>
      <c r="C792" t="s">
        <v>3038</v>
      </c>
      <c r="D792" t="s">
        <v>3552</v>
      </c>
      <c r="E792">
        <v>39</v>
      </c>
      <c r="F792" s="4" t="s">
        <v>3557</v>
      </c>
      <c r="G792" s="4">
        <v>2</v>
      </c>
      <c r="H792">
        <v>0</v>
      </c>
      <c r="I792">
        <v>2675</v>
      </c>
      <c r="J792" s="6">
        <v>7.2291999999999996</v>
      </c>
      <c r="K792" s="4" t="str">
        <f t="shared" si="12"/>
        <v>Low</v>
      </c>
      <c r="L792" t="s">
        <v>3561</v>
      </c>
      <c r="M792" s="4" t="s">
        <v>3561</v>
      </c>
      <c r="N792" t="s">
        <v>3566</v>
      </c>
      <c r="O792" t="s">
        <v>3569</v>
      </c>
      <c r="P792" s="4" t="s">
        <v>3573</v>
      </c>
      <c r="Q792" t="s">
        <v>3573</v>
      </c>
      <c r="R792" t="s">
        <v>650</v>
      </c>
    </row>
    <row r="793" spans="1:18">
      <c r="A793" t="s">
        <v>838</v>
      </c>
      <c r="B793" t="s">
        <v>840</v>
      </c>
      <c r="C793" t="s">
        <v>3038</v>
      </c>
      <c r="D793" t="s">
        <v>3552</v>
      </c>
      <c r="E793">
        <v>17</v>
      </c>
      <c r="F793" s="4" t="s">
        <v>3560</v>
      </c>
      <c r="G793" s="4">
        <v>1</v>
      </c>
      <c r="H793">
        <v>1</v>
      </c>
      <c r="I793">
        <v>2690</v>
      </c>
      <c r="J793" s="6">
        <v>7.2291999999999996</v>
      </c>
      <c r="K793" s="4" t="str">
        <f t="shared" si="12"/>
        <v>Low</v>
      </c>
      <c r="L793" t="s">
        <v>3561</v>
      </c>
      <c r="M793" s="4" t="s">
        <v>3561</v>
      </c>
      <c r="N793" t="s">
        <v>3566</v>
      </c>
      <c r="O793" t="s">
        <v>3569</v>
      </c>
      <c r="P793" s="4" t="s">
        <v>3573</v>
      </c>
      <c r="Q793" t="s">
        <v>3573</v>
      </c>
    </row>
    <row r="794" spans="1:18">
      <c r="A794" t="s">
        <v>838</v>
      </c>
      <c r="B794" t="s">
        <v>840</v>
      </c>
      <c r="C794" t="s">
        <v>3039</v>
      </c>
      <c r="D794" t="s">
        <v>3552</v>
      </c>
      <c r="E794">
        <v>15</v>
      </c>
      <c r="F794" s="4" t="s">
        <v>3560</v>
      </c>
      <c r="G794" s="4">
        <v>1</v>
      </c>
      <c r="H794">
        <v>1</v>
      </c>
      <c r="I794">
        <v>2695</v>
      </c>
      <c r="J794" s="6">
        <v>7.2291999999999996</v>
      </c>
      <c r="K794" s="4" t="str">
        <f t="shared" si="12"/>
        <v>Low</v>
      </c>
      <c r="L794" t="s">
        <v>3561</v>
      </c>
      <c r="M794" s="4" t="s">
        <v>3561</v>
      </c>
      <c r="N794" t="s">
        <v>3566</v>
      </c>
      <c r="O794" t="s">
        <v>3569</v>
      </c>
      <c r="P794" s="4" t="s">
        <v>3573</v>
      </c>
      <c r="Q794" t="s">
        <v>3573</v>
      </c>
      <c r="R794" t="s">
        <v>655</v>
      </c>
    </row>
    <row r="795" spans="1:18">
      <c r="A795" t="s">
        <v>838</v>
      </c>
      <c r="B795" t="s">
        <v>840</v>
      </c>
      <c r="C795" t="s">
        <v>3040</v>
      </c>
      <c r="D795" t="s">
        <v>3552</v>
      </c>
      <c r="E795">
        <v>47</v>
      </c>
      <c r="F795" s="4" t="s">
        <v>3557</v>
      </c>
      <c r="G795" s="4">
        <v>0</v>
      </c>
      <c r="H795">
        <v>0</v>
      </c>
      <c r="I795" t="s">
        <v>727</v>
      </c>
      <c r="J795" s="6">
        <v>7.25</v>
      </c>
      <c r="K795" s="4" t="str">
        <f t="shared" si="12"/>
        <v>Low</v>
      </c>
      <c r="L795" t="s">
        <v>3561</v>
      </c>
      <c r="M795" s="4" t="s">
        <v>3561</v>
      </c>
      <c r="N795" t="s">
        <v>457</v>
      </c>
      <c r="O795" t="s">
        <v>3569</v>
      </c>
      <c r="P795" s="4" t="s">
        <v>3573</v>
      </c>
      <c r="Q795" t="s">
        <v>3573</v>
      </c>
      <c r="R795" t="s">
        <v>728</v>
      </c>
    </row>
    <row r="796" spans="1:18">
      <c r="A796" t="s">
        <v>838</v>
      </c>
      <c r="B796" t="s">
        <v>9</v>
      </c>
      <c r="C796" t="s">
        <v>3041</v>
      </c>
      <c r="D796" t="s">
        <v>3551</v>
      </c>
      <c r="E796">
        <v>5</v>
      </c>
      <c r="F796" s="4" t="s">
        <v>3556</v>
      </c>
      <c r="G796" s="4">
        <v>0</v>
      </c>
      <c r="H796">
        <v>0</v>
      </c>
      <c r="I796">
        <v>364516</v>
      </c>
      <c r="J796" s="6">
        <v>12.475</v>
      </c>
      <c r="K796" s="4" t="str">
        <f t="shared" si="12"/>
        <v>Mid</v>
      </c>
      <c r="L796" t="s">
        <v>3561</v>
      </c>
      <c r="M796" s="4" t="s">
        <v>3561</v>
      </c>
      <c r="N796" t="s">
        <v>457</v>
      </c>
      <c r="O796">
        <v>13</v>
      </c>
      <c r="P796" s="4" t="s">
        <v>3573</v>
      </c>
      <c r="Q796" t="s">
        <v>3573</v>
      </c>
      <c r="R796" t="s">
        <v>53</v>
      </c>
    </row>
    <row r="797" spans="1:18">
      <c r="A797" t="s">
        <v>838</v>
      </c>
      <c r="B797" t="s">
        <v>840</v>
      </c>
      <c r="C797" t="s">
        <v>3042</v>
      </c>
      <c r="D797" t="s">
        <v>3552</v>
      </c>
      <c r="E797">
        <v>28</v>
      </c>
      <c r="F797" s="4" t="s">
        <v>3555</v>
      </c>
      <c r="G797" s="4">
        <v>0</v>
      </c>
      <c r="H797">
        <v>0</v>
      </c>
      <c r="I797">
        <v>2631</v>
      </c>
      <c r="J797" s="6">
        <v>7.2249999999999996</v>
      </c>
      <c r="K797" s="4" t="str">
        <f t="shared" si="12"/>
        <v>Low</v>
      </c>
      <c r="L797" t="s">
        <v>3561</v>
      </c>
      <c r="M797" s="4" t="s">
        <v>3561</v>
      </c>
      <c r="N797" t="s">
        <v>3566</v>
      </c>
      <c r="O797" t="s">
        <v>3569</v>
      </c>
      <c r="P797" s="4" t="s">
        <v>3573</v>
      </c>
      <c r="Q797" t="s">
        <v>3573</v>
      </c>
    </row>
    <row r="798" spans="1:18">
      <c r="A798" t="s">
        <v>838</v>
      </c>
      <c r="B798" t="s">
        <v>840</v>
      </c>
      <c r="C798" t="s">
        <v>3043</v>
      </c>
      <c r="D798" t="s">
        <v>3552</v>
      </c>
      <c r="E798">
        <v>41</v>
      </c>
      <c r="F798" s="4" t="s">
        <v>3557</v>
      </c>
      <c r="G798" s="4">
        <v>0</v>
      </c>
      <c r="H798">
        <v>0</v>
      </c>
      <c r="I798" t="s">
        <v>729</v>
      </c>
      <c r="J798" s="6">
        <v>15.1</v>
      </c>
      <c r="K798" s="4" t="str">
        <f t="shared" si="12"/>
        <v>Mid</v>
      </c>
      <c r="L798" t="s">
        <v>3561</v>
      </c>
      <c r="M798" s="4" t="s">
        <v>3561</v>
      </c>
      <c r="N798" t="s">
        <v>457</v>
      </c>
      <c r="O798" t="s">
        <v>3569</v>
      </c>
      <c r="P798" s="4">
        <v>187</v>
      </c>
      <c r="Q798" t="s">
        <v>3574</v>
      </c>
    </row>
    <row r="799" spans="1:18">
      <c r="A799" t="s">
        <v>838</v>
      </c>
      <c r="B799" t="s">
        <v>840</v>
      </c>
      <c r="C799" t="s">
        <v>3044</v>
      </c>
      <c r="D799" t="s">
        <v>3552</v>
      </c>
      <c r="E799">
        <v>41</v>
      </c>
      <c r="F799" s="4" t="s">
        <v>3557</v>
      </c>
      <c r="G799" s="4">
        <v>0</v>
      </c>
      <c r="H799">
        <v>0</v>
      </c>
      <c r="I799">
        <v>367232</v>
      </c>
      <c r="J799" s="6">
        <v>7.75</v>
      </c>
      <c r="K799" s="4" t="str">
        <f t="shared" si="12"/>
        <v>Low</v>
      </c>
      <c r="L799" t="s">
        <v>3561</v>
      </c>
      <c r="M799" s="4" t="s">
        <v>3561</v>
      </c>
      <c r="N799" t="s">
        <v>3567</v>
      </c>
      <c r="O799" t="s">
        <v>3569</v>
      </c>
      <c r="P799" s="4">
        <v>68</v>
      </c>
      <c r="Q799" t="s">
        <v>3574</v>
      </c>
      <c r="R799" t="s">
        <v>730</v>
      </c>
    </row>
    <row r="800" spans="1:18">
      <c r="A800" t="s">
        <v>838</v>
      </c>
      <c r="B800" t="s">
        <v>9</v>
      </c>
      <c r="C800" t="s">
        <v>3045</v>
      </c>
      <c r="D800" t="s">
        <v>3552</v>
      </c>
      <c r="E800">
        <v>28</v>
      </c>
      <c r="F800" s="4" t="s">
        <v>3555</v>
      </c>
      <c r="G800" s="4">
        <v>0</v>
      </c>
      <c r="H800">
        <v>0</v>
      </c>
      <c r="I800" t="s">
        <v>731</v>
      </c>
      <c r="J800" s="6">
        <v>7.05</v>
      </c>
      <c r="K800" s="4" t="str">
        <f t="shared" si="12"/>
        <v>Low</v>
      </c>
      <c r="L800" t="s">
        <v>3561</v>
      </c>
      <c r="M800" s="4" t="s">
        <v>3561</v>
      </c>
      <c r="N800" t="s">
        <v>457</v>
      </c>
      <c r="O800">
        <v>15</v>
      </c>
      <c r="P800" s="4" t="s">
        <v>3573</v>
      </c>
      <c r="Q800" t="s">
        <v>3573</v>
      </c>
      <c r="R800" t="s">
        <v>732</v>
      </c>
    </row>
    <row r="801" spans="1:18">
      <c r="A801" t="s">
        <v>838</v>
      </c>
      <c r="B801" t="s">
        <v>840</v>
      </c>
      <c r="C801" t="s">
        <v>3046</v>
      </c>
      <c r="D801" t="s">
        <v>3552</v>
      </c>
      <c r="E801">
        <v>18</v>
      </c>
      <c r="F801" s="4" t="s">
        <v>3555</v>
      </c>
      <c r="G801" s="4">
        <v>0</v>
      </c>
      <c r="H801">
        <v>0</v>
      </c>
      <c r="I801">
        <v>350036</v>
      </c>
      <c r="J801" s="6">
        <v>7.7957999999999998</v>
      </c>
      <c r="K801" s="4" t="str">
        <f t="shared" si="12"/>
        <v>Low</v>
      </c>
      <c r="L801" t="s">
        <v>3561</v>
      </c>
      <c r="M801" s="4" t="s">
        <v>3561</v>
      </c>
      <c r="N801" t="s">
        <v>457</v>
      </c>
      <c r="O801" t="s">
        <v>3569</v>
      </c>
      <c r="P801" s="4" t="s">
        <v>3573</v>
      </c>
      <c r="Q801" t="s">
        <v>3573</v>
      </c>
    </row>
    <row r="802" spans="1:18">
      <c r="A802" t="s">
        <v>838</v>
      </c>
      <c r="B802" t="s">
        <v>840</v>
      </c>
      <c r="C802" t="s">
        <v>3047</v>
      </c>
      <c r="D802" t="s">
        <v>3551</v>
      </c>
      <c r="E802">
        <v>28</v>
      </c>
      <c r="F802" s="4" t="s">
        <v>3555</v>
      </c>
      <c r="G802" s="4">
        <v>0</v>
      </c>
      <c r="H802">
        <v>0</v>
      </c>
      <c r="I802">
        <v>364859</v>
      </c>
      <c r="J802" s="6">
        <v>7.75</v>
      </c>
      <c r="K802" s="4" t="str">
        <f t="shared" si="12"/>
        <v>Low</v>
      </c>
      <c r="L802" t="s">
        <v>3561</v>
      </c>
      <c r="M802" s="4" t="s">
        <v>3561</v>
      </c>
      <c r="N802" t="s">
        <v>3567</v>
      </c>
      <c r="O802" t="s">
        <v>3569</v>
      </c>
      <c r="P802" s="4" t="s">
        <v>3573</v>
      </c>
      <c r="Q802" t="s">
        <v>3573</v>
      </c>
    </row>
    <row r="803" spans="1:18">
      <c r="A803" t="s">
        <v>838</v>
      </c>
      <c r="B803" t="s">
        <v>840</v>
      </c>
      <c r="C803" t="s">
        <v>3048</v>
      </c>
      <c r="D803" t="s">
        <v>3552</v>
      </c>
      <c r="E803">
        <v>28</v>
      </c>
      <c r="F803" s="4" t="s">
        <v>3555</v>
      </c>
      <c r="G803" s="4">
        <v>0</v>
      </c>
      <c r="H803">
        <v>0</v>
      </c>
      <c r="I803">
        <v>364851</v>
      </c>
      <c r="J803" s="6">
        <v>7.75</v>
      </c>
      <c r="K803" s="4" t="str">
        <f t="shared" si="12"/>
        <v>Low</v>
      </c>
      <c r="L803" t="s">
        <v>3561</v>
      </c>
      <c r="M803" s="4" t="s">
        <v>3561</v>
      </c>
      <c r="N803" t="s">
        <v>3567</v>
      </c>
      <c r="O803" t="s">
        <v>3569</v>
      </c>
      <c r="P803" s="4" t="s">
        <v>3573</v>
      </c>
      <c r="Q803" t="s">
        <v>3573</v>
      </c>
    </row>
    <row r="804" spans="1:18">
      <c r="A804" t="s">
        <v>838</v>
      </c>
      <c r="B804" t="s">
        <v>840</v>
      </c>
      <c r="C804" t="s">
        <v>2362</v>
      </c>
      <c r="D804" t="s">
        <v>3552</v>
      </c>
      <c r="E804">
        <v>28</v>
      </c>
      <c r="F804" s="4" t="s">
        <v>3555</v>
      </c>
      <c r="G804" s="4">
        <v>0</v>
      </c>
      <c r="H804">
        <v>0</v>
      </c>
      <c r="I804">
        <v>368323</v>
      </c>
      <c r="J804" s="6">
        <v>6.95</v>
      </c>
      <c r="K804" s="4" t="str">
        <f t="shared" si="12"/>
        <v>Low</v>
      </c>
      <c r="L804" t="s">
        <v>3561</v>
      </c>
      <c r="M804" s="4" t="s">
        <v>3561</v>
      </c>
      <c r="N804" t="s">
        <v>3567</v>
      </c>
      <c r="O804" t="s">
        <v>3569</v>
      </c>
      <c r="P804" s="4" t="s">
        <v>3573</v>
      </c>
      <c r="Q804" t="s">
        <v>3573</v>
      </c>
    </row>
    <row r="805" spans="1:18">
      <c r="A805" t="s">
        <v>838</v>
      </c>
      <c r="B805" t="s">
        <v>840</v>
      </c>
      <c r="C805" t="s">
        <v>3049</v>
      </c>
      <c r="D805" t="s">
        <v>3552</v>
      </c>
      <c r="E805">
        <v>26</v>
      </c>
      <c r="F805" s="4" t="s">
        <v>3555</v>
      </c>
      <c r="G805" s="4">
        <v>0</v>
      </c>
      <c r="H805">
        <v>0</v>
      </c>
      <c r="I805">
        <v>330910</v>
      </c>
      <c r="J805" s="6">
        <v>7.8792</v>
      </c>
      <c r="K805" s="4" t="str">
        <f t="shared" si="12"/>
        <v>Low</v>
      </c>
      <c r="L805" t="s">
        <v>3561</v>
      </c>
      <c r="M805" s="4" t="s">
        <v>3561</v>
      </c>
      <c r="N805" t="s">
        <v>3567</v>
      </c>
      <c r="O805" t="s">
        <v>3569</v>
      </c>
      <c r="P805" s="4" t="s">
        <v>3573</v>
      </c>
      <c r="Q805" t="s">
        <v>3573</v>
      </c>
      <c r="R805" t="s">
        <v>660</v>
      </c>
    </row>
    <row r="806" spans="1:18">
      <c r="A806" t="s">
        <v>838</v>
      </c>
      <c r="B806" t="s">
        <v>840</v>
      </c>
      <c r="C806" t="s">
        <v>3050</v>
      </c>
      <c r="D806" t="s">
        <v>3552</v>
      </c>
      <c r="E806">
        <v>28</v>
      </c>
      <c r="F806" s="4" t="s">
        <v>3555</v>
      </c>
      <c r="G806" s="4">
        <v>0</v>
      </c>
      <c r="H806">
        <v>0</v>
      </c>
      <c r="I806">
        <v>365235</v>
      </c>
      <c r="J806" s="6">
        <v>7.75</v>
      </c>
      <c r="K806" s="4" t="str">
        <f t="shared" si="12"/>
        <v>Low</v>
      </c>
      <c r="L806" t="s">
        <v>3561</v>
      </c>
      <c r="M806" s="4" t="s">
        <v>3561</v>
      </c>
      <c r="N806" t="s">
        <v>3567</v>
      </c>
      <c r="O806" t="s">
        <v>3569</v>
      </c>
      <c r="P806" s="4" t="s">
        <v>3573</v>
      </c>
      <c r="Q806" t="s">
        <v>3573</v>
      </c>
      <c r="R806" t="s">
        <v>687</v>
      </c>
    </row>
    <row r="807" spans="1:18">
      <c r="A807" t="s">
        <v>838</v>
      </c>
      <c r="B807" t="s">
        <v>9</v>
      </c>
      <c r="C807" t="s">
        <v>3051</v>
      </c>
      <c r="D807" t="s">
        <v>3552</v>
      </c>
      <c r="E807">
        <v>28</v>
      </c>
      <c r="F807" s="4" t="s">
        <v>3555</v>
      </c>
      <c r="G807" s="4">
        <v>0</v>
      </c>
      <c r="H807">
        <v>0</v>
      </c>
      <c r="I807">
        <v>1601</v>
      </c>
      <c r="J807" s="6">
        <v>56.495800000000003</v>
      </c>
      <c r="K807" s="4" t="str">
        <f t="shared" si="12"/>
        <v>High</v>
      </c>
      <c r="L807" t="s">
        <v>3561</v>
      </c>
      <c r="M807" s="4" t="s">
        <v>3561</v>
      </c>
      <c r="N807" t="s">
        <v>457</v>
      </c>
      <c r="O807">
        <v>13</v>
      </c>
      <c r="P807" s="4" t="s">
        <v>3573</v>
      </c>
      <c r="Q807" t="s">
        <v>3573</v>
      </c>
      <c r="R807" t="s">
        <v>656</v>
      </c>
    </row>
    <row r="808" spans="1:18">
      <c r="A808" t="s">
        <v>838</v>
      </c>
      <c r="B808" t="s">
        <v>840</v>
      </c>
      <c r="C808" t="s">
        <v>3052</v>
      </c>
      <c r="D808" t="s">
        <v>3551</v>
      </c>
      <c r="E808">
        <v>21</v>
      </c>
      <c r="F808" s="4" t="s">
        <v>3555</v>
      </c>
      <c r="G808" s="4">
        <v>2</v>
      </c>
      <c r="H808">
        <v>2</v>
      </c>
      <c r="I808" t="s">
        <v>733</v>
      </c>
      <c r="J808" s="6">
        <v>34.375</v>
      </c>
      <c r="K808" s="4" t="str">
        <f t="shared" si="12"/>
        <v>Mid</v>
      </c>
      <c r="L808" t="s">
        <v>3561</v>
      </c>
      <c r="M808" s="4" t="s">
        <v>3561</v>
      </c>
      <c r="N808" t="s">
        <v>457</v>
      </c>
      <c r="O808" t="s">
        <v>3569</v>
      </c>
      <c r="P808" s="4" t="s">
        <v>3573</v>
      </c>
      <c r="Q808" t="s">
        <v>3573</v>
      </c>
      <c r="R808" t="s">
        <v>734</v>
      </c>
    </row>
    <row r="809" spans="1:18">
      <c r="A809" t="s">
        <v>838</v>
      </c>
      <c r="B809" t="s">
        <v>840</v>
      </c>
      <c r="C809" t="s">
        <v>3053</v>
      </c>
      <c r="D809" t="s">
        <v>3551</v>
      </c>
      <c r="E809">
        <v>9</v>
      </c>
      <c r="F809" s="4" t="s">
        <v>3556</v>
      </c>
      <c r="G809" s="4">
        <v>2</v>
      </c>
      <c r="H809">
        <v>2</v>
      </c>
      <c r="I809" t="s">
        <v>733</v>
      </c>
      <c r="J809" s="6">
        <v>34.375</v>
      </c>
      <c r="K809" s="4" t="str">
        <f t="shared" si="12"/>
        <v>Mid</v>
      </c>
      <c r="L809" t="s">
        <v>3561</v>
      </c>
      <c r="M809" s="4" t="s">
        <v>3561</v>
      </c>
      <c r="N809" t="s">
        <v>457</v>
      </c>
      <c r="O809" t="s">
        <v>3569</v>
      </c>
      <c r="P809" s="4" t="s">
        <v>3573</v>
      </c>
      <c r="Q809" t="s">
        <v>3573</v>
      </c>
      <c r="R809" t="s">
        <v>734</v>
      </c>
    </row>
    <row r="810" spans="1:18">
      <c r="A810" t="s">
        <v>838</v>
      </c>
      <c r="B810" t="s">
        <v>840</v>
      </c>
      <c r="C810" t="s">
        <v>3054</v>
      </c>
      <c r="D810" t="s">
        <v>3552</v>
      </c>
      <c r="E810">
        <v>28</v>
      </c>
      <c r="F810" s="4" t="s">
        <v>3555</v>
      </c>
      <c r="G810" s="4">
        <v>0</v>
      </c>
      <c r="H810">
        <v>0</v>
      </c>
      <c r="I810" t="s">
        <v>735</v>
      </c>
      <c r="J810" s="6">
        <v>8.0500000000000007</v>
      </c>
      <c r="K810" s="4" t="str">
        <f t="shared" si="12"/>
        <v>Low</v>
      </c>
      <c r="L810" t="s">
        <v>3561</v>
      </c>
      <c r="M810" s="4" t="s">
        <v>3561</v>
      </c>
      <c r="N810" t="s">
        <v>457</v>
      </c>
      <c r="O810" t="s">
        <v>3569</v>
      </c>
      <c r="P810" s="4" t="s">
        <v>3573</v>
      </c>
      <c r="Q810" t="s">
        <v>3573</v>
      </c>
      <c r="R810" t="s">
        <v>736</v>
      </c>
    </row>
    <row r="811" spans="1:18">
      <c r="A811" t="s">
        <v>838</v>
      </c>
      <c r="B811" t="s">
        <v>840</v>
      </c>
      <c r="C811" t="s">
        <v>3055</v>
      </c>
      <c r="D811" t="s">
        <v>3552</v>
      </c>
      <c r="E811">
        <v>18</v>
      </c>
      <c r="F811" s="4" t="s">
        <v>3555</v>
      </c>
      <c r="G811" s="4">
        <v>2</v>
      </c>
      <c r="H811">
        <v>2</v>
      </c>
      <c r="I811" t="s">
        <v>733</v>
      </c>
      <c r="J811" s="6">
        <v>34.375</v>
      </c>
      <c r="K811" s="4" t="str">
        <f t="shared" si="12"/>
        <v>Mid</v>
      </c>
      <c r="L811" t="s">
        <v>3561</v>
      </c>
      <c r="M811" s="4" t="s">
        <v>3561</v>
      </c>
      <c r="N811" t="s">
        <v>457</v>
      </c>
      <c r="O811" t="s">
        <v>3569</v>
      </c>
      <c r="P811" s="4" t="s">
        <v>3573</v>
      </c>
      <c r="Q811" t="s">
        <v>3573</v>
      </c>
      <c r="R811" t="s">
        <v>734</v>
      </c>
    </row>
    <row r="812" spans="1:18">
      <c r="A812" t="s">
        <v>838</v>
      </c>
      <c r="B812" t="s">
        <v>840</v>
      </c>
      <c r="C812" t="s">
        <v>3056</v>
      </c>
      <c r="D812" t="s">
        <v>3552</v>
      </c>
      <c r="E812">
        <v>16</v>
      </c>
      <c r="F812" s="4" t="s">
        <v>3560</v>
      </c>
      <c r="G812" s="4">
        <v>3</v>
      </c>
      <c r="H812">
        <v>1</v>
      </c>
      <c r="I812" t="s">
        <v>733</v>
      </c>
      <c r="J812" s="6">
        <v>34.375</v>
      </c>
      <c r="K812" s="4" t="str">
        <f t="shared" si="12"/>
        <v>Mid</v>
      </c>
      <c r="L812" t="s">
        <v>3561</v>
      </c>
      <c r="M812" s="4" t="s">
        <v>3561</v>
      </c>
      <c r="N812" t="s">
        <v>457</v>
      </c>
      <c r="O812" t="s">
        <v>3569</v>
      </c>
      <c r="P812" s="4" t="s">
        <v>3573</v>
      </c>
      <c r="Q812" t="s">
        <v>3573</v>
      </c>
      <c r="R812" t="s">
        <v>734</v>
      </c>
    </row>
    <row r="813" spans="1:18">
      <c r="A813" t="s">
        <v>838</v>
      </c>
      <c r="B813" t="s">
        <v>840</v>
      </c>
      <c r="C813" t="s">
        <v>3057</v>
      </c>
      <c r="D813" t="s">
        <v>3551</v>
      </c>
      <c r="E813">
        <v>48</v>
      </c>
      <c r="F813" s="4" t="s">
        <v>3557</v>
      </c>
      <c r="G813" s="4">
        <v>3</v>
      </c>
      <c r="H813">
        <v>1</v>
      </c>
      <c r="I813" t="s">
        <v>733</v>
      </c>
      <c r="J813" s="6">
        <v>34.375</v>
      </c>
      <c r="K813" s="4" t="str">
        <f t="shared" si="12"/>
        <v>Mid</v>
      </c>
      <c r="L813" t="s">
        <v>3561</v>
      </c>
      <c r="M813" s="4" t="s">
        <v>3561</v>
      </c>
      <c r="N813" t="s">
        <v>457</v>
      </c>
      <c r="O813" t="s">
        <v>3569</v>
      </c>
      <c r="P813" s="4" t="s">
        <v>3573</v>
      </c>
      <c r="Q813" t="s">
        <v>3573</v>
      </c>
      <c r="R813" t="s">
        <v>734</v>
      </c>
    </row>
    <row r="814" spans="1:18">
      <c r="A814" t="s">
        <v>838</v>
      </c>
      <c r="B814" t="s">
        <v>840</v>
      </c>
      <c r="C814" t="s">
        <v>3058</v>
      </c>
      <c r="D814" t="s">
        <v>3552</v>
      </c>
      <c r="E814">
        <v>28</v>
      </c>
      <c r="F814" s="4" t="s">
        <v>3555</v>
      </c>
      <c r="G814" s="4">
        <v>0</v>
      </c>
      <c r="H814">
        <v>0</v>
      </c>
      <c r="I814">
        <v>368573</v>
      </c>
      <c r="J814" s="6">
        <v>7.75</v>
      </c>
      <c r="K814" s="4" t="str">
        <f t="shared" si="12"/>
        <v>Low</v>
      </c>
      <c r="L814" t="s">
        <v>3561</v>
      </c>
      <c r="M814" s="4" t="s">
        <v>3561</v>
      </c>
      <c r="N814" t="s">
        <v>3567</v>
      </c>
      <c r="O814" t="s">
        <v>3569</v>
      </c>
      <c r="P814" s="4" t="s">
        <v>3573</v>
      </c>
      <c r="Q814" t="s">
        <v>3573</v>
      </c>
      <c r="R814" t="s">
        <v>679</v>
      </c>
    </row>
    <row r="815" spans="1:18">
      <c r="A815" t="s">
        <v>838</v>
      </c>
      <c r="B815" t="s">
        <v>840</v>
      </c>
      <c r="C815" t="s">
        <v>3059</v>
      </c>
      <c r="D815" t="s">
        <v>3552</v>
      </c>
      <c r="E815">
        <v>28</v>
      </c>
      <c r="F815" s="4" t="s">
        <v>3555</v>
      </c>
      <c r="G815" s="4">
        <v>0</v>
      </c>
      <c r="H815">
        <v>0</v>
      </c>
      <c r="I815" t="s">
        <v>737</v>
      </c>
      <c r="J815" s="6">
        <v>7.25</v>
      </c>
      <c r="K815" s="4" t="str">
        <f t="shared" si="12"/>
        <v>Low</v>
      </c>
      <c r="L815" t="s">
        <v>3561</v>
      </c>
      <c r="M815" s="4" t="s">
        <v>3561</v>
      </c>
      <c r="N815" t="s">
        <v>457</v>
      </c>
      <c r="O815" t="s">
        <v>3569</v>
      </c>
      <c r="P815" s="4" t="s">
        <v>3573</v>
      </c>
      <c r="Q815" t="s">
        <v>3573</v>
      </c>
    </row>
    <row r="816" spans="1:18">
      <c r="A816" t="s">
        <v>838</v>
      </c>
      <c r="B816" t="s">
        <v>840</v>
      </c>
      <c r="C816" t="s">
        <v>3060</v>
      </c>
      <c r="D816" t="s">
        <v>3552</v>
      </c>
      <c r="E816">
        <v>25</v>
      </c>
      <c r="F816" s="4" t="s">
        <v>3555</v>
      </c>
      <c r="G816" s="4">
        <v>0</v>
      </c>
      <c r="H816">
        <v>0</v>
      </c>
      <c r="I816">
        <v>36864</v>
      </c>
      <c r="J816" s="6">
        <v>7.7416999999999998</v>
      </c>
      <c r="K816" s="4" t="str">
        <f t="shared" si="12"/>
        <v>Low</v>
      </c>
      <c r="L816" t="s">
        <v>3561</v>
      </c>
      <c r="M816" s="4" t="s">
        <v>3561</v>
      </c>
      <c r="N816" t="s">
        <v>3567</v>
      </c>
      <c r="O816" t="s">
        <v>3569</v>
      </c>
      <c r="P816" s="4" t="s">
        <v>3573</v>
      </c>
      <c r="Q816" t="s">
        <v>3573</v>
      </c>
      <c r="R816" t="s">
        <v>53</v>
      </c>
    </row>
    <row r="817" spans="1:18">
      <c r="A817" t="s">
        <v>838</v>
      </c>
      <c r="B817" t="s">
        <v>840</v>
      </c>
      <c r="C817" t="s">
        <v>3061</v>
      </c>
      <c r="D817" t="s">
        <v>3552</v>
      </c>
      <c r="E817">
        <v>28</v>
      </c>
      <c r="F817" s="4" t="s">
        <v>3555</v>
      </c>
      <c r="G817" s="4">
        <v>0</v>
      </c>
      <c r="H817">
        <v>0</v>
      </c>
      <c r="I817">
        <v>358585</v>
      </c>
      <c r="J817" s="6">
        <v>14.5</v>
      </c>
      <c r="K817" s="4" t="str">
        <f t="shared" si="12"/>
        <v>Mid</v>
      </c>
      <c r="L817" t="s">
        <v>3561</v>
      </c>
      <c r="M817" s="4" t="s">
        <v>3561</v>
      </c>
      <c r="N817" t="s">
        <v>457</v>
      </c>
      <c r="O817" t="s">
        <v>3569</v>
      </c>
      <c r="P817" s="4" t="s">
        <v>3573</v>
      </c>
      <c r="Q817" t="s">
        <v>3573</v>
      </c>
    </row>
    <row r="818" spans="1:18">
      <c r="A818" t="s">
        <v>838</v>
      </c>
      <c r="B818" t="s">
        <v>840</v>
      </c>
      <c r="C818" t="s">
        <v>3062</v>
      </c>
      <c r="D818" t="s">
        <v>3552</v>
      </c>
      <c r="E818">
        <v>28</v>
      </c>
      <c r="F818" s="4" t="s">
        <v>3555</v>
      </c>
      <c r="G818" s="4">
        <v>0</v>
      </c>
      <c r="H818">
        <v>0</v>
      </c>
      <c r="I818">
        <v>349254</v>
      </c>
      <c r="J818" s="6">
        <v>7.8958000000000004</v>
      </c>
      <c r="K818" s="4" t="str">
        <f t="shared" si="12"/>
        <v>Low</v>
      </c>
      <c r="L818" t="s">
        <v>3561</v>
      </c>
      <c r="M818" s="4" t="s">
        <v>3561</v>
      </c>
      <c r="N818" t="s">
        <v>3566</v>
      </c>
      <c r="O818" t="s">
        <v>3569</v>
      </c>
      <c r="P818" s="4" t="s">
        <v>3573</v>
      </c>
      <c r="Q818" t="s">
        <v>3573</v>
      </c>
    </row>
    <row r="819" spans="1:18">
      <c r="A819" t="s">
        <v>838</v>
      </c>
      <c r="B819" t="s">
        <v>840</v>
      </c>
      <c r="C819" t="s">
        <v>3063</v>
      </c>
      <c r="D819" t="s">
        <v>3552</v>
      </c>
      <c r="E819">
        <v>22</v>
      </c>
      <c r="F819" s="4" t="s">
        <v>3555</v>
      </c>
      <c r="G819" s="4">
        <v>0</v>
      </c>
      <c r="H819">
        <v>0</v>
      </c>
      <c r="I819">
        <v>14973</v>
      </c>
      <c r="J819" s="6">
        <v>8.0500000000000007</v>
      </c>
      <c r="K819" s="4" t="str">
        <f t="shared" si="12"/>
        <v>Low</v>
      </c>
      <c r="L819" t="s">
        <v>3561</v>
      </c>
      <c r="M819" s="4" t="s">
        <v>3561</v>
      </c>
      <c r="N819" t="s">
        <v>457</v>
      </c>
      <c r="O819" t="s">
        <v>3569</v>
      </c>
      <c r="P819" s="4">
        <v>47</v>
      </c>
      <c r="Q819" t="s">
        <v>3574</v>
      </c>
    </row>
    <row r="820" spans="1:18">
      <c r="A820" t="s">
        <v>838</v>
      </c>
      <c r="B820" t="s">
        <v>9</v>
      </c>
      <c r="C820" t="s">
        <v>3064</v>
      </c>
      <c r="D820" t="s">
        <v>3551</v>
      </c>
      <c r="E820">
        <v>16</v>
      </c>
      <c r="F820" s="4" t="s">
        <v>3560</v>
      </c>
      <c r="G820" s="4">
        <v>0</v>
      </c>
      <c r="H820">
        <v>0</v>
      </c>
      <c r="I820">
        <v>35851</v>
      </c>
      <c r="J820" s="6">
        <v>7.7332999999999998</v>
      </c>
      <c r="K820" s="4" t="str">
        <f t="shared" si="12"/>
        <v>Low</v>
      </c>
      <c r="L820" t="s">
        <v>3561</v>
      </c>
      <c r="M820" s="4" t="s">
        <v>3561</v>
      </c>
      <c r="N820" t="s">
        <v>3567</v>
      </c>
      <c r="O820">
        <v>16</v>
      </c>
      <c r="P820" s="4" t="s">
        <v>3573</v>
      </c>
      <c r="Q820" t="s">
        <v>3573</v>
      </c>
      <c r="R820" t="s">
        <v>675</v>
      </c>
    </row>
    <row r="821" spans="1:18">
      <c r="A821" t="s">
        <v>838</v>
      </c>
      <c r="B821" t="s">
        <v>9</v>
      </c>
      <c r="C821" t="s">
        <v>3065</v>
      </c>
      <c r="D821" t="s">
        <v>3551</v>
      </c>
      <c r="E821">
        <v>28</v>
      </c>
      <c r="F821" s="4" t="s">
        <v>3555</v>
      </c>
      <c r="G821" s="4">
        <v>0</v>
      </c>
      <c r="H821">
        <v>0</v>
      </c>
      <c r="I821">
        <v>335677</v>
      </c>
      <c r="J821" s="6">
        <v>7.75</v>
      </c>
      <c r="K821" s="4" t="str">
        <f t="shared" si="12"/>
        <v>Low</v>
      </c>
      <c r="L821" t="s">
        <v>3561</v>
      </c>
      <c r="M821" s="4" t="s">
        <v>3561</v>
      </c>
      <c r="N821" t="s">
        <v>3567</v>
      </c>
      <c r="O821">
        <v>13</v>
      </c>
      <c r="P821" s="4" t="s">
        <v>3573</v>
      </c>
      <c r="Q821" t="s">
        <v>3573</v>
      </c>
      <c r="R821" t="s">
        <v>738</v>
      </c>
    </row>
    <row r="822" spans="1:18">
      <c r="A822" t="s">
        <v>838</v>
      </c>
      <c r="B822" t="s">
        <v>9</v>
      </c>
      <c r="C822" t="s">
        <v>3066</v>
      </c>
      <c r="D822" t="s">
        <v>3552</v>
      </c>
      <c r="E822">
        <v>9</v>
      </c>
      <c r="F822" s="4" t="s">
        <v>3556</v>
      </c>
      <c r="G822" s="4">
        <v>2</v>
      </c>
      <c r="H822">
        <v>0</v>
      </c>
      <c r="I822">
        <v>363291</v>
      </c>
      <c r="J822" s="6">
        <v>20.524999999999999</v>
      </c>
      <c r="K822" s="4" t="str">
        <f t="shared" si="12"/>
        <v>Mid</v>
      </c>
      <c r="L822" t="s">
        <v>3561</v>
      </c>
      <c r="M822" s="4" t="s">
        <v>3561</v>
      </c>
      <c r="N822" t="s">
        <v>457</v>
      </c>
      <c r="O822" t="s">
        <v>739</v>
      </c>
      <c r="P822" s="4" t="s">
        <v>3573</v>
      </c>
      <c r="Q822" t="s">
        <v>3573</v>
      </c>
      <c r="R822" t="s">
        <v>740</v>
      </c>
    </row>
    <row r="823" spans="1:18">
      <c r="A823" t="s">
        <v>838</v>
      </c>
      <c r="B823" t="s">
        <v>840</v>
      </c>
      <c r="C823" t="s">
        <v>3067</v>
      </c>
      <c r="D823" t="s">
        <v>3552</v>
      </c>
      <c r="E823">
        <v>33</v>
      </c>
      <c r="F823" s="4" t="s">
        <v>3557</v>
      </c>
      <c r="G823" s="4">
        <v>1</v>
      </c>
      <c r="H823">
        <v>1</v>
      </c>
      <c r="I823">
        <v>363291</v>
      </c>
      <c r="J823" s="6">
        <v>20.524999999999999</v>
      </c>
      <c r="K823" s="4" t="str">
        <f t="shared" si="12"/>
        <v>Mid</v>
      </c>
      <c r="L823" t="s">
        <v>3561</v>
      </c>
      <c r="M823" s="4" t="s">
        <v>3561</v>
      </c>
      <c r="N823" t="s">
        <v>457</v>
      </c>
      <c r="O823" t="s">
        <v>3569</v>
      </c>
      <c r="P823" s="4" t="s">
        <v>3573</v>
      </c>
      <c r="Q823" t="s">
        <v>3573</v>
      </c>
      <c r="R823" t="s">
        <v>740</v>
      </c>
    </row>
    <row r="824" spans="1:18">
      <c r="A824" t="s">
        <v>838</v>
      </c>
      <c r="B824" t="s">
        <v>840</v>
      </c>
      <c r="C824" t="s">
        <v>3068</v>
      </c>
      <c r="D824" t="s">
        <v>3552</v>
      </c>
      <c r="E824">
        <v>41</v>
      </c>
      <c r="F824" s="4" t="s">
        <v>3557</v>
      </c>
      <c r="G824" s="4">
        <v>0</v>
      </c>
      <c r="H824">
        <v>0</v>
      </c>
      <c r="I824" t="s">
        <v>741</v>
      </c>
      <c r="J824" s="6">
        <v>7.85</v>
      </c>
      <c r="K824" s="4" t="str">
        <f t="shared" si="12"/>
        <v>Low</v>
      </c>
      <c r="L824" t="s">
        <v>3561</v>
      </c>
      <c r="M824" s="4" t="s">
        <v>3561</v>
      </c>
      <c r="N824" t="s">
        <v>457</v>
      </c>
      <c r="O824" t="s">
        <v>3569</v>
      </c>
      <c r="P824" s="4" t="s">
        <v>3573</v>
      </c>
      <c r="Q824" t="s">
        <v>3573</v>
      </c>
      <c r="R824" t="s">
        <v>111</v>
      </c>
    </row>
    <row r="825" spans="1:18">
      <c r="A825" t="s">
        <v>838</v>
      </c>
      <c r="B825" t="s">
        <v>9</v>
      </c>
      <c r="C825" t="s">
        <v>3069</v>
      </c>
      <c r="D825" t="s">
        <v>3551</v>
      </c>
      <c r="E825">
        <v>31</v>
      </c>
      <c r="F825" s="4" t="s">
        <v>3557</v>
      </c>
      <c r="G825" s="4">
        <v>1</v>
      </c>
      <c r="H825">
        <v>1</v>
      </c>
      <c r="I825">
        <v>363291</v>
      </c>
      <c r="J825" s="6">
        <v>20.524999999999999</v>
      </c>
      <c r="K825" s="4" t="str">
        <f t="shared" si="12"/>
        <v>Mid</v>
      </c>
      <c r="L825" t="s">
        <v>3561</v>
      </c>
      <c r="M825" s="4" t="s">
        <v>3561</v>
      </c>
      <c r="N825" t="s">
        <v>457</v>
      </c>
      <c r="O825" t="s">
        <v>739</v>
      </c>
      <c r="P825" s="4" t="s">
        <v>3573</v>
      </c>
      <c r="Q825" t="s">
        <v>3573</v>
      </c>
      <c r="R825" t="s">
        <v>740</v>
      </c>
    </row>
    <row r="826" spans="1:18">
      <c r="A826" t="s">
        <v>838</v>
      </c>
      <c r="B826" t="s">
        <v>840</v>
      </c>
      <c r="C826" t="s">
        <v>3070</v>
      </c>
      <c r="D826" t="s">
        <v>3552</v>
      </c>
      <c r="E826">
        <v>38</v>
      </c>
      <c r="F826" s="4" t="s">
        <v>3557</v>
      </c>
      <c r="G826" s="4">
        <v>0</v>
      </c>
      <c r="H826">
        <v>0</v>
      </c>
      <c r="I826" t="s">
        <v>742</v>
      </c>
      <c r="J826" s="6">
        <v>7.05</v>
      </c>
      <c r="K826" s="4" t="str">
        <f t="shared" si="12"/>
        <v>Low</v>
      </c>
      <c r="L826" t="s">
        <v>3561</v>
      </c>
      <c r="M826" s="4" t="s">
        <v>3561</v>
      </c>
      <c r="N826" t="s">
        <v>457</v>
      </c>
      <c r="O826" t="s">
        <v>3569</v>
      </c>
      <c r="P826" s="4" t="s">
        <v>3573</v>
      </c>
      <c r="Q826" t="s">
        <v>3573</v>
      </c>
      <c r="R826" t="s">
        <v>682</v>
      </c>
    </row>
    <row r="827" spans="1:18">
      <c r="A827" t="s">
        <v>838</v>
      </c>
      <c r="B827" t="s">
        <v>840</v>
      </c>
      <c r="C827" t="s">
        <v>3071</v>
      </c>
      <c r="D827" t="s">
        <v>3552</v>
      </c>
      <c r="E827">
        <v>9</v>
      </c>
      <c r="F827" s="4" t="s">
        <v>3556</v>
      </c>
      <c r="G827" s="4">
        <v>2</v>
      </c>
      <c r="H827">
        <v>5</v>
      </c>
      <c r="I827" t="s">
        <v>743</v>
      </c>
      <c r="J827" s="6">
        <v>46.9</v>
      </c>
      <c r="K827" s="4" t="str">
        <f t="shared" si="12"/>
        <v>Mid</v>
      </c>
      <c r="L827" t="s">
        <v>3561</v>
      </c>
      <c r="M827" s="4" t="s">
        <v>3561</v>
      </c>
      <c r="N827" t="s">
        <v>457</v>
      </c>
      <c r="O827" t="s">
        <v>3569</v>
      </c>
      <c r="P827" s="4" t="s">
        <v>3573</v>
      </c>
      <c r="Q827" t="s">
        <v>3573</v>
      </c>
      <c r="R827" t="s">
        <v>744</v>
      </c>
    </row>
    <row r="828" spans="1:18">
      <c r="A828" t="s">
        <v>838</v>
      </c>
      <c r="B828" t="s">
        <v>840</v>
      </c>
      <c r="C828" t="s">
        <v>3072</v>
      </c>
      <c r="D828" t="s">
        <v>3552</v>
      </c>
      <c r="E828">
        <v>1</v>
      </c>
      <c r="F828" s="4" t="s">
        <v>3556</v>
      </c>
      <c r="G828" s="4">
        <v>2</v>
      </c>
      <c r="H828">
        <v>5</v>
      </c>
      <c r="I828" t="s">
        <v>743</v>
      </c>
      <c r="J828" s="6">
        <v>46.9</v>
      </c>
      <c r="K828" s="4" t="str">
        <f t="shared" si="12"/>
        <v>Mid</v>
      </c>
      <c r="L828" t="s">
        <v>3561</v>
      </c>
      <c r="M828" s="4" t="s">
        <v>3561</v>
      </c>
      <c r="N828" t="s">
        <v>457</v>
      </c>
      <c r="O828" t="s">
        <v>3569</v>
      </c>
      <c r="P828" s="4" t="s">
        <v>3573</v>
      </c>
      <c r="Q828" t="s">
        <v>3573</v>
      </c>
      <c r="R828" t="s">
        <v>744</v>
      </c>
    </row>
    <row r="829" spans="1:18">
      <c r="A829" t="s">
        <v>838</v>
      </c>
      <c r="B829" t="s">
        <v>840</v>
      </c>
      <c r="C829" t="s">
        <v>3073</v>
      </c>
      <c r="D829" t="s">
        <v>3552</v>
      </c>
      <c r="E829">
        <v>11</v>
      </c>
      <c r="F829" s="4" t="s">
        <v>3560</v>
      </c>
      <c r="G829" s="4">
        <v>2</v>
      </c>
      <c r="H829">
        <v>5</v>
      </c>
      <c r="I829" t="s">
        <v>743</v>
      </c>
      <c r="J829" s="6">
        <v>46.9</v>
      </c>
      <c r="K829" s="4" t="str">
        <f t="shared" si="12"/>
        <v>Mid</v>
      </c>
      <c r="L829" t="s">
        <v>3561</v>
      </c>
      <c r="M829" s="4" t="s">
        <v>3561</v>
      </c>
      <c r="N829" t="s">
        <v>457</v>
      </c>
      <c r="O829" t="s">
        <v>3569</v>
      </c>
      <c r="P829" s="4" t="s">
        <v>3573</v>
      </c>
      <c r="Q829" t="s">
        <v>3573</v>
      </c>
      <c r="R829" t="s">
        <v>744</v>
      </c>
    </row>
    <row r="830" spans="1:18">
      <c r="A830" t="s">
        <v>838</v>
      </c>
      <c r="B830" t="s">
        <v>840</v>
      </c>
      <c r="C830" t="s">
        <v>3074</v>
      </c>
      <c r="D830" t="s">
        <v>3551</v>
      </c>
      <c r="E830">
        <v>10</v>
      </c>
      <c r="F830" s="4" t="s">
        <v>3560</v>
      </c>
      <c r="G830" s="4">
        <v>2</v>
      </c>
      <c r="H830">
        <v>5</v>
      </c>
      <c r="I830" t="s">
        <v>743</v>
      </c>
      <c r="J830" s="6">
        <v>46.9</v>
      </c>
      <c r="K830" s="4" t="str">
        <f t="shared" si="12"/>
        <v>Mid</v>
      </c>
      <c r="L830" t="s">
        <v>3561</v>
      </c>
      <c r="M830" s="4" t="s">
        <v>3561</v>
      </c>
      <c r="N830" t="s">
        <v>457</v>
      </c>
      <c r="O830" t="s">
        <v>3569</v>
      </c>
      <c r="P830" s="4" t="s">
        <v>3573</v>
      </c>
      <c r="Q830" t="s">
        <v>3573</v>
      </c>
      <c r="R830" t="s">
        <v>744</v>
      </c>
    </row>
    <row r="831" spans="1:18">
      <c r="A831" t="s">
        <v>838</v>
      </c>
      <c r="B831" t="s">
        <v>840</v>
      </c>
      <c r="C831" t="s">
        <v>3075</v>
      </c>
      <c r="D831" t="s">
        <v>3551</v>
      </c>
      <c r="E831">
        <v>16</v>
      </c>
      <c r="F831" s="4" t="s">
        <v>3560</v>
      </c>
      <c r="G831" s="4">
        <v>2</v>
      </c>
      <c r="H831">
        <v>5</v>
      </c>
      <c r="I831" t="s">
        <v>743</v>
      </c>
      <c r="J831" s="6">
        <v>46.9</v>
      </c>
      <c r="K831" s="4" t="str">
        <f t="shared" si="12"/>
        <v>Mid</v>
      </c>
      <c r="L831" t="s">
        <v>3561</v>
      </c>
      <c r="M831" s="4" t="s">
        <v>3561</v>
      </c>
      <c r="N831" t="s">
        <v>457</v>
      </c>
      <c r="O831" t="s">
        <v>3569</v>
      </c>
      <c r="P831" s="4" t="s">
        <v>3573</v>
      </c>
      <c r="Q831" t="s">
        <v>3573</v>
      </c>
      <c r="R831" t="s">
        <v>744</v>
      </c>
    </row>
    <row r="832" spans="1:18">
      <c r="A832" t="s">
        <v>838</v>
      </c>
      <c r="B832" t="s">
        <v>840</v>
      </c>
      <c r="C832" t="s">
        <v>3076</v>
      </c>
      <c r="D832" t="s">
        <v>3552</v>
      </c>
      <c r="E832">
        <v>14</v>
      </c>
      <c r="F832" s="4" t="s">
        <v>3560</v>
      </c>
      <c r="G832" s="4">
        <v>2</v>
      </c>
      <c r="H832">
        <v>5</v>
      </c>
      <c r="I832" t="s">
        <v>743</v>
      </c>
      <c r="J832" s="6">
        <v>46.9</v>
      </c>
      <c r="K832" s="4" t="str">
        <f t="shared" si="12"/>
        <v>Mid</v>
      </c>
      <c r="L832" t="s">
        <v>3561</v>
      </c>
      <c r="M832" s="4" t="s">
        <v>3561</v>
      </c>
      <c r="N832" t="s">
        <v>457</v>
      </c>
      <c r="O832" t="s">
        <v>3569</v>
      </c>
      <c r="P832" s="4" t="s">
        <v>3573</v>
      </c>
      <c r="Q832" t="s">
        <v>3573</v>
      </c>
      <c r="R832" t="s">
        <v>744</v>
      </c>
    </row>
    <row r="833" spans="1:18">
      <c r="A833" t="s">
        <v>838</v>
      </c>
      <c r="B833" t="s">
        <v>840</v>
      </c>
      <c r="C833" t="s">
        <v>3076</v>
      </c>
      <c r="D833" t="s">
        <v>3552</v>
      </c>
      <c r="E833">
        <v>40</v>
      </c>
      <c r="F833" s="4" t="s">
        <v>3557</v>
      </c>
      <c r="G833" s="4">
        <v>6</v>
      </c>
      <c r="H833">
        <v>1</v>
      </c>
      <c r="I833" t="s">
        <v>743</v>
      </c>
      <c r="J833" s="6">
        <v>46.9</v>
      </c>
      <c r="K833" s="4" t="str">
        <f t="shared" si="12"/>
        <v>Mid</v>
      </c>
      <c r="L833" t="s">
        <v>3561</v>
      </c>
      <c r="M833" s="4" t="s">
        <v>3561</v>
      </c>
      <c r="N833" t="s">
        <v>457</v>
      </c>
      <c r="O833" t="s">
        <v>3569</v>
      </c>
      <c r="P833" s="4" t="s">
        <v>3573</v>
      </c>
      <c r="Q833" t="s">
        <v>3573</v>
      </c>
      <c r="R833" t="s">
        <v>744</v>
      </c>
    </row>
    <row r="834" spans="1:18">
      <c r="A834" t="s">
        <v>838</v>
      </c>
      <c r="B834" t="s">
        <v>840</v>
      </c>
      <c r="C834" t="s">
        <v>3077</v>
      </c>
      <c r="D834" t="s">
        <v>3551</v>
      </c>
      <c r="E834">
        <v>43</v>
      </c>
      <c r="F834" s="4" t="s">
        <v>3557</v>
      </c>
      <c r="G834" s="4">
        <v>6</v>
      </c>
      <c r="H834">
        <v>1</v>
      </c>
      <c r="I834" t="s">
        <v>743</v>
      </c>
      <c r="J834" s="6">
        <v>46.9</v>
      </c>
      <c r="K834" s="4" t="str">
        <f t="shared" si="12"/>
        <v>Mid</v>
      </c>
      <c r="L834" t="s">
        <v>3561</v>
      </c>
      <c r="M834" s="4" t="s">
        <v>3561</v>
      </c>
      <c r="N834" t="s">
        <v>457</v>
      </c>
      <c r="O834" t="s">
        <v>3569</v>
      </c>
      <c r="P834" s="4" t="s">
        <v>3573</v>
      </c>
      <c r="Q834" t="s">
        <v>3573</v>
      </c>
      <c r="R834" t="s">
        <v>744</v>
      </c>
    </row>
    <row r="835" spans="1:18">
      <c r="A835" t="s">
        <v>838</v>
      </c>
      <c r="B835" t="s">
        <v>840</v>
      </c>
      <c r="C835" t="s">
        <v>3078</v>
      </c>
      <c r="D835" t="s">
        <v>3552</v>
      </c>
      <c r="E835">
        <v>51</v>
      </c>
      <c r="F835" s="4" t="s">
        <v>3557</v>
      </c>
      <c r="G835" s="4">
        <v>0</v>
      </c>
      <c r="H835">
        <v>0</v>
      </c>
      <c r="I835">
        <v>21440</v>
      </c>
      <c r="J835" s="6">
        <v>8.0500000000000007</v>
      </c>
      <c r="K835" s="4" t="str">
        <f t="shared" ref="K835:K898" si="13">IF(J835&lt;=10,"Low",IF(J835&lt;=50,"Mid","High"))</f>
        <v>Low</v>
      </c>
      <c r="L835" t="s">
        <v>3561</v>
      </c>
      <c r="M835" s="4" t="s">
        <v>3561</v>
      </c>
      <c r="N835" t="s">
        <v>457</v>
      </c>
      <c r="O835" t="s">
        <v>3569</v>
      </c>
      <c r="P835" s="4" t="s">
        <v>3573</v>
      </c>
      <c r="Q835" t="s">
        <v>3573</v>
      </c>
      <c r="R835" t="s">
        <v>745</v>
      </c>
    </row>
    <row r="836" spans="1:18">
      <c r="A836" t="s">
        <v>838</v>
      </c>
      <c r="B836" t="s">
        <v>840</v>
      </c>
      <c r="C836" t="s">
        <v>3079</v>
      </c>
      <c r="D836" t="s">
        <v>3552</v>
      </c>
      <c r="E836">
        <v>32</v>
      </c>
      <c r="F836" s="4" t="s">
        <v>3557</v>
      </c>
      <c r="G836" s="4">
        <v>0</v>
      </c>
      <c r="H836">
        <v>0</v>
      </c>
      <c r="I836">
        <v>8471</v>
      </c>
      <c r="J836" s="6">
        <v>8.3625000000000007</v>
      </c>
      <c r="K836" s="4" t="str">
        <f t="shared" si="13"/>
        <v>Low</v>
      </c>
      <c r="L836" t="s">
        <v>3561</v>
      </c>
      <c r="M836" s="4" t="s">
        <v>3561</v>
      </c>
      <c r="N836" t="s">
        <v>457</v>
      </c>
      <c r="O836" t="s">
        <v>3569</v>
      </c>
      <c r="P836" s="4" t="s">
        <v>3573</v>
      </c>
      <c r="Q836" t="s">
        <v>3573</v>
      </c>
      <c r="R836" t="s">
        <v>746</v>
      </c>
    </row>
    <row r="837" spans="1:18">
      <c r="A837" t="s">
        <v>838</v>
      </c>
      <c r="B837" t="s">
        <v>840</v>
      </c>
      <c r="C837" t="s">
        <v>3080</v>
      </c>
      <c r="D837" t="s">
        <v>3552</v>
      </c>
      <c r="E837">
        <v>28</v>
      </c>
      <c r="F837" s="4" t="s">
        <v>3555</v>
      </c>
      <c r="G837" s="4">
        <v>0</v>
      </c>
      <c r="H837">
        <v>0</v>
      </c>
      <c r="I837">
        <v>376563</v>
      </c>
      <c r="J837" s="6">
        <v>8.0500000000000007</v>
      </c>
      <c r="K837" s="4" t="str">
        <f t="shared" si="13"/>
        <v>Low</v>
      </c>
      <c r="L837" t="s">
        <v>3561</v>
      </c>
      <c r="M837" s="4" t="s">
        <v>3561</v>
      </c>
      <c r="N837" t="s">
        <v>457</v>
      </c>
      <c r="O837" t="s">
        <v>3569</v>
      </c>
      <c r="P837" s="4" t="s">
        <v>3573</v>
      </c>
      <c r="Q837" t="s">
        <v>3573</v>
      </c>
    </row>
    <row r="838" spans="1:18">
      <c r="A838" t="s">
        <v>838</v>
      </c>
      <c r="B838" t="s">
        <v>840</v>
      </c>
      <c r="C838" t="s">
        <v>3081</v>
      </c>
      <c r="D838" t="s">
        <v>3552</v>
      </c>
      <c r="E838">
        <v>20</v>
      </c>
      <c r="F838" s="4" t="s">
        <v>3555</v>
      </c>
      <c r="G838" s="4">
        <v>0</v>
      </c>
      <c r="H838">
        <v>0</v>
      </c>
      <c r="I838">
        <v>7534</v>
      </c>
      <c r="J838" s="6">
        <v>9.8458000000000006</v>
      </c>
      <c r="K838" s="4" t="str">
        <f t="shared" si="13"/>
        <v>Low</v>
      </c>
      <c r="L838" t="s">
        <v>3561</v>
      </c>
      <c r="M838" s="4" t="s">
        <v>3561</v>
      </c>
      <c r="N838" t="s">
        <v>457</v>
      </c>
      <c r="O838" t="s">
        <v>3569</v>
      </c>
      <c r="P838" s="4" t="s">
        <v>3573</v>
      </c>
      <c r="Q838" t="s">
        <v>3573</v>
      </c>
      <c r="R838" t="s">
        <v>747</v>
      </c>
    </row>
    <row r="839" spans="1:18">
      <c r="A839" t="s">
        <v>838</v>
      </c>
      <c r="B839" t="s">
        <v>840</v>
      </c>
      <c r="C839" t="s">
        <v>3082</v>
      </c>
      <c r="D839" t="s">
        <v>3552</v>
      </c>
      <c r="E839">
        <v>37</v>
      </c>
      <c r="F839" s="4" t="s">
        <v>3557</v>
      </c>
      <c r="G839" s="4">
        <v>0</v>
      </c>
      <c r="H839">
        <v>2</v>
      </c>
      <c r="I839">
        <v>3101276</v>
      </c>
      <c r="J839" s="6">
        <v>7.9249999999999998</v>
      </c>
      <c r="K839" s="4" t="str">
        <f t="shared" si="13"/>
        <v>Low</v>
      </c>
      <c r="L839" t="s">
        <v>3561</v>
      </c>
      <c r="M839" s="4" t="s">
        <v>3561</v>
      </c>
      <c r="N839" t="s">
        <v>457</v>
      </c>
      <c r="O839" t="s">
        <v>3569</v>
      </c>
      <c r="P839" s="4">
        <v>98</v>
      </c>
      <c r="Q839" t="s">
        <v>3574</v>
      </c>
      <c r="R839" t="s">
        <v>646</v>
      </c>
    </row>
    <row r="840" spans="1:18">
      <c r="A840" t="s">
        <v>838</v>
      </c>
      <c r="B840" t="s">
        <v>840</v>
      </c>
      <c r="C840" t="s">
        <v>3083</v>
      </c>
      <c r="D840" t="s">
        <v>3552</v>
      </c>
      <c r="E840">
        <v>28</v>
      </c>
      <c r="F840" s="4" t="s">
        <v>3555</v>
      </c>
      <c r="G840" s="4">
        <v>0</v>
      </c>
      <c r="H840">
        <v>2</v>
      </c>
      <c r="I840">
        <v>3101277</v>
      </c>
      <c r="J840" s="6">
        <v>7.9249999999999998</v>
      </c>
      <c r="K840" s="4" t="str">
        <f t="shared" si="13"/>
        <v>Low</v>
      </c>
      <c r="L840" t="s">
        <v>3561</v>
      </c>
      <c r="M840" s="4" t="s">
        <v>3561</v>
      </c>
      <c r="N840" t="s">
        <v>457</v>
      </c>
      <c r="O840" t="s">
        <v>3569</v>
      </c>
      <c r="P840" s="4" t="s">
        <v>3573</v>
      </c>
      <c r="Q840" t="s">
        <v>3573</v>
      </c>
      <c r="R840" t="s">
        <v>646</v>
      </c>
    </row>
    <row r="841" spans="1:18">
      <c r="A841" t="s">
        <v>838</v>
      </c>
      <c r="B841" t="s">
        <v>840</v>
      </c>
      <c r="C841" t="s">
        <v>3084</v>
      </c>
      <c r="D841" t="s">
        <v>3552</v>
      </c>
      <c r="E841">
        <v>19</v>
      </c>
      <c r="F841" s="4" t="s">
        <v>3555</v>
      </c>
      <c r="G841" s="4">
        <v>0</v>
      </c>
      <c r="H841">
        <v>0</v>
      </c>
      <c r="I841">
        <v>347069</v>
      </c>
      <c r="J841" s="6">
        <v>7.7750000000000004</v>
      </c>
      <c r="K841" s="4" t="str">
        <f t="shared" si="13"/>
        <v>Low</v>
      </c>
      <c r="L841" t="s">
        <v>3561</v>
      </c>
      <c r="M841" s="4" t="s">
        <v>3561</v>
      </c>
      <c r="N841" t="s">
        <v>457</v>
      </c>
      <c r="O841" t="s">
        <v>3569</v>
      </c>
      <c r="P841" s="4" t="s">
        <v>3573</v>
      </c>
      <c r="Q841" t="s">
        <v>3573</v>
      </c>
      <c r="R841" t="s">
        <v>748</v>
      </c>
    </row>
    <row r="842" spans="1:18">
      <c r="A842" t="s">
        <v>838</v>
      </c>
      <c r="B842" t="s">
        <v>840</v>
      </c>
      <c r="C842" t="s">
        <v>3085</v>
      </c>
      <c r="D842" t="s">
        <v>3551</v>
      </c>
      <c r="E842">
        <v>24</v>
      </c>
      <c r="F842" s="4" t="s">
        <v>3555</v>
      </c>
      <c r="G842" s="4">
        <v>0</v>
      </c>
      <c r="H842">
        <v>0</v>
      </c>
      <c r="I842">
        <v>349236</v>
      </c>
      <c r="J842" s="6">
        <v>8.85</v>
      </c>
      <c r="K842" s="4" t="str">
        <f t="shared" si="13"/>
        <v>Low</v>
      </c>
      <c r="L842" t="s">
        <v>3561</v>
      </c>
      <c r="M842" s="4" t="s">
        <v>3561</v>
      </c>
      <c r="N842" t="s">
        <v>457</v>
      </c>
      <c r="O842" t="s">
        <v>3569</v>
      </c>
      <c r="P842" s="4" t="s">
        <v>3573</v>
      </c>
      <c r="Q842" t="s">
        <v>3573</v>
      </c>
    </row>
    <row r="843" spans="1:18">
      <c r="A843" t="s">
        <v>838</v>
      </c>
      <c r="B843" t="s">
        <v>840</v>
      </c>
      <c r="C843" t="s">
        <v>3086</v>
      </c>
      <c r="D843" t="s">
        <v>3551</v>
      </c>
      <c r="E843">
        <v>17</v>
      </c>
      <c r="F843" s="4" t="s">
        <v>3560</v>
      </c>
      <c r="G843" s="4">
        <v>0</v>
      </c>
      <c r="H843">
        <v>0</v>
      </c>
      <c r="I843" t="s">
        <v>749</v>
      </c>
      <c r="J843" s="6">
        <v>7.7332999999999998</v>
      </c>
      <c r="K843" s="4" t="str">
        <f t="shared" si="13"/>
        <v>Low</v>
      </c>
      <c r="L843" t="s">
        <v>3561</v>
      </c>
      <c r="M843" s="4" t="s">
        <v>3561</v>
      </c>
      <c r="N843" t="s">
        <v>3567</v>
      </c>
      <c r="O843" t="s">
        <v>3569</v>
      </c>
      <c r="P843" s="4" t="s">
        <v>3573</v>
      </c>
      <c r="Q843" t="s">
        <v>3573</v>
      </c>
    </row>
    <row r="844" spans="1:18">
      <c r="A844" t="s">
        <v>838</v>
      </c>
      <c r="B844" t="s">
        <v>840</v>
      </c>
      <c r="C844" t="s">
        <v>3087</v>
      </c>
      <c r="D844" t="s">
        <v>3552</v>
      </c>
      <c r="E844">
        <v>28</v>
      </c>
      <c r="F844" s="4" t="s">
        <v>3555</v>
      </c>
      <c r="G844" s="4">
        <v>0</v>
      </c>
      <c r="H844">
        <v>1</v>
      </c>
      <c r="I844">
        <v>65303</v>
      </c>
      <c r="J844" s="6">
        <v>19.966699999999999</v>
      </c>
      <c r="K844" s="4" t="str">
        <f t="shared" si="13"/>
        <v>Mid</v>
      </c>
      <c r="L844" t="s">
        <v>3561</v>
      </c>
      <c r="M844" s="4" t="s">
        <v>3561</v>
      </c>
      <c r="N844" t="s">
        <v>457</v>
      </c>
      <c r="O844" t="s">
        <v>3569</v>
      </c>
      <c r="P844" s="4" t="s">
        <v>3573</v>
      </c>
      <c r="Q844" t="s">
        <v>3573</v>
      </c>
    </row>
    <row r="845" spans="1:18">
      <c r="A845" t="s">
        <v>838</v>
      </c>
      <c r="B845" t="s">
        <v>840</v>
      </c>
      <c r="C845" t="s">
        <v>3088</v>
      </c>
      <c r="D845" t="s">
        <v>3552</v>
      </c>
      <c r="E845">
        <v>28</v>
      </c>
      <c r="F845" s="4" t="s">
        <v>3555</v>
      </c>
      <c r="G845" s="4">
        <v>0</v>
      </c>
      <c r="H845">
        <v>1</v>
      </c>
      <c r="I845">
        <v>65304</v>
      </c>
      <c r="J845" s="6">
        <v>19.966699999999999</v>
      </c>
      <c r="K845" s="4" t="str">
        <f t="shared" si="13"/>
        <v>Mid</v>
      </c>
      <c r="L845" t="s">
        <v>3561</v>
      </c>
      <c r="M845" s="4" t="s">
        <v>3561</v>
      </c>
      <c r="N845" t="s">
        <v>457</v>
      </c>
      <c r="O845" t="s">
        <v>3569</v>
      </c>
      <c r="P845" s="4" t="s">
        <v>3573</v>
      </c>
      <c r="Q845" t="s">
        <v>3573</v>
      </c>
    </row>
    <row r="846" spans="1:18">
      <c r="A846" t="s">
        <v>838</v>
      </c>
      <c r="B846" t="s">
        <v>840</v>
      </c>
      <c r="C846" t="s">
        <v>3089</v>
      </c>
      <c r="D846" t="s">
        <v>3552</v>
      </c>
      <c r="E846">
        <v>28</v>
      </c>
      <c r="F846" s="4" t="s">
        <v>3555</v>
      </c>
      <c r="G846" s="4">
        <v>0</v>
      </c>
      <c r="H846">
        <v>1</v>
      </c>
      <c r="I846" t="s">
        <v>750</v>
      </c>
      <c r="J846" s="6">
        <v>15.85</v>
      </c>
      <c r="K846" s="4" t="str">
        <f t="shared" si="13"/>
        <v>Mid</v>
      </c>
      <c r="L846" t="s">
        <v>3561</v>
      </c>
      <c r="M846" s="4" t="s">
        <v>3561</v>
      </c>
      <c r="N846" t="s">
        <v>457</v>
      </c>
      <c r="O846" t="s">
        <v>3569</v>
      </c>
      <c r="P846" s="4" t="s">
        <v>3573</v>
      </c>
      <c r="Q846" t="s">
        <v>3573</v>
      </c>
    </row>
    <row r="847" spans="1:18">
      <c r="A847" t="s">
        <v>838</v>
      </c>
      <c r="B847" t="s">
        <v>9</v>
      </c>
      <c r="C847" t="s">
        <v>3090</v>
      </c>
      <c r="D847" t="s">
        <v>3551</v>
      </c>
      <c r="E847">
        <v>24</v>
      </c>
      <c r="F847" s="4" t="s">
        <v>3555</v>
      </c>
      <c r="G847" s="4">
        <v>0</v>
      </c>
      <c r="H847">
        <v>1</v>
      </c>
      <c r="I847" t="s">
        <v>750</v>
      </c>
      <c r="J847" s="6">
        <v>15.85</v>
      </c>
      <c r="K847" s="4" t="str">
        <f t="shared" si="13"/>
        <v>Mid</v>
      </c>
      <c r="L847" t="s">
        <v>3561</v>
      </c>
      <c r="M847" s="4" t="s">
        <v>3561</v>
      </c>
      <c r="N847" t="s">
        <v>457</v>
      </c>
      <c r="O847">
        <v>15</v>
      </c>
      <c r="P847" s="4" t="s">
        <v>3573</v>
      </c>
      <c r="Q847" t="s">
        <v>3573</v>
      </c>
    </row>
    <row r="848" spans="1:18">
      <c r="A848" t="s">
        <v>838</v>
      </c>
      <c r="B848" t="s">
        <v>840</v>
      </c>
      <c r="C848" t="s">
        <v>3091</v>
      </c>
      <c r="D848" t="s">
        <v>3552</v>
      </c>
      <c r="E848">
        <v>20</v>
      </c>
      <c r="F848" s="4" t="s">
        <v>3555</v>
      </c>
      <c r="G848" s="4">
        <v>0</v>
      </c>
      <c r="H848">
        <v>0</v>
      </c>
      <c r="I848">
        <v>345769</v>
      </c>
      <c r="J848" s="6">
        <v>9.5</v>
      </c>
      <c r="K848" s="4" t="str">
        <f t="shared" si="13"/>
        <v>Low</v>
      </c>
      <c r="L848" t="s">
        <v>3561</v>
      </c>
      <c r="M848" s="4" t="s">
        <v>3561</v>
      </c>
      <c r="N848" t="s">
        <v>457</v>
      </c>
      <c r="O848" t="s">
        <v>3569</v>
      </c>
      <c r="P848" s="4" t="s">
        <v>3573</v>
      </c>
      <c r="Q848" t="s">
        <v>3573</v>
      </c>
    </row>
    <row r="849" spans="1:17">
      <c r="A849" t="s">
        <v>838</v>
      </c>
      <c r="B849" t="s">
        <v>840</v>
      </c>
      <c r="C849" t="s">
        <v>3092</v>
      </c>
      <c r="D849" t="s">
        <v>3552</v>
      </c>
      <c r="E849">
        <v>24</v>
      </c>
      <c r="F849" s="4" t="s">
        <v>3555</v>
      </c>
      <c r="G849" s="4">
        <v>0</v>
      </c>
      <c r="H849">
        <v>0</v>
      </c>
      <c r="I849">
        <v>2693</v>
      </c>
      <c r="J849" s="6">
        <v>7.2291999999999996</v>
      </c>
      <c r="K849" s="4" t="str">
        <f t="shared" si="13"/>
        <v>Low</v>
      </c>
      <c r="L849" t="s">
        <v>3561</v>
      </c>
      <c r="M849" s="4" t="s">
        <v>3561</v>
      </c>
      <c r="N849" t="s">
        <v>3566</v>
      </c>
      <c r="O849" t="s">
        <v>3569</v>
      </c>
      <c r="P849" s="4">
        <v>188</v>
      </c>
      <c r="Q849" t="s">
        <v>3574</v>
      </c>
    </row>
    <row r="850" spans="1:17">
      <c r="A850" t="s">
        <v>838</v>
      </c>
      <c r="B850" t="s">
        <v>840</v>
      </c>
      <c r="C850" t="s">
        <v>3093</v>
      </c>
      <c r="D850" t="s">
        <v>3552</v>
      </c>
      <c r="E850">
        <v>41</v>
      </c>
      <c r="F850" s="4" t="s">
        <v>3557</v>
      </c>
      <c r="G850" s="4">
        <v>0</v>
      </c>
      <c r="H850">
        <v>2</v>
      </c>
      <c r="I850">
        <v>350026</v>
      </c>
      <c r="J850" s="6">
        <v>14.1083</v>
      </c>
      <c r="K850" s="4" t="str">
        <f t="shared" si="13"/>
        <v>Mid</v>
      </c>
      <c r="L850" t="s">
        <v>3561</v>
      </c>
      <c r="M850" s="4" t="s">
        <v>3561</v>
      </c>
      <c r="N850" t="s">
        <v>457</v>
      </c>
      <c r="O850" t="s">
        <v>3569</v>
      </c>
      <c r="P850" s="4" t="s">
        <v>3573</v>
      </c>
      <c r="Q850" t="s">
        <v>3573</v>
      </c>
    </row>
    <row r="851" spans="1:17">
      <c r="A851" t="s">
        <v>838</v>
      </c>
      <c r="B851" t="s">
        <v>840</v>
      </c>
      <c r="C851" t="s">
        <v>3094</v>
      </c>
      <c r="D851" t="s">
        <v>3552</v>
      </c>
      <c r="E851">
        <v>26</v>
      </c>
      <c r="F851" s="4" t="s">
        <v>3555</v>
      </c>
      <c r="G851" s="4">
        <v>0</v>
      </c>
      <c r="H851">
        <v>1</v>
      </c>
      <c r="I851">
        <v>350025</v>
      </c>
      <c r="J851" s="6">
        <v>7.8541999999999996</v>
      </c>
      <c r="K851" s="4" t="str">
        <f t="shared" si="13"/>
        <v>Low</v>
      </c>
      <c r="L851" t="s">
        <v>3561</v>
      </c>
      <c r="M851" s="4" t="s">
        <v>3561</v>
      </c>
      <c r="N851" t="s">
        <v>457</v>
      </c>
      <c r="O851" t="s">
        <v>3569</v>
      </c>
      <c r="P851" s="4" t="s">
        <v>3573</v>
      </c>
      <c r="Q851" t="s">
        <v>3573</v>
      </c>
    </row>
    <row r="852" spans="1:17">
      <c r="A852" t="s">
        <v>838</v>
      </c>
      <c r="B852" t="s">
        <v>840</v>
      </c>
      <c r="C852" t="s">
        <v>3095</v>
      </c>
      <c r="D852" t="s">
        <v>3552</v>
      </c>
      <c r="E852">
        <v>21</v>
      </c>
      <c r="F852" s="4" t="s">
        <v>3555</v>
      </c>
      <c r="G852" s="4">
        <v>0</v>
      </c>
      <c r="H852">
        <v>0</v>
      </c>
      <c r="I852">
        <v>350029</v>
      </c>
      <c r="J852" s="6">
        <v>7.8541999999999996</v>
      </c>
      <c r="K852" s="4" t="str">
        <f t="shared" si="13"/>
        <v>Low</v>
      </c>
      <c r="L852" t="s">
        <v>3561</v>
      </c>
      <c r="M852" s="4" t="s">
        <v>3561</v>
      </c>
      <c r="N852" t="s">
        <v>457</v>
      </c>
      <c r="O852" t="s">
        <v>3569</v>
      </c>
      <c r="P852" s="4">
        <v>69</v>
      </c>
      <c r="Q852" t="s">
        <v>3574</v>
      </c>
    </row>
    <row r="853" spans="1:17">
      <c r="A853" t="s">
        <v>838</v>
      </c>
      <c r="B853" t="s">
        <v>9</v>
      </c>
      <c r="C853" t="s">
        <v>3096</v>
      </c>
      <c r="D853" t="s">
        <v>3551</v>
      </c>
      <c r="E853">
        <v>45</v>
      </c>
      <c r="F853" s="4" t="s">
        <v>3557</v>
      </c>
      <c r="G853" s="4">
        <v>0</v>
      </c>
      <c r="H853">
        <v>1</v>
      </c>
      <c r="I853">
        <v>350026</v>
      </c>
      <c r="J853" s="6">
        <v>14.1083</v>
      </c>
      <c r="K853" s="4" t="str">
        <f t="shared" si="13"/>
        <v>Mid</v>
      </c>
      <c r="L853" t="s">
        <v>3561</v>
      </c>
      <c r="M853" s="4" t="s">
        <v>3561</v>
      </c>
      <c r="N853" t="s">
        <v>457</v>
      </c>
      <c r="O853">
        <v>11</v>
      </c>
      <c r="P853" s="4" t="s">
        <v>3573</v>
      </c>
      <c r="Q853" t="s">
        <v>3573</v>
      </c>
    </row>
    <row r="854" spans="1:17">
      <c r="A854" t="s">
        <v>838</v>
      </c>
      <c r="B854" t="s">
        <v>840</v>
      </c>
      <c r="C854" t="s">
        <v>3097</v>
      </c>
      <c r="D854" t="s">
        <v>3551</v>
      </c>
      <c r="E854">
        <v>28</v>
      </c>
      <c r="F854" s="4" t="s">
        <v>3555</v>
      </c>
      <c r="G854" s="4">
        <v>0</v>
      </c>
      <c r="H854">
        <v>0</v>
      </c>
      <c r="I854" t="s">
        <v>751</v>
      </c>
      <c r="J854" s="6">
        <v>7.55</v>
      </c>
      <c r="K854" s="4" t="str">
        <f t="shared" si="13"/>
        <v>Low</v>
      </c>
      <c r="L854" t="s">
        <v>3561</v>
      </c>
      <c r="M854" s="4" t="s">
        <v>3561</v>
      </c>
      <c r="N854" t="s">
        <v>457</v>
      </c>
      <c r="O854" t="s">
        <v>3569</v>
      </c>
      <c r="P854" s="4" t="s">
        <v>3573</v>
      </c>
      <c r="Q854" t="s">
        <v>3573</v>
      </c>
    </row>
    <row r="855" spans="1:17">
      <c r="A855" t="s">
        <v>838</v>
      </c>
      <c r="B855" t="s">
        <v>840</v>
      </c>
      <c r="C855" t="s">
        <v>3098</v>
      </c>
      <c r="D855" t="s">
        <v>3552</v>
      </c>
      <c r="E855">
        <v>25</v>
      </c>
      <c r="F855" s="4" t="s">
        <v>3555</v>
      </c>
      <c r="G855" s="4">
        <v>0</v>
      </c>
      <c r="H855">
        <v>0</v>
      </c>
      <c r="I855">
        <v>374887</v>
      </c>
      <c r="J855" s="6">
        <v>7.25</v>
      </c>
      <c r="K855" s="4" t="str">
        <f t="shared" si="13"/>
        <v>Low</v>
      </c>
      <c r="L855" t="s">
        <v>3561</v>
      </c>
      <c r="M855" s="4" t="s">
        <v>3561</v>
      </c>
      <c r="N855" t="s">
        <v>457</v>
      </c>
      <c r="O855" t="s">
        <v>70</v>
      </c>
      <c r="P855" s="4" t="s">
        <v>3573</v>
      </c>
      <c r="Q855" t="s">
        <v>3573</v>
      </c>
    </row>
    <row r="856" spans="1:17">
      <c r="A856" t="s">
        <v>838</v>
      </c>
      <c r="B856" t="s">
        <v>840</v>
      </c>
      <c r="C856" t="s">
        <v>3099</v>
      </c>
      <c r="D856" t="s">
        <v>3552</v>
      </c>
      <c r="E856">
        <v>28</v>
      </c>
      <c r="F856" s="4" t="s">
        <v>3555</v>
      </c>
      <c r="G856" s="4">
        <v>0</v>
      </c>
      <c r="H856">
        <v>0</v>
      </c>
      <c r="I856">
        <v>394140</v>
      </c>
      <c r="J856" s="6">
        <v>6.8582999999999998</v>
      </c>
      <c r="K856" s="4" t="str">
        <f t="shared" si="13"/>
        <v>Low</v>
      </c>
      <c r="L856" t="s">
        <v>3561</v>
      </c>
      <c r="M856" s="4" t="s">
        <v>3561</v>
      </c>
      <c r="N856" t="s">
        <v>3567</v>
      </c>
      <c r="O856" t="s">
        <v>3569</v>
      </c>
      <c r="P856" s="4" t="s">
        <v>3573</v>
      </c>
      <c r="Q856" t="s">
        <v>3573</v>
      </c>
    </row>
    <row r="857" spans="1:17">
      <c r="A857" t="s">
        <v>838</v>
      </c>
      <c r="B857" t="s">
        <v>840</v>
      </c>
      <c r="C857" t="s">
        <v>3100</v>
      </c>
      <c r="D857" t="s">
        <v>3552</v>
      </c>
      <c r="E857">
        <v>11</v>
      </c>
      <c r="F857" s="4" t="s">
        <v>3560</v>
      </c>
      <c r="G857" s="4">
        <v>0</v>
      </c>
      <c r="H857">
        <v>0</v>
      </c>
      <c r="I857">
        <v>2699</v>
      </c>
      <c r="J857" s="6">
        <v>18.787500000000001</v>
      </c>
      <c r="K857" s="4" t="str">
        <f t="shared" si="13"/>
        <v>Mid</v>
      </c>
      <c r="L857" t="s">
        <v>3561</v>
      </c>
      <c r="M857" s="4" t="s">
        <v>3561</v>
      </c>
      <c r="N857" t="s">
        <v>3566</v>
      </c>
      <c r="O857" t="s">
        <v>3569</v>
      </c>
      <c r="P857" s="4" t="s">
        <v>3573</v>
      </c>
      <c r="Q857" t="s">
        <v>3573</v>
      </c>
    </row>
    <row r="858" spans="1:17">
      <c r="A858" t="s">
        <v>838</v>
      </c>
      <c r="B858" t="s">
        <v>9</v>
      </c>
      <c r="C858" t="s">
        <v>3101</v>
      </c>
      <c r="D858" t="s">
        <v>3551</v>
      </c>
      <c r="E858">
        <v>28</v>
      </c>
      <c r="F858" s="4" t="s">
        <v>3555</v>
      </c>
      <c r="G858" s="4">
        <v>0</v>
      </c>
      <c r="H858">
        <v>0</v>
      </c>
      <c r="I858">
        <v>370375</v>
      </c>
      <c r="J858" s="6">
        <v>7.75</v>
      </c>
      <c r="K858" s="4" t="str">
        <f t="shared" si="13"/>
        <v>Low</v>
      </c>
      <c r="L858" t="s">
        <v>3561</v>
      </c>
      <c r="M858" s="4" t="s">
        <v>3561</v>
      </c>
      <c r="N858" t="s">
        <v>3567</v>
      </c>
      <c r="O858">
        <v>16</v>
      </c>
      <c r="P858" s="4" t="s">
        <v>3573</v>
      </c>
      <c r="Q858" t="s">
        <v>3573</v>
      </c>
    </row>
    <row r="859" spans="1:17">
      <c r="A859" t="s">
        <v>838</v>
      </c>
      <c r="B859" t="s">
        <v>9</v>
      </c>
      <c r="C859" t="s">
        <v>3102</v>
      </c>
      <c r="D859" t="s">
        <v>3552</v>
      </c>
      <c r="E859">
        <v>27</v>
      </c>
      <c r="F859" s="4" t="s">
        <v>3555</v>
      </c>
      <c r="G859" s="4">
        <v>0</v>
      </c>
      <c r="H859">
        <v>0</v>
      </c>
      <c r="I859">
        <v>347089</v>
      </c>
      <c r="J859" s="6">
        <v>6.9749999999999996</v>
      </c>
      <c r="K859" s="4" t="str">
        <f t="shared" si="13"/>
        <v>Low</v>
      </c>
      <c r="L859" t="s">
        <v>3561</v>
      </c>
      <c r="M859" s="4" t="s">
        <v>3561</v>
      </c>
      <c r="N859" t="s">
        <v>457</v>
      </c>
      <c r="O859">
        <v>15</v>
      </c>
      <c r="P859" s="4" t="s">
        <v>3573</v>
      </c>
      <c r="Q859" t="s">
        <v>3573</v>
      </c>
    </row>
    <row r="860" spans="1:17">
      <c r="A860" t="s">
        <v>838</v>
      </c>
      <c r="B860" t="s">
        <v>9</v>
      </c>
      <c r="C860" t="s">
        <v>3103</v>
      </c>
      <c r="D860" t="s">
        <v>3552</v>
      </c>
      <c r="E860">
        <v>28</v>
      </c>
      <c r="F860" s="4" t="s">
        <v>3555</v>
      </c>
      <c r="G860" s="4">
        <v>0</v>
      </c>
      <c r="H860">
        <v>0</v>
      </c>
      <c r="I860">
        <v>1601</v>
      </c>
      <c r="J860" s="6">
        <v>56.495800000000003</v>
      </c>
      <c r="K860" s="4" t="str">
        <f t="shared" si="13"/>
        <v>High</v>
      </c>
      <c r="L860" t="s">
        <v>3561</v>
      </c>
      <c r="M860" s="4" t="s">
        <v>3561</v>
      </c>
      <c r="N860" t="s">
        <v>457</v>
      </c>
      <c r="O860" t="s">
        <v>62</v>
      </c>
      <c r="P860" s="4" t="s">
        <v>3573</v>
      </c>
      <c r="Q860" t="s">
        <v>3573</v>
      </c>
    </row>
    <row r="861" spans="1:17">
      <c r="A861" t="s">
        <v>838</v>
      </c>
      <c r="B861" t="s">
        <v>840</v>
      </c>
      <c r="C861" t="s">
        <v>3104</v>
      </c>
      <c r="D861" t="s">
        <v>3551</v>
      </c>
      <c r="E861">
        <v>18</v>
      </c>
      <c r="F861" s="4" t="s">
        <v>3555</v>
      </c>
      <c r="G861" s="4">
        <v>0</v>
      </c>
      <c r="H861">
        <v>0</v>
      </c>
      <c r="I861">
        <v>365226</v>
      </c>
      <c r="J861" s="6">
        <v>6.75</v>
      </c>
      <c r="K861" s="4" t="str">
        <f t="shared" si="13"/>
        <v>Low</v>
      </c>
      <c r="L861" t="s">
        <v>3561</v>
      </c>
      <c r="M861" s="4" t="s">
        <v>3561</v>
      </c>
      <c r="N861" t="s">
        <v>3567</v>
      </c>
      <c r="O861" t="s">
        <v>3569</v>
      </c>
      <c r="P861" s="4" t="s">
        <v>3573</v>
      </c>
      <c r="Q861" t="s">
        <v>3573</v>
      </c>
    </row>
    <row r="862" spans="1:17">
      <c r="A862" t="s">
        <v>838</v>
      </c>
      <c r="B862" t="s">
        <v>9</v>
      </c>
      <c r="C862" t="s">
        <v>3105</v>
      </c>
      <c r="D862" t="s">
        <v>3551</v>
      </c>
      <c r="E862">
        <v>26</v>
      </c>
      <c r="F862" s="4" t="s">
        <v>3555</v>
      </c>
      <c r="G862" s="4">
        <v>0</v>
      </c>
      <c r="H862">
        <v>0</v>
      </c>
      <c r="I862" t="s">
        <v>752</v>
      </c>
      <c r="J862" s="6">
        <v>7.9249999999999998</v>
      </c>
      <c r="K862" s="4" t="str">
        <f t="shared" si="13"/>
        <v>Low</v>
      </c>
      <c r="L862" t="s">
        <v>3561</v>
      </c>
      <c r="M862" s="4" t="s">
        <v>3561</v>
      </c>
      <c r="N862" t="s">
        <v>457</v>
      </c>
      <c r="O862" t="s">
        <v>3569</v>
      </c>
      <c r="P862" s="4" t="s">
        <v>3573</v>
      </c>
      <c r="Q862" t="s">
        <v>3573</v>
      </c>
    </row>
    <row r="863" spans="1:17">
      <c r="A863" t="s">
        <v>838</v>
      </c>
      <c r="B863" t="s">
        <v>840</v>
      </c>
      <c r="C863" t="s">
        <v>3106</v>
      </c>
      <c r="D863" t="s">
        <v>3551</v>
      </c>
      <c r="E863">
        <v>23</v>
      </c>
      <c r="F863" s="4" t="s">
        <v>3555</v>
      </c>
      <c r="G863" s="4">
        <v>0</v>
      </c>
      <c r="H863">
        <v>0</v>
      </c>
      <c r="I863" t="s">
        <v>753</v>
      </c>
      <c r="J863" s="6">
        <v>7.9249999999999998</v>
      </c>
      <c r="K863" s="4" t="str">
        <f t="shared" si="13"/>
        <v>Low</v>
      </c>
      <c r="L863" t="s">
        <v>3561</v>
      </c>
      <c r="M863" s="4" t="s">
        <v>3561</v>
      </c>
      <c r="N863" t="s">
        <v>457</v>
      </c>
      <c r="O863" t="s">
        <v>3569</v>
      </c>
      <c r="P863" s="4" t="s">
        <v>3573</v>
      </c>
      <c r="Q863" t="s">
        <v>3573</v>
      </c>
    </row>
    <row r="864" spans="1:17">
      <c r="A864" t="s">
        <v>838</v>
      </c>
      <c r="B864" t="s">
        <v>9</v>
      </c>
      <c r="C864" t="s">
        <v>3107</v>
      </c>
      <c r="D864" t="s">
        <v>3551</v>
      </c>
      <c r="E864">
        <v>22</v>
      </c>
      <c r="F864" s="4" t="s">
        <v>3555</v>
      </c>
      <c r="G864" s="4">
        <v>0</v>
      </c>
      <c r="H864">
        <v>0</v>
      </c>
      <c r="I864">
        <v>7548</v>
      </c>
      <c r="J864" s="6">
        <v>8.9625000000000004</v>
      </c>
      <c r="K864" s="4" t="str">
        <f t="shared" si="13"/>
        <v>Low</v>
      </c>
      <c r="L864" t="s">
        <v>3561</v>
      </c>
      <c r="M864" s="4" t="s">
        <v>3561</v>
      </c>
      <c r="N864" t="s">
        <v>457</v>
      </c>
      <c r="O864" t="s">
        <v>62</v>
      </c>
      <c r="P864" s="4" t="s">
        <v>3573</v>
      </c>
      <c r="Q864" t="s">
        <v>3573</v>
      </c>
    </row>
    <row r="865" spans="1:17">
      <c r="A865" t="s">
        <v>838</v>
      </c>
      <c r="B865" t="s">
        <v>840</v>
      </c>
      <c r="C865" t="s">
        <v>3108</v>
      </c>
      <c r="D865" t="s">
        <v>3552</v>
      </c>
      <c r="E865">
        <v>28</v>
      </c>
      <c r="F865" s="4" t="s">
        <v>3555</v>
      </c>
      <c r="G865" s="4">
        <v>0</v>
      </c>
      <c r="H865">
        <v>0</v>
      </c>
      <c r="I865">
        <v>349243</v>
      </c>
      <c r="J865" s="6">
        <v>7.8958000000000004</v>
      </c>
      <c r="K865" s="4" t="str">
        <f t="shared" si="13"/>
        <v>Low</v>
      </c>
      <c r="L865" t="s">
        <v>3561</v>
      </c>
      <c r="M865" s="4" t="s">
        <v>3561</v>
      </c>
      <c r="N865" t="s">
        <v>457</v>
      </c>
      <c r="O865" t="s">
        <v>3569</v>
      </c>
      <c r="P865" s="4">
        <v>306</v>
      </c>
      <c r="Q865" t="s">
        <v>3574</v>
      </c>
    </row>
    <row r="866" spans="1:17">
      <c r="A866" t="s">
        <v>838</v>
      </c>
      <c r="B866" t="s">
        <v>840</v>
      </c>
      <c r="C866" t="s">
        <v>3109</v>
      </c>
      <c r="D866" t="s">
        <v>3551</v>
      </c>
      <c r="E866">
        <v>28</v>
      </c>
      <c r="F866" s="4" t="s">
        <v>3555</v>
      </c>
      <c r="G866" s="4">
        <v>0</v>
      </c>
      <c r="H866">
        <v>0</v>
      </c>
      <c r="I866">
        <v>347086</v>
      </c>
      <c r="J866" s="6">
        <v>7.7750000000000004</v>
      </c>
      <c r="K866" s="4" t="str">
        <f t="shared" si="13"/>
        <v>Low</v>
      </c>
      <c r="L866" t="s">
        <v>3561</v>
      </c>
      <c r="M866" s="4" t="s">
        <v>3561</v>
      </c>
      <c r="N866" t="s">
        <v>457</v>
      </c>
      <c r="O866" t="s">
        <v>3569</v>
      </c>
      <c r="P866" s="4" t="s">
        <v>3573</v>
      </c>
      <c r="Q866" t="s">
        <v>3573</v>
      </c>
    </row>
    <row r="867" spans="1:17">
      <c r="A867" t="s">
        <v>838</v>
      </c>
      <c r="B867" t="s">
        <v>840</v>
      </c>
      <c r="C867" t="s">
        <v>3110</v>
      </c>
      <c r="D867" t="s">
        <v>3551</v>
      </c>
      <c r="E867">
        <v>28</v>
      </c>
      <c r="F867" s="4" t="s">
        <v>3555</v>
      </c>
      <c r="G867" s="4">
        <v>0</v>
      </c>
      <c r="H867">
        <v>0</v>
      </c>
      <c r="I867">
        <v>382649</v>
      </c>
      <c r="J867" s="6">
        <v>7.75</v>
      </c>
      <c r="K867" s="4" t="str">
        <f t="shared" si="13"/>
        <v>Low</v>
      </c>
      <c r="L867" t="s">
        <v>3561</v>
      </c>
      <c r="M867" s="4" t="s">
        <v>3561</v>
      </c>
      <c r="N867" t="s">
        <v>3567</v>
      </c>
      <c r="O867" t="s">
        <v>3569</v>
      </c>
      <c r="P867" s="4" t="s">
        <v>3573</v>
      </c>
      <c r="Q867" t="s">
        <v>3573</v>
      </c>
    </row>
    <row r="868" spans="1:17">
      <c r="A868" t="s">
        <v>838</v>
      </c>
      <c r="B868" t="s">
        <v>9</v>
      </c>
      <c r="C868" t="s">
        <v>3111</v>
      </c>
      <c r="D868" t="s">
        <v>3551</v>
      </c>
      <c r="E868">
        <v>2</v>
      </c>
      <c r="F868" s="4" t="s">
        <v>3556</v>
      </c>
      <c r="G868" s="4">
        <v>1</v>
      </c>
      <c r="H868">
        <v>0</v>
      </c>
      <c r="I868">
        <v>3101298</v>
      </c>
      <c r="J868" s="6">
        <v>12.2875</v>
      </c>
      <c r="K868" s="4" t="str">
        <f t="shared" si="13"/>
        <v>Mid</v>
      </c>
      <c r="L868" t="s">
        <v>3561</v>
      </c>
      <c r="M868" s="4" t="s">
        <v>3561</v>
      </c>
      <c r="N868" t="s">
        <v>457</v>
      </c>
      <c r="O868">
        <v>15</v>
      </c>
      <c r="P868" s="4" t="s">
        <v>3573</v>
      </c>
      <c r="Q868" t="s">
        <v>3573</v>
      </c>
    </row>
    <row r="869" spans="1:17">
      <c r="A869" t="s">
        <v>838</v>
      </c>
      <c r="B869" t="s">
        <v>9</v>
      </c>
      <c r="C869" t="s">
        <v>3112</v>
      </c>
      <c r="D869" t="s">
        <v>3551</v>
      </c>
      <c r="E869">
        <v>22</v>
      </c>
      <c r="F869" s="4" t="s">
        <v>3555</v>
      </c>
      <c r="G869" s="4">
        <v>1</v>
      </c>
      <c r="H869">
        <v>1</v>
      </c>
      <c r="I869">
        <v>3101298</v>
      </c>
      <c r="J869" s="6">
        <v>12.2875</v>
      </c>
      <c r="K869" s="4" t="str">
        <f t="shared" si="13"/>
        <v>Mid</v>
      </c>
      <c r="L869" t="s">
        <v>3561</v>
      </c>
      <c r="M869" s="4" t="s">
        <v>3561</v>
      </c>
      <c r="N869" t="s">
        <v>457</v>
      </c>
      <c r="O869">
        <v>15</v>
      </c>
      <c r="P869" s="4" t="s">
        <v>3573</v>
      </c>
      <c r="Q869" t="s">
        <v>3573</v>
      </c>
    </row>
    <row r="870" spans="1:17">
      <c r="A870" t="s">
        <v>838</v>
      </c>
      <c r="B870" t="s">
        <v>840</v>
      </c>
      <c r="C870" t="s">
        <v>3113</v>
      </c>
      <c r="D870" t="s">
        <v>3552</v>
      </c>
      <c r="E870">
        <v>43</v>
      </c>
      <c r="F870" s="4" t="s">
        <v>3557</v>
      </c>
      <c r="G870" s="4">
        <v>0</v>
      </c>
      <c r="H870">
        <v>0</v>
      </c>
      <c r="I870" t="s">
        <v>754</v>
      </c>
      <c r="J870" s="6">
        <v>6.45</v>
      </c>
      <c r="K870" s="4" t="str">
        <f t="shared" si="13"/>
        <v>Low</v>
      </c>
      <c r="L870" t="s">
        <v>3561</v>
      </c>
      <c r="M870" s="4" t="s">
        <v>3561</v>
      </c>
      <c r="N870" t="s">
        <v>457</v>
      </c>
      <c r="O870" t="s">
        <v>3569</v>
      </c>
      <c r="P870" s="4" t="s">
        <v>3573</v>
      </c>
      <c r="Q870" t="s">
        <v>3573</v>
      </c>
    </row>
    <row r="871" spans="1:17">
      <c r="A871" t="s">
        <v>838</v>
      </c>
      <c r="B871" t="s">
        <v>840</v>
      </c>
      <c r="C871" t="s">
        <v>3114</v>
      </c>
      <c r="D871" t="s">
        <v>3552</v>
      </c>
      <c r="E871">
        <v>28</v>
      </c>
      <c r="F871" s="4" t="s">
        <v>3555</v>
      </c>
      <c r="G871" s="4">
        <v>0</v>
      </c>
      <c r="H871">
        <v>0</v>
      </c>
      <c r="I871" t="s">
        <v>628</v>
      </c>
      <c r="J871" s="6">
        <v>22.524999999999999</v>
      </c>
      <c r="K871" s="4" t="str">
        <f t="shared" si="13"/>
        <v>Mid</v>
      </c>
      <c r="L871" t="s">
        <v>3561</v>
      </c>
      <c r="M871" s="4" t="s">
        <v>3561</v>
      </c>
      <c r="N871" t="s">
        <v>457</v>
      </c>
      <c r="O871" t="s">
        <v>3569</v>
      </c>
      <c r="P871" s="4" t="s">
        <v>3573</v>
      </c>
      <c r="Q871" t="s">
        <v>3573</v>
      </c>
    </row>
    <row r="872" spans="1:17">
      <c r="A872" t="s">
        <v>838</v>
      </c>
      <c r="B872" t="s">
        <v>9</v>
      </c>
      <c r="C872" t="s">
        <v>3115</v>
      </c>
      <c r="D872" t="s">
        <v>3551</v>
      </c>
      <c r="E872">
        <v>27</v>
      </c>
      <c r="F872" s="4" t="s">
        <v>3555</v>
      </c>
      <c r="G872" s="4">
        <v>0</v>
      </c>
      <c r="H872">
        <v>0</v>
      </c>
      <c r="I872" t="s">
        <v>755</v>
      </c>
      <c r="J872" s="6">
        <v>7.9249999999999998</v>
      </c>
      <c r="K872" s="4" t="str">
        <f t="shared" si="13"/>
        <v>Low</v>
      </c>
      <c r="L872" t="s">
        <v>3561</v>
      </c>
      <c r="M872" s="4" t="s">
        <v>3561</v>
      </c>
      <c r="N872" t="s">
        <v>457</v>
      </c>
      <c r="O872" t="s">
        <v>3569</v>
      </c>
      <c r="P872" s="4" t="s">
        <v>3573</v>
      </c>
      <c r="Q872" t="s">
        <v>3573</v>
      </c>
    </row>
    <row r="873" spans="1:17">
      <c r="A873" t="s">
        <v>838</v>
      </c>
      <c r="B873" t="s">
        <v>840</v>
      </c>
      <c r="C873" t="s">
        <v>3116</v>
      </c>
      <c r="D873" t="s">
        <v>3552</v>
      </c>
      <c r="E873">
        <v>28</v>
      </c>
      <c r="F873" s="4" t="s">
        <v>3555</v>
      </c>
      <c r="G873" s="4">
        <v>0</v>
      </c>
      <c r="H873">
        <v>0</v>
      </c>
      <c r="I873">
        <v>370377</v>
      </c>
      <c r="J873" s="6">
        <v>7.75</v>
      </c>
      <c r="K873" s="4" t="str">
        <f t="shared" si="13"/>
        <v>Low</v>
      </c>
      <c r="L873" t="s">
        <v>3561</v>
      </c>
      <c r="M873" s="4" t="s">
        <v>3561</v>
      </c>
      <c r="N873" t="s">
        <v>3567</v>
      </c>
      <c r="O873" t="s">
        <v>3569</v>
      </c>
      <c r="P873" s="4" t="s">
        <v>3573</v>
      </c>
      <c r="Q873" t="s">
        <v>3573</v>
      </c>
    </row>
    <row r="874" spans="1:17">
      <c r="A874" t="s">
        <v>838</v>
      </c>
      <c r="B874" t="s">
        <v>9</v>
      </c>
      <c r="C874" t="s">
        <v>3117</v>
      </c>
      <c r="D874" t="s">
        <v>3551</v>
      </c>
      <c r="E874">
        <v>28</v>
      </c>
      <c r="F874" s="4" t="s">
        <v>3555</v>
      </c>
      <c r="G874" s="4">
        <v>0</v>
      </c>
      <c r="H874">
        <v>0</v>
      </c>
      <c r="I874" t="s">
        <v>756</v>
      </c>
      <c r="J874" s="6">
        <v>8.0500000000000007</v>
      </c>
      <c r="K874" s="4" t="str">
        <f t="shared" si="13"/>
        <v>Low</v>
      </c>
      <c r="L874" t="s">
        <v>3561</v>
      </c>
      <c r="M874" s="4" t="s">
        <v>3561</v>
      </c>
      <c r="N874" t="s">
        <v>457</v>
      </c>
      <c r="O874" t="s">
        <v>62</v>
      </c>
      <c r="P874" s="4" t="s">
        <v>3573</v>
      </c>
      <c r="Q874" t="s">
        <v>3573</v>
      </c>
    </row>
    <row r="875" spans="1:17">
      <c r="A875" t="s">
        <v>838</v>
      </c>
      <c r="B875" t="s">
        <v>840</v>
      </c>
      <c r="C875" t="s">
        <v>3118</v>
      </c>
      <c r="D875" t="s">
        <v>3552</v>
      </c>
      <c r="E875">
        <v>42</v>
      </c>
      <c r="F875" s="4" t="s">
        <v>3557</v>
      </c>
      <c r="G875" s="4">
        <v>0</v>
      </c>
      <c r="H875">
        <v>0</v>
      </c>
      <c r="I875">
        <v>348121</v>
      </c>
      <c r="J875" s="6">
        <v>7.65</v>
      </c>
      <c r="K875" s="4" t="str">
        <f t="shared" si="13"/>
        <v>Low</v>
      </c>
      <c r="L875" t="s">
        <v>609</v>
      </c>
      <c r="M875" s="4" t="s">
        <v>586</v>
      </c>
      <c r="N875" t="s">
        <v>457</v>
      </c>
      <c r="O875" t="s">
        <v>3569</v>
      </c>
      <c r="P875" s="4">
        <v>120</v>
      </c>
      <c r="Q875" t="s">
        <v>3574</v>
      </c>
    </row>
    <row r="876" spans="1:17">
      <c r="A876" t="s">
        <v>838</v>
      </c>
      <c r="B876" t="s">
        <v>9</v>
      </c>
      <c r="C876" t="s">
        <v>3119</v>
      </c>
      <c r="D876" t="s">
        <v>3552</v>
      </c>
      <c r="E876">
        <v>28</v>
      </c>
      <c r="F876" s="4" t="s">
        <v>3555</v>
      </c>
      <c r="G876" s="4">
        <v>0</v>
      </c>
      <c r="H876">
        <v>0</v>
      </c>
      <c r="I876">
        <v>3470</v>
      </c>
      <c r="J876" s="6">
        <v>7.8875000000000002</v>
      </c>
      <c r="K876" s="4" t="str">
        <f t="shared" si="13"/>
        <v>Low</v>
      </c>
      <c r="L876" t="s">
        <v>3561</v>
      </c>
      <c r="M876" s="4" t="s">
        <v>3561</v>
      </c>
      <c r="N876" t="s">
        <v>457</v>
      </c>
      <c r="O876" t="s">
        <v>62</v>
      </c>
      <c r="P876" s="4" t="s">
        <v>3573</v>
      </c>
      <c r="Q876" t="s">
        <v>3573</v>
      </c>
    </row>
    <row r="877" spans="1:17">
      <c r="A877" t="s">
        <v>838</v>
      </c>
      <c r="B877" t="s">
        <v>840</v>
      </c>
      <c r="C877" t="s">
        <v>3120</v>
      </c>
      <c r="D877" t="s">
        <v>3552</v>
      </c>
      <c r="E877">
        <v>30</v>
      </c>
      <c r="F877" s="4" t="s">
        <v>3557</v>
      </c>
      <c r="G877" s="4">
        <v>0</v>
      </c>
      <c r="H877">
        <v>0</v>
      </c>
      <c r="I877">
        <v>2685</v>
      </c>
      <c r="J877" s="6">
        <v>7.2291999999999996</v>
      </c>
      <c r="K877" s="4" t="str">
        <f t="shared" si="13"/>
        <v>Low</v>
      </c>
      <c r="L877" t="s">
        <v>3561</v>
      </c>
      <c r="M877" s="4" t="s">
        <v>3561</v>
      </c>
      <c r="N877" t="s">
        <v>3566</v>
      </c>
      <c r="O877" t="s">
        <v>3569</v>
      </c>
      <c r="P877" s="4" t="s">
        <v>3573</v>
      </c>
      <c r="Q877" t="s">
        <v>3573</v>
      </c>
    </row>
    <row r="878" spans="1:17">
      <c r="A878" t="s">
        <v>838</v>
      </c>
      <c r="B878" t="s">
        <v>840</v>
      </c>
      <c r="C878" t="s">
        <v>3121</v>
      </c>
      <c r="D878" t="s">
        <v>3552</v>
      </c>
      <c r="E878">
        <v>28</v>
      </c>
      <c r="F878" s="4" t="s">
        <v>3555</v>
      </c>
      <c r="G878" s="4">
        <v>0</v>
      </c>
      <c r="H878">
        <v>0</v>
      </c>
      <c r="I878">
        <v>349220</v>
      </c>
      <c r="J878" s="6">
        <v>7.8958000000000004</v>
      </c>
      <c r="K878" s="4" t="str">
        <f t="shared" si="13"/>
        <v>Low</v>
      </c>
      <c r="L878" t="s">
        <v>3561</v>
      </c>
      <c r="M878" s="4" t="s">
        <v>3561</v>
      </c>
      <c r="N878" t="s">
        <v>457</v>
      </c>
      <c r="O878" t="s">
        <v>3569</v>
      </c>
      <c r="P878" s="4" t="s">
        <v>3573</v>
      </c>
      <c r="Q878" t="s">
        <v>3573</v>
      </c>
    </row>
    <row r="879" spans="1:17">
      <c r="A879" t="s">
        <v>838</v>
      </c>
      <c r="B879" t="s">
        <v>840</v>
      </c>
      <c r="C879" t="s">
        <v>3122</v>
      </c>
      <c r="D879" t="s">
        <v>3551</v>
      </c>
      <c r="E879">
        <v>27</v>
      </c>
      <c r="F879" s="4" t="s">
        <v>3555</v>
      </c>
      <c r="G879" s="4">
        <v>0</v>
      </c>
      <c r="H879">
        <v>1</v>
      </c>
      <c r="I879" t="s">
        <v>757</v>
      </c>
      <c r="J879" s="6">
        <v>7.9249999999999998</v>
      </c>
      <c r="K879" s="4" t="str">
        <f t="shared" si="13"/>
        <v>Low</v>
      </c>
      <c r="L879" t="s">
        <v>3561</v>
      </c>
      <c r="M879" s="4" t="s">
        <v>3561</v>
      </c>
      <c r="N879" t="s">
        <v>457</v>
      </c>
      <c r="O879" t="s">
        <v>3569</v>
      </c>
      <c r="P879" s="4" t="s">
        <v>3573</v>
      </c>
      <c r="Q879" t="s">
        <v>3573</v>
      </c>
    </row>
    <row r="880" spans="1:17">
      <c r="A880" t="s">
        <v>838</v>
      </c>
      <c r="B880" t="s">
        <v>840</v>
      </c>
      <c r="C880" t="s">
        <v>3123</v>
      </c>
      <c r="D880" t="s">
        <v>3551</v>
      </c>
      <c r="E880">
        <v>25</v>
      </c>
      <c r="F880" s="4" t="s">
        <v>3555</v>
      </c>
      <c r="G880" s="4">
        <v>0</v>
      </c>
      <c r="H880">
        <v>1</v>
      </c>
      <c r="I880" t="s">
        <v>758</v>
      </c>
      <c r="J880" s="6">
        <v>7.9249999999999998</v>
      </c>
      <c r="K880" s="4" t="str">
        <f t="shared" si="13"/>
        <v>Low</v>
      </c>
      <c r="L880" t="s">
        <v>3561</v>
      </c>
      <c r="M880" s="4" t="s">
        <v>3561</v>
      </c>
      <c r="N880" t="s">
        <v>457</v>
      </c>
      <c r="O880" t="s">
        <v>3569</v>
      </c>
      <c r="P880" s="4" t="s">
        <v>3573</v>
      </c>
      <c r="Q880" t="s">
        <v>3573</v>
      </c>
    </row>
    <row r="881" spans="1:17">
      <c r="A881" t="s">
        <v>838</v>
      </c>
      <c r="B881" t="s">
        <v>840</v>
      </c>
      <c r="C881" t="s">
        <v>3124</v>
      </c>
      <c r="D881" t="s">
        <v>3552</v>
      </c>
      <c r="E881">
        <v>28</v>
      </c>
      <c r="F881" s="4" t="s">
        <v>3555</v>
      </c>
      <c r="G881" s="4">
        <v>0</v>
      </c>
      <c r="H881">
        <v>0</v>
      </c>
      <c r="I881">
        <v>349201</v>
      </c>
      <c r="J881" s="6">
        <v>7.8958000000000004</v>
      </c>
      <c r="K881" s="4" t="str">
        <f t="shared" si="13"/>
        <v>Low</v>
      </c>
      <c r="L881" t="s">
        <v>3561</v>
      </c>
      <c r="M881" s="4" t="s">
        <v>3561</v>
      </c>
      <c r="N881" t="s">
        <v>457</v>
      </c>
      <c r="O881" t="s">
        <v>3569</v>
      </c>
      <c r="P881" s="4" t="s">
        <v>3573</v>
      </c>
      <c r="Q881" t="s">
        <v>3573</v>
      </c>
    </row>
    <row r="882" spans="1:17">
      <c r="A882" t="s">
        <v>838</v>
      </c>
      <c r="B882" t="s">
        <v>9</v>
      </c>
      <c r="C882" t="s">
        <v>3125</v>
      </c>
      <c r="D882" t="s">
        <v>3552</v>
      </c>
      <c r="E882">
        <v>29</v>
      </c>
      <c r="F882" s="4" t="s">
        <v>3555</v>
      </c>
      <c r="G882" s="4">
        <v>0</v>
      </c>
      <c r="H882">
        <v>0</v>
      </c>
      <c r="I882">
        <v>349240</v>
      </c>
      <c r="J882" s="6">
        <v>7.8958000000000004</v>
      </c>
      <c r="K882" s="4" t="str">
        <f t="shared" si="13"/>
        <v>Low</v>
      </c>
      <c r="L882" t="s">
        <v>3561</v>
      </c>
      <c r="M882" s="4" t="s">
        <v>3561</v>
      </c>
      <c r="N882" t="s">
        <v>3566</v>
      </c>
      <c r="O882">
        <v>15</v>
      </c>
      <c r="P882" s="4" t="s">
        <v>3573</v>
      </c>
      <c r="Q882" t="s">
        <v>3573</v>
      </c>
    </row>
    <row r="883" spans="1:17">
      <c r="A883" t="s">
        <v>838</v>
      </c>
      <c r="B883" t="s">
        <v>9</v>
      </c>
      <c r="C883" t="s">
        <v>3126</v>
      </c>
      <c r="D883" t="s">
        <v>3552</v>
      </c>
      <c r="E883">
        <v>21</v>
      </c>
      <c r="F883" s="4" t="s">
        <v>3555</v>
      </c>
      <c r="G883" s="4">
        <v>0</v>
      </c>
      <c r="H883">
        <v>0</v>
      </c>
      <c r="I883">
        <v>350034</v>
      </c>
      <c r="J883" s="6">
        <v>7.7957999999999998</v>
      </c>
      <c r="K883" s="4" t="str">
        <f t="shared" si="13"/>
        <v>Low</v>
      </c>
      <c r="L883" t="s">
        <v>3561</v>
      </c>
      <c r="M883" s="4" t="s">
        <v>3561</v>
      </c>
      <c r="N883" t="s">
        <v>457</v>
      </c>
      <c r="O883" t="s">
        <v>78</v>
      </c>
      <c r="P883" s="4" t="s">
        <v>3573</v>
      </c>
      <c r="Q883" t="s">
        <v>3573</v>
      </c>
    </row>
    <row r="884" spans="1:17">
      <c r="A884" t="s">
        <v>838</v>
      </c>
      <c r="B884" t="s">
        <v>840</v>
      </c>
      <c r="C884" t="s">
        <v>3127</v>
      </c>
      <c r="D884" t="s">
        <v>3552</v>
      </c>
      <c r="E884">
        <v>28</v>
      </c>
      <c r="F884" s="4" t="s">
        <v>3555</v>
      </c>
      <c r="G884" s="4">
        <v>0</v>
      </c>
      <c r="H884">
        <v>0</v>
      </c>
      <c r="I884" t="s">
        <v>759</v>
      </c>
      <c r="J884" s="6">
        <v>7.05</v>
      </c>
      <c r="K884" s="4" t="str">
        <f t="shared" si="13"/>
        <v>Low</v>
      </c>
      <c r="L884" t="s">
        <v>3561</v>
      </c>
      <c r="M884" s="4" t="s">
        <v>3561</v>
      </c>
      <c r="N884" t="s">
        <v>457</v>
      </c>
      <c r="O884" t="s">
        <v>3569</v>
      </c>
      <c r="P884" s="4" t="s">
        <v>3573</v>
      </c>
      <c r="Q884" t="s">
        <v>3573</v>
      </c>
    </row>
    <row r="885" spans="1:17">
      <c r="A885" t="s">
        <v>838</v>
      </c>
      <c r="B885" t="s">
        <v>840</v>
      </c>
      <c r="C885" t="s">
        <v>3128</v>
      </c>
      <c r="D885" t="s">
        <v>3552</v>
      </c>
      <c r="E885">
        <v>20</v>
      </c>
      <c r="F885" s="4" t="s">
        <v>3555</v>
      </c>
      <c r="G885" s="4">
        <v>0</v>
      </c>
      <c r="H885">
        <v>0</v>
      </c>
      <c r="I885">
        <v>350050</v>
      </c>
      <c r="J885" s="6">
        <v>7.8541999999999996</v>
      </c>
      <c r="K885" s="4" t="str">
        <f t="shared" si="13"/>
        <v>Low</v>
      </c>
      <c r="L885" t="s">
        <v>3561</v>
      </c>
      <c r="M885" s="4" t="s">
        <v>3561</v>
      </c>
      <c r="N885" t="s">
        <v>457</v>
      </c>
      <c r="O885" t="s">
        <v>3569</v>
      </c>
      <c r="P885" s="4" t="s">
        <v>3573</v>
      </c>
      <c r="Q885" t="s">
        <v>3573</v>
      </c>
    </row>
    <row r="886" spans="1:17">
      <c r="A886" t="s">
        <v>838</v>
      </c>
      <c r="B886" t="s">
        <v>840</v>
      </c>
      <c r="C886" t="s">
        <v>3129</v>
      </c>
      <c r="D886" t="s">
        <v>3552</v>
      </c>
      <c r="E886">
        <v>48</v>
      </c>
      <c r="F886" s="4" t="s">
        <v>3557</v>
      </c>
      <c r="G886" s="4">
        <v>0</v>
      </c>
      <c r="H886">
        <v>0</v>
      </c>
      <c r="I886">
        <v>350047</v>
      </c>
      <c r="J886" s="6">
        <v>7.8541999999999996</v>
      </c>
      <c r="K886" s="4" t="str">
        <f t="shared" si="13"/>
        <v>Low</v>
      </c>
      <c r="L886" t="s">
        <v>3561</v>
      </c>
      <c r="M886" s="4" t="s">
        <v>3561</v>
      </c>
      <c r="N886" t="s">
        <v>457</v>
      </c>
      <c r="O886" t="s">
        <v>3569</v>
      </c>
      <c r="P886" s="4" t="s">
        <v>3573</v>
      </c>
      <c r="Q886" t="s">
        <v>3573</v>
      </c>
    </row>
    <row r="887" spans="1:17">
      <c r="A887" t="s">
        <v>838</v>
      </c>
      <c r="B887" t="s">
        <v>840</v>
      </c>
      <c r="C887" t="s">
        <v>3130</v>
      </c>
      <c r="D887" t="s">
        <v>3552</v>
      </c>
      <c r="E887">
        <v>17</v>
      </c>
      <c r="F887" s="4" t="s">
        <v>3560</v>
      </c>
      <c r="G887" s="4">
        <v>0</v>
      </c>
      <c r="H887">
        <v>1</v>
      </c>
      <c r="I887">
        <v>350048</v>
      </c>
      <c r="J887" s="6">
        <v>7.0541999999999998</v>
      </c>
      <c r="K887" s="4" t="str">
        <f t="shared" si="13"/>
        <v>Low</v>
      </c>
      <c r="L887" t="s">
        <v>3561</v>
      </c>
      <c r="M887" s="4" t="s">
        <v>3561</v>
      </c>
      <c r="N887" t="s">
        <v>457</v>
      </c>
      <c r="O887" t="s">
        <v>3569</v>
      </c>
      <c r="P887" s="4" t="s">
        <v>3573</v>
      </c>
      <c r="Q887" t="s">
        <v>3573</v>
      </c>
    </row>
    <row r="888" spans="1:17">
      <c r="A888" t="s">
        <v>838</v>
      </c>
      <c r="B888" t="s">
        <v>9</v>
      </c>
      <c r="C888" t="s">
        <v>3131</v>
      </c>
      <c r="D888" t="s">
        <v>3551</v>
      </c>
      <c r="E888">
        <v>28</v>
      </c>
      <c r="F888" s="4" t="s">
        <v>3555</v>
      </c>
      <c r="G888" s="4">
        <v>0</v>
      </c>
      <c r="H888">
        <v>0</v>
      </c>
      <c r="I888">
        <v>14313</v>
      </c>
      <c r="J888" s="6">
        <v>7.75</v>
      </c>
      <c r="K888" s="4" t="str">
        <f t="shared" si="13"/>
        <v>Low</v>
      </c>
      <c r="L888" t="s">
        <v>3561</v>
      </c>
      <c r="M888" s="4" t="s">
        <v>3561</v>
      </c>
      <c r="N888" t="s">
        <v>3567</v>
      </c>
      <c r="O888" t="s">
        <v>59</v>
      </c>
      <c r="P888" s="4" t="s">
        <v>3573</v>
      </c>
      <c r="Q888" t="s">
        <v>3573</v>
      </c>
    </row>
    <row r="889" spans="1:17">
      <c r="A889" t="s">
        <v>838</v>
      </c>
      <c r="B889" t="s">
        <v>9</v>
      </c>
      <c r="C889" t="s">
        <v>3132</v>
      </c>
      <c r="D889" t="s">
        <v>3552</v>
      </c>
      <c r="E889">
        <v>28</v>
      </c>
      <c r="F889" s="4" t="s">
        <v>3555</v>
      </c>
      <c r="G889" s="4">
        <v>0</v>
      </c>
      <c r="H889">
        <v>0</v>
      </c>
      <c r="I889">
        <v>65306</v>
      </c>
      <c r="J889" s="6">
        <v>8.1125000000000007</v>
      </c>
      <c r="K889" s="4" t="str">
        <f t="shared" si="13"/>
        <v>Low</v>
      </c>
      <c r="L889" t="s">
        <v>3561</v>
      </c>
      <c r="M889" s="4" t="s">
        <v>3561</v>
      </c>
      <c r="N889" t="s">
        <v>457</v>
      </c>
      <c r="O889">
        <v>13</v>
      </c>
      <c r="P889" s="4" t="s">
        <v>3573</v>
      </c>
      <c r="Q889" t="s">
        <v>3573</v>
      </c>
    </row>
    <row r="890" spans="1:17">
      <c r="A890" t="s">
        <v>838</v>
      </c>
      <c r="B890" t="s">
        <v>840</v>
      </c>
      <c r="C890" t="s">
        <v>3133</v>
      </c>
      <c r="D890" t="s">
        <v>3552</v>
      </c>
      <c r="E890">
        <v>34</v>
      </c>
      <c r="F890" s="4" t="s">
        <v>3557</v>
      </c>
      <c r="G890" s="4">
        <v>0</v>
      </c>
      <c r="H890">
        <v>0</v>
      </c>
      <c r="I890">
        <v>3101264</v>
      </c>
      <c r="J890" s="6">
        <v>6.4958</v>
      </c>
      <c r="K890" s="4" t="str">
        <f t="shared" si="13"/>
        <v>Low</v>
      </c>
      <c r="L890" t="s">
        <v>3561</v>
      </c>
      <c r="M890" s="4" t="s">
        <v>3561</v>
      </c>
      <c r="N890" t="s">
        <v>457</v>
      </c>
      <c r="O890" t="s">
        <v>3569</v>
      </c>
      <c r="P890" s="4">
        <v>143</v>
      </c>
      <c r="Q890" t="s">
        <v>3574</v>
      </c>
    </row>
    <row r="891" spans="1:17">
      <c r="A891" t="s">
        <v>838</v>
      </c>
      <c r="B891" t="s">
        <v>9</v>
      </c>
      <c r="C891" t="s">
        <v>3134</v>
      </c>
      <c r="D891" t="s">
        <v>3552</v>
      </c>
      <c r="E891">
        <v>26</v>
      </c>
      <c r="F891" s="4" t="s">
        <v>3555</v>
      </c>
      <c r="G891" s="4">
        <v>0</v>
      </c>
      <c r="H891">
        <v>0</v>
      </c>
      <c r="I891">
        <v>347070</v>
      </c>
      <c r="J891" s="6">
        <v>7.7750000000000004</v>
      </c>
      <c r="K891" s="4" t="str">
        <f t="shared" si="13"/>
        <v>Low</v>
      </c>
      <c r="L891" t="s">
        <v>3561</v>
      </c>
      <c r="M891" s="4" t="s">
        <v>3561</v>
      </c>
      <c r="N891" t="s">
        <v>457</v>
      </c>
      <c r="O891">
        <v>15</v>
      </c>
      <c r="P891" s="4" t="s">
        <v>3573</v>
      </c>
      <c r="Q891" t="s">
        <v>3573</v>
      </c>
    </row>
    <row r="892" spans="1:17">
      <c r="A892" t="s">
        <v>838</v>
      </c>
      <c r="B892" t="s">
        <v>840</v>
      </c>
      <c r="C892" t="s">
        <v>3135</v>
      </c>
      <c r="D892" t="s">
        <v>3552</v>
      </c>
      <c r="E892">
        <v>22</v>
      </c>
      <c r="F892" s="4" t="s">
        <v>3555</v>
      </c>
      <c r="G892" s="4">
        <v>0</v>
      </c>
      <c r="H892">
        <v>0</v>
      </c>
      <c r="I892">
        <v>350052</v>
      </c>
      <c r="J892" s="6">
        <v>7.7957999999999998</v>
      </c>
      <c r="K892" s="4" t="str">
        <f t="shared" si="13"/>
        <v>Low</v>
      </c>
      <c r="L892" t="s">
        <v>3561</v>
      </c>
      <c r="M892" s="4" t="s">
        <v>3561</v>
      </c>
      <c r="N892" t="s">
        <v>457</v>
      </c>
      <c r="O892" t="s">
        <v>3569</v>
      </c>
      <c r="P892" s="4">
        <v>156</v>
      </c>
      <c r="Q892" t="s">
        <v>3574</v>
      </c>
    </row>
    <row r="893" spans="1:17">
      <c r="A893" t="s">
        <v>838</v>
      </c>
      <c r="B893" t="s">
        <v>840</v>
      </c>
      <c r="C893" t="s">
        <v>3136</v>
      </c>
      <c r="D893" t="s">
        <v>3552</v>
      </c>
      <c r="E893">
        <v>33</v>
      </c>
      <c r="F893" s="4" t="s">
        <v>3557</v>
      </c>
      <c r="G893" s="4">
        <v>0</v>
      </c>
      <c r="H893">
        <v>0</v>
      </c>
      <c r="I893">
        <v>7540</v>
      </c>
      <c r="J893" s="6">
        <v>8.6541999999999994</v>
      </c>
      <c r="K893" s="4" t="str">
        <f t="shared" si="13"/>
        <v>Low</v>
      </c>
      <c r="L893" t="s">
        <v>3561</v>
      </c>
      <c r="M893" s="4" t="s">
        <v>3561</v>
      </c>
      <c r="N893" t="s">
        <v>457</v>
      </c>
      <c r="O893" t="s">
        <v>3569</v>
      </c>
      <c r="P893" s="4">
        <v>285</v>
      </c>
      <c r="Q893" t="s">
        <v>3574</v>
      </c>
    </row>
    <row r="894" spans="1:17">
      <c r="A894" t="s">
        <v>838</v>
      </c>
      <c r="B894" t="s">
        <v>840</v>
      </c>
      <c r="C894" t="s">
        <v>3137</v>
      </c>
      <c r="D894" t="s">
        <v>3552</v>
      </c>
      <c r="E894">
        <v>31</v>
      </c>
      <c r="F894" s="4" t="s">
        <v>3557</v>
      </c>
      <c r="G894" s="4">
        <v>0</v>
      </c>
      <c r="H894">
        <v>0</v>
      </c>
      <c r="I894">
        <v>347063</v>
      </c>
      <c r="J894" s="6">
        <v>7.7750000000000004</v>
      </c>
      <c r="K894" s="4" t="str">
        <f t="shared" si="13"/>
        <v>Low</v>
      </c>
      <c r="L894" t="s">
        <v>3561</v>
      </c>
      <c r="M894" s="4" t="s">
        <v>3561</v>
      </c>
      <c r="N894" t="s">
        <v>457</v>
      </c>
      <c r="O894" t="s">
        <v>3569</v>
      </c>
      <c r="P894" s="4" t="s">
        <v>3573</v>
      </c>
      <c r="Q894" t="s">
        <v>3573</v>
      </c>
    </row>
    <row r="895" spans="1:17">
      <c r="A895" t="s">
        <v>838</v>
      </c>
      <c r="B895" t="s">
        <v>840</v>
      </c>
      <c r="C895" t="s">
        <v>3138</v>
      </c>
      <c r="D895" t="s">
        <v>3552</v>
      </c>
      <c r="E895">
        <v>29</v>
      </c>
      <c r="F895" s="4" t="s">
        <v>3555</v>
      </c>
      <c r="G895" s="4">
        <v>0</v>
      </c>
      <c r="H895">
        <v>0</v>
      </c>
      <c r="I895">
        <v>347467</v>
      </c>
      <c r="J895" s="6">
        <v>7.8541999999999996</v>
      </c>
      <c r="K895" s="4" t="str">
        <f t="shared" si="13"/>
        <v>Low</v>
      </c>
      <c r="L895" t="s">
        <v>3561</v>
      </c>
      <c r="M895" s="4" t="s">
        <v>3561</v>
      </c>
      <c r="N895" t="s">
        <v>457</v>
      </c>
      <c r="O895" t="s">
        <v>3569</v>
      </c>
      <c r="P895" s="4" t="s">
        <v>3573</v>
      </c>
      <c r="Q895" t="s">
        <v>3573</v>
      </c>
    </row>
    <row r="896" spans="1:17">
      <c r="A896" t="s">
        <v>838</v>
      </c>
      <c r="B896" t="s">
        <v>9</v>
      </c>
      <c r="C896" t="s">
        <v>3139</v>
      </c>
      <c r="D896" t="s">
        <v>3552</v>
      </c>
      <c r="E896">
        <v>4</v>
      </c>
      <c r="F896" s="4" t="s">
        <v>3556</v>
      </c>
      <c r="G896" s="4">
        <v>1</v>
      </c>
      <c r="H896">
        <v>1</v>
      </c>
      <c r="I896">
        <v>347742</v>
      </c>
      <c r="J896" s="6">
        <v>11.1333</v>
      </c>
      <c r="K896" s="4" t="str">
        <f t="shared" si="13"/>
        <v>Mid</v>
      </c>
      <c r="L896" t="s">
        <v>3561</v>
      </c>
      <c r="M896" s="4" t="s">
        <v>3561</v>
      </c>
      <c r="N896" t="s">
        <v>457</v>
      </c>
      <c r="O896">
        <v>15</v>
      </c>
      <c r="P896" s="4" t="s">
        <v>3573</v>
      </c>
      <c r="Q896" t="s">
        <v>3573</v>
      </c>
    </row>
    <row r="897" spans="1:17">
      <c r="A897" t="s">
        <v>838</v>
      </c>
      <c r="B897" t="s">
        <v>9</v>
      </c>
      <c r="C897" t="s">
        <v>3140</v>
      </c>
      <c r="D897" t="s">
        <v>3551</v>
      </c>
      <c r="E897">
        <v>1</v>
      </c>
      <c r="F897" s="4" t="s">
        <v>3556</v>
      </c>
      <c r="G897" s="4">
        <v>1</v>
      </c>
      <c r="H897">
        <v>1</v>
      </c>
      <c r="I897">
        <v>347742</v>
      </c>
      <c r="J897" s="6">
        <v>11.1333</v>
      </c>
      <c r="K897" s="4" t="str">
        <f t="shared" si="13"/>
        <v>Mid</v>
      </c>
      <c r="L897" t="s">
        <v>3561</v>
      </c>
      <c r="M897" s="4" t="s">
        <v>3561</v>
      </c>
      <c r="N897" t="s">
        <v>457</v>
      </c>
      <c r="O897">
        <v>15</v>
      </c>
      <c r="P897" s="4" t="s">
        <v>3573</v>
      </c>
      <c r="Q897" t="s">
        <v>3573</v>
      </c>
    </row>
    <row r="898" spans="1:17">
      <c r="A898" t="s">
        <v>838</v>
      </c>
      <c r="B898" t="s">
        <v>840</v>
      </c>
      <c r="C898" t="s">
        <v>3141</v>
      </c>
      <c r="D898" t="s">
        <v>3552</v>
      </c>
      <c r="E898">
        <v>49</v>
      </c>
      <c r="F898" s="4" t="s">
        <v>3557</v>
      </c>
      <c r="G898" s="4">
        <v>0</v>
      </c>
      <c r="H898">
        <v>0</v>
      </c>
      <c r="I898" t="s">
        <v>760</v>
      </c>
      <c r="J898" s="6">
        <v>0</v>
      </c>
      <c r="K898" s="4" t="str">
        <f t="shared" si="13"/>
        <v>Low</v>
      </c>
      <c r="L898" t="s">
        <v>3561</v>
      </c>
      <c r="M898" s="4" t="s">
        <v>3561</v>
      </c>
      <c r="N898" t="s">
        <v>457</v>
      </c>
      <c r="O898" t="s">
        <v>3569</v>
      </c>
      <c r="P898" s="4" t="s">
        <v>3573</v>
      </c>
      <c r="Q898" t="s">
        <v>3573</v>
      </c>
    </row>
    <row r="899" spans="1:17">
      <c r="A899" t="s">
        <v>838</v>
      </c>
      <c r="B899" t="s">
        <v>840</v>
      </c>
      <c r="C899" t="s">
        <v>3142</v>
      </c>
      <c r="D899" t="s">
        <v>3552</v>
      </c>
      <c r="E899">
        <v>33</v>
      </c>
      <c r="F899" s="4" t="s">
        <v>3557</v>
      </c>
      <c r="G899" s="4">
        <v>0</v>
      </c>
      <c r="H899">
        <v>0</v>
      </c>
      <c r="I899">
        <v>347062</v>
      </c>
      <c r="J899" s="6">
        <v>7.7750000000000004</v>
      </c>
      <c r="K899" s="4" t="str">
        <f t="shared" ref="K899:K962" si="14">IF(J899&lt;=10,"Low",IF(J899&lt;=50,"Mid","High"))</f>
        <v>Low</v>
      </c>
      <c r="L899" t="s">
        <v>3561</v>
      </c>
      <c r="M899" s="4" t="s">
        <v>3561</v>
      </c>
      <c r="N899" t="s">
        <v>457</v>
      </c>
      <c r="O899" t="s">
        <v>3569</v>
      </c>
      <c r="P899" s="4">
        <v>37</v>
      </c>
      <c r="Q899" t="s">
        <v>3574</v>
      </c>
    </row>
    <row r="900" spans="1:17">
      <c r="A900" t="s">
        <v>838</v>
      </c>
      <c r="B900" t="s">
        <v>840</v>
      </c>
      <c r="C900" t="s">
        <v>3143</v>
      </c>
      <c r="D900" t="s">
        <v>3552</v>
      </c>
      <c r="E900">
        <v>19</v>
      </c>
      <c r="F900" s="4" t="s">
        <v>3555</v>
      </c>
      <c r="G900" s="4">
        <v>0</v>
      </c>
      <c r="H900">
        <v>0</v>
      </c>
      <c r="I900" t="s">
        <v>760</v>
      </c>
      <c r="J900" s="6">
        <v>0</v>
      </c>
      <c r="K900" s="4" t="str">
        <f t="shared" si="14"/>
        <v>Low</v>
      </c>
      <c r="L900" t="s">
        <v>3561</v>
      </c>
      <c r="M900" s="4" t="s">
        <v>3561</v>
      </c>
      <c r="N900" t="s">
        <v>457</v>
      </c>
      <c r="O900" t="s">
        <v>3569</v>
      </c>
      <c r="P900" s="4" t="s">
        <v>3573</v>
      </c>
      <c r="Q900" t="s">
        <v>3573</v>
      </c>
    </row>
    <row r="901" spans="1:17">
      <c r="A901" t="s">
        <v>838</v>
      </c>
      <c r="B901" t="s">
        <v>9</v>
      </c>
      <c r="C901" t="s">
        <v>3144</v>
      </c>
      <c r="D901" t="s">
        <v>3551</v>
      </c>
      <c r="E901">
        <v>27</v>
      </c>
      <c r="F901" s="4" t="s">
        <v>3555</v>
      </c>
      <c r="G901" s="4">
        <v>2</v>
      </c>
      <c r="H901">
        <v>0</v>
      </c>
      <c r="I901">
        <v>347742</v>
      </c>
      <c r="J901" s="6">
        <v>11.1333</v>
      </c>
      <c r="K901" s="4" t="str">
        <f t="shared" si="14"/>
        <v>Mid</v>
      </c>
      <c r="L901" t="s">
        <v>3561</v>
      </c>
      <c r="M901" s="4" t="s">
        <v>3561</v>
      </c>
      <c r="N901" t="s">
        <v>457</v>
      </c>
      <c r="O901">
        <v>15</v>
      </c>
      <c r="P901" s="4" t="s">
        <v>3573</v>
      </c>
      <c r="Q901" t="s">
        <v>3573</v>
      </c>
    </row>
    <row r="902" spans="1:17">
      <c r="A902" t="s">
        <v>838</v>
      </c>
      <c r="B902" t="s">
        <v>840</v>
      </c>
      <c r="C902" t="s">
        <v>3145</v>
      </c>
      <c r="D902" t="s">
        <v>3552</v>
      </c>
      <c r="E902">
        <v>28</v>
      </c>
      <c r="F902" s="4" t="s">
        <v>3555</v>
      </c>
      <c r="G902" s="4">
        <v>2</v>
      </c>
      <c r="H902">
        <v>1</v>
      </c>
      <c r="I902" t="s">
        <v>761</v>
      </c>
      <c r="J902" s="6">
        <v>23.45</v>
      </c>
      <c r="K902" s="4" t="str">
        <f t="shared" si="14"/>
        <v>Mid</v>
      </c>
      <c r="L902" t="s">
        <v>3561</v>
      </c>
      <c r="M902" s="4" t="s">
        <v>3561</v>
      </c>
      <c r="N902" t="s">
        <v>457</v>
      </c>
      <c r="O902" t="s">
        <v>3569</v>
      </c>
      <c r="P902" s="4" t="s">
        <v>3573</v>
      </c>
      <c r="Q902" t="s">
        <v>3573</v>
      </c>
    </row>
    <row r="903" spans="1:17">
      <c r="A903" t="s">
        <v>838</v>
      </c>
      <c r="B903" t="s">
        <v>840</v>
      </c>
      <c r="C903" t="s">
        <v>3146</v>
      </c>
      <c r="D903" t="s">
        <v>3551</v>
      </c>
      <c r="E903">
        <v>28</v>
      </c>
      <c r="F903" s="4" t="s">
        <v>3555</v>
      </c>
      <c r="G903" s="4">
        <v>2</v>
      </c>
      <c r="H903">
        <v>1</v>
      </c>
      <c r="I903" t="s">
        <v>761</v>
      </c>
      <c r="J903" s="6">
        <v>23.45</v>
      </c>
      <c r="K903" s="4" t="str">
        <f t="shared" si="14"/>
        <v>Mid</v>
      </c>
      <c r="L903" t="s">
        <v>3561</v>
      </c>
      <c r="M903" s="4" t="s">
        <v>3561</v>
      </c>
      <c r="N903" t="s">
        <v>457</v>
      </c>
      <c r="O903" t="s">
        <v>3569</v>
      </c>
      <c r="P903" s="4" t="s">
        <v>3573</v>
      </c>
      <c r="Q903" t="s">
        <v>3573</v>
      </c>
    </row>
    <row r="904" spans="1:17">
      <c r="A904" t="s">
        <v>838</v>
      </c>
      <c r="B904" t="s">
        <v>840</v>
      </c>
      <c r="C904" t="s">
        <v>3147</v>
      </c>
      <c r="D904" t="s">
        <v>3552</v>
      </c>
      <c r="E904">
        <v>28</v>
      </c>
      <c r="F904" s="4" t="s">
        <v>3555</v>
      </c>
      <c r="G904" s="4">
        <v>2</v>
      </c>
      <c r="H904">
        <v>1</v>
      </c>
      <c r="I904" t="s">
        <v>761</v>
      </c>
      <c r="J904" s="6">
        <v>23.45</v>
      </c>
      <c r="K904" s="4" t="str">
        <f t="shared" si="14"/>
        <v>Mid</v>
      </c>
      <c r="L904" t="s">
        <v>3561</v>
      </c>
      <c r="M904" s="4" t="s">
        <v>3561</v>
      </c>
      <c r="N904" t="s">
        <v>457</v>
      </c>
      <c r="O904" t="s">
        <v>3569</v>
      </c>
      <c r="P904" s="4" t="s">
        <v>3573</v>
      </c>
      <c r="Q904" t="s">
        <v>3573</v>
      </c>
    </row>
    <row r="905" spans="1:17">
      <c r="A905" t="s">
        <v>838</v>
      </c>
      <c r="B905" t="s">
        <v>840</v>
      </c>
      <c r="C905" t="s">
        <v>3148</v>
      </c>
      <c r="D905" t="s">
        <v>3551</v>
      </c>
      <c r="E905">
        <v>28</v>
      </c>
      <c r="F905" s="4" t="s">
        <v>3555</v>
      </c>
      <c r="G905" s="4">
        <v>2</v>
      </c>
      <c r="H905">
        <v>1</v>
      </c>
      <c r="I905" t="s">
        <v>761</v>
      </c>
      <c r="J905" s="6">
        <v>23.45</v>
      </c>
      <c r="K905" s="4" t="str">
        <f t="shared" si="14"/>
        <v>Mid</v>
      </c>
      <c r="L905" t="s">
        <v>3561</v>
      </c>
      <c r="M905" s="4" t="s">
        <v>3561</v>
      </c>
      <c r="N905" t="s">
        <v>457</v>
      </c>
      <c r="O905" t="s">
        <v>3569</v>
      </c>
      <c r="P905" s="4" t="s">
        <v>3573</v>
      </c>
      <c r="Q905" t="s">
        <v>3573</v>
      </c>
    </row>
    <row r="906" spans="1:17">
      <c r="A906" t="s">
        <v>838</v>
      </c>
      <c r="B906" t="s">
        <v>840</v>
      </c>
      <c r="C906" t="s">
        <v>3149</v>
      </c>
      <c r="D906" t="s">
        <v>3552</v>
      </c>
      <c r="E906">
        <v>23</v>
      </c>
      <c r="F906" s="4" t="s">
        <v>3555</v>
      </c>
      <c r="G906" s="4">
        <v>0</v>
      </c>
      <c r="H906">
        <v>0</v>
      </c>
      <c r="I906">
        <v>349204</v>
      </c>
      <c r="J906" s="6">
        <v>7.8958000000000004</v>
      </c>
      <c r="K906" s="4" t="str">
        <f t="shared" si="14"/>
        <v>Low</v>
      </c>
      <c r="L906" t="s">
        <v>3561</v>
      </c>
      <c r="M906" s="4" t="s">
        <v>3561</v>
      </c>
      <c r="N906" t="s">
        <v>457</v>
      </c>
      <c r="O906" t="s">
        <v>3569</v>
      </c>
      <c r="P906" s="4" t="s">
        <v>3573</v>
      </c>
      <c r="Q906" t="s">
        <v>3573</v>
      </c>
    </row>
    <row r="907" spans="1:17">
      <c r="A907" t="s">
        <v>838</v>
      </c>
      <c r="B907" t="s">
        <v>9</v>
      </c>
      <c r="C907" t="s">
        <v>3150</v>
      </c>
      <c r="D907" t="s">
        <v>3552</v>
      </c>
      <c r="E907">
        <v>32</v>
      </c>
      <c r="F907" s="4" t="s">
        <v>3557</v>
      </c>
      <c r="G907" s="4">
        <v>0</v>
      </c>
      <c r="H907">
        <v>0</v>
      </c>
      <c r="I907">
        <v>350417</v>
      </c>
      <c r="J907" s="6">
        <v>7.8541999999999996</v>
      </c>
      <c r="K907" s="4" t="str">
        <f t="shared" si="14"/>
        <v>Low</v>
      </c>
      <c r="L907" t="s">
        <v>3561</v>
      </c>
      <c r="M907" s="4" t="s">
        <v>3561</v>
      </c>
      <c r="N907" t="s">
        <v>457</v>
      </c>
      <c r="O907">
        <v>15</v>
      </c>
      <c r="P907" s="4" t="s">
        <v>3573</v>
      </c>
      <c r="Q907" t="s">
        <v>3573</v>
      </c>
    </row>
    <row r="908" spans="1:17">
      <c r="A908" t="s">
        <v>838</v>
      </c>
      <c r="B908" t="s">
        <v>840</v>
      </c>
      <c r="C908" t="s">
        <v>3151</v>
      </c>
      <c r="D908" t="s">
        <v>3552</v>
      </c>
      <c r="E908">
        <v>27</v>
      </c>
      <c r="F908" s="4" t="s">
        <v>3555</v>
      </c>
      <c r="G908" s="4">
        <v>0</v>
      </c>
      <c r="H908">
        <v>0</v>
      </c>
      <c r="I908">
        <v>350408</v>
      </c>
      <c r="J908" s="6">
        <v>7.8541999999999996</v>
      </c>
      <c r="K908" s="4" t="str">
        <f t="shared" si="14"/>
        <v>Low</v>
      </c>
      <c r="L908" t="s">
        <v>3561</v>
      </c>
      <c r="M908" s="4" t="s">
        <v>3561</v>
      </c>
      <c r="N908" t="s">
        <v>457</v>
      </c>
      <c r="O908" t="s">
        <v>3569</v>
      </c>
      <c r="P908" s="4" t="s">
        <v>3573</v>
      </c>
      <c r="Q908" t="s">
        <v>3573</v>
      </c>
    </row>
    <row r="909" spans="1:17">
      <c r="A909" t="s">
        <v>838</v>
      </c>
      <c r="B909" t="s">
        <v>840</v>
      </c>
      <c r="C909" t="s">
        <v>3152</v>
      </c>
      <c r="D909" t="s">
        <v>3551</v>
      </c>
      <c r="E909">
        <v>20</v>
      </c>
      <c r="F909" s="4" t="s">
        <v>3555</v>
      </c>
      <c r="G909" s="4">
        <v>0</v>
      </c>
      <c r="H909">
        <v>1</v>
      </c>
      <c r="I909">
        <v>4136</v>
      </c>
      <c r="J909" s="6">
        <v>9.8249999999999993</v>
      </c>
      <c r="K909" s="4" t="str">
        <f t="shared" si="14"/>
        <v>Low</v>
      </c>
      <c r="L909" t="s">
        <v>3561</v>
      </c>
      <c r="M909" s="4" t="s">
        <v>3561</v>
      </c>
      <c r="N909" t="s">
        <v>457</v>
      </c>
      <c r="O909" t="s">
        <v>3569</v>
      </c>
      <c r="P909" s="4" t="s">
        <v>3573</v>
      </c>
      <c r="Q909" t="s">
        <v>3573</v>
      </c>
    </row>
    <row r="910" spans="1:17">
      <c r="A910" t="s">
        <v>838</v>
      </c>
      <c r="B910" t="s">
        <v>840</v>
      </c>
      <c r="C910" t="s">
        <v>3153</v>
      </c>
      <c r="D910" t="s">
        <v>3551</v>
      </c>
      <c r="E910">
        <v>21</v>
      </c>
      <c r="F910" s="4" t="s">
        <v>3555</v>
      </c>
      <c r="G910" s="4">
        <v>0</v>
      </c>
      <c r="H910">
        <v>1</v>
      </c>
      <c r="I910">
        <v>4137</v>
      </c>
      <c r="J910" s="6">
        <v>9.8249999999999993</v>
      </c>
      <c r="K910" s="4" t="str">
        <f t="shared" si="14"/>
        <v>Low</v>
      </c>
      <c r="L910" t="s">
        <v>3561</v>
      </c>
      <c r="M910" s="4" t="s">
        <v>3561</v>
      </c>
      <c r="N910" t="s">
        <v>457</v>
      </c>
      <c r="O910" t="s">
        <v>3569</v>
      </c>
      <c r="P910" s="4" t="s">
        <v>3573</v>
      </c>
      <c r="Q910" t="s">
        <v>3573</v>
      </c>
    </row>
    <row r="911" spans="1:17">
      <c r="A911" t="s">
        <v>838</v>
      </c>
      <c r="B911" t="s">
        <v>9</v>
      </c>
      <c r="C911" t="s">
        <v>3154</v>
      </c>
      <c r="D911" t="s">
        <v>3552</v>
      </c>
      <c r="E911">
        <v>32</v>
      </c>
      <c r="F911" s="4" t="s">
        <v>3557</v>
      </c>
      <c r="G911" s="4">
        <v>0</v>
      </c>
      <c r="H911">
        <v>0</v>
      </c>
      <c r="I911" t="s">
        <v>762</v>
      </c>
      <c r="J911" s="6">
        <v>7.9249999999999998</v>
      </c>
      <c r="K911" s="4" t="str">
        <f t="shared" si="14"/>
        <v>Low</v>
      </c>
      <c r="L911" t="s">
        <v>3561</v>
      </c>
      <c r="M911" s="4" t="s">
        <v>3561</v>
      </c>
      <c r="N911" t="s">
        <v>457</v>
      </c>
      <c r="O911">
        <v>15</v>
      </c>
      <c r="P911" s="4" t="s">
        <v>3573</v>
      </c>
      <c r="Q911" t="s">
        <v>3573</v>
      </c>
    </row>
    <row r="912" spans="1:17">
      <c r="A912" t="s">
        <v>838</v>
      </c>
      <c r="B912" t="s">
        <v>840</v>
      </c>
      <c r="C912" t="s">
        <v>3155</v>
      </c>
      <c r="D912" t="s">
        <v>3552</v>
      </c>
      <c r="E912">
        <v>17</v>
      </c>
      <c r="F912" s="4" t="s">
        <v>3560</v>
      </c>
      <c r="G912" s="4">
        <v>0</v>
      </c>
      <c r="H912">
        <v>0</v>
      </c>
      <c r="I912" t="s">
        <v>763</v>
      </c>
      <c r="J912" s="6">
        <v>7.125</v>
      </c>
      <c r="K912" s="4" t="str">
        <f t="shared" si="14"/>
        <v>Low</v>
      </c>
      <c r="L912" t="s">
        <v>3561</v>
      </c>
      <c r="M912" s="4" t="s">
        <v>3561</v>
      </c>
      <c r="N912" t="s">
        <v>457</v>
      </c>
      <c r="O912" t="s">
        <v>3569</v>
      </c>
      <c r="P912" s="4" t="s">
        <v>3573</v>
      </c>
      <c r="Q912" t="s">
        <v>3573</v>
      </c>
    </row>
    <row r="913" spans="1:17">
      <c r="A913" t="s">
        <v>838</v>
      </c>
      <c r="B913" t="s">
        <v>840</v>
      </c>
      <c r="C913" t="s">
        <v>3156</v>
      </c>
      <c r="D913" t="s">
        <v>3552</v>
      </c>
      <c r="E913">
        <v>21</v>
      </c>
      <c r="F913" s="4" t="s">
        <v>3555</v>
      </c>
      <c r="G913" s="4">
        <v>0</v>
      </c>
      <c r="H913">
        <v>0</v>
      </c>
      <c r="I913">
        <v>8475</v>
      </c>
      <c r="J913" s="6">
        <v>8.4332999999999991</v>
      </c>
      <c r="K913" s="4" t="str">
        <f t="shared" si="14"/>
        <v>Low</v>
      </c>
      <c r="L913" t="s">
        <v>3561</v>
      </c>
      <c r="M913" s="4" t="s">
        <v>3561</v>
      </c>
      <c r="N913" t="s">
        <v>457</v>
      </c>
      <c r="O913" t="s">
        <v>3569</v>
      </c>
      <c r="P913" s="4" t="s">
        <v>3573</v>
      </c>
      <c r="Q913" t="s">
        <v>3573</v>
      </c>
    </row>
    <row r="914" spans="1:17">
      <c r="A914" t="s">
        <v>838</v>
      </c>
      <c r="B914" t="s">
        <v>840</v>
      </c>
      <c r="C914" t="s">
        <v>3157</v>
      </c>
      <c r="D914" t="s">
        <v>3552</v>
      </c>
      <c r="E914">
        <v>30</v>
      </c>
      <c r="F914" s="4" t="s">
        <v>3557</v>
      </c>
      <c r="G914" s="4">
        <v>0</v>
      </c>
      <c r="H914">
        <v>0</v>
      </c>
      <c r="I914">
        <v>349246</v>
      </c>
      <c r="J914" s="6">
        <v>7.8958000000000004</v>
      </c>
      <c r="K914" s="4" t="str">
        <f t="shared" si="14"/>
        <v>Low</v>
      </c>
      <c r="L914" t="s">
        <v>3561</v>
      </c>
      <c r="M914" s="4" t="s">
        <v>3561</v>
      </c>
      <c r="N914" t="s">
        <v>457</v>
      </c>
      <c r="O914" t="s">
        <v>3569</v>
      </c>
      <c r="P914" s="4" t="s">
        <v>3573</v>
      </c>
      <c r="Q914" t="s">
        <v>3573</v>
      </c>
    </row>
    <row r="915" spans="1:17">
      <c r="A915" t="s">
        <v>838</v>
      </c>
      <c r="B915" t="s">
        <v>9</v>
      </c>
      <c r="C915" t="s">
        <v>3158</v>
      </c>
      <c r="D915" t="s">
        <v>3552</v>
      </c>
      <c r="E915">
        <v>21</v>
      </c>
      <c r="F915" s="4" t="s">
        <v>3555</v>
      </c>
      <c r="G915" s="4">
        <v>0</v>
      </c>
      <c r="H915">
        <v>0</v>
      </c>
      <c r="I915">
        <v>350053</v>
      </c>
      <c r="J915" s="6">
        <v>7.7957999999999998</v>
      </c>
      <c r="K915" s="4" t="str">
        <f t="shared" si="14"/>
        <v>Low</v>
      </c>
      <c r="L915" t="s">
        <v>3561</v>
      </c>
      <c r="M915" s="4" t="s">
        <v>3561</v>
      </c>
      <c r="N915" t="s">
        <v>457</v>
      </c>
      <c r="O915">
        <v>13</v>
      </c>
      <c r="P915" s="4" t="s">
        <v>3573</v>
      </c>
      <c r="Q915" t="s">
        <v>3573</v>
      </c>
    </row>
    <row r="916" spans="1:17">
      <c r="A916" t="s">
        <v>838</v>
      </c>
      <c r="B916" t="s">
        <v>840</v>
      </c>
      <c r="C916" t="s">
        <v>3159</v>
      </c>
      <c r="D916" t="s">
        <v>3552</v>
      </c>
      <c r="E916">
        <v>33</v>
      </c>
      <c r="F916" s="4" t="s">
        <v>3557</v>
      </c>
      <c r="G916" s="4">
        <v>0</v>
      </c>
      <c r="H916">
        <v>0</v>
      </c>
      <c r="I916">
        <v>347465</v>
      </c>
      <c r="J916" s="6">
        <v>7.8541999999999996</v>
      </c>
      <c r="K916" s="4" t="str">
        <f t="shared" si="14"/>
        <v>Low</v>
      </c>
      <c r="L916" t="s">
        <v>3561</v>
      </c>
      <c r="M916" s="4" t="s">
        <v>3561</v>
      </c>
      <c r="N916" t="s">
        <v>457</v>
      </c>
      <c r="O916" t="s">
        <v>3569</v>
      </c>
      <c r="P916" s="4" t="s">
        <v>3573</v>
      </c>
      <c r="Q916" t="s">
        <v>3573</v>
      </c>
    </row>
    <row r="917" spans="1:17">
      <c r="A917" t="s">
        <v>838</v>
      </c>
      <c r="B917" t="s">
        <v>840</v>
      </c>
      <c r="C917" t="s">
        <v>3160</v>
      </c>
      <c r="D917" t="s">
        <v>3552</v>
      </c>
      <c r="E917">
        <v>22</v>
      </c>
      <c r="F917" s="4" t="s">
        <v>3555</v>
      </c>
      <c r="G917" s="4">
        <v>0</v>
      </c>
      <c r="H917">
        <v>0</v>
      </c>
      <c r="I917">
        <v>350060</v>
      </c>
      <c r="J917" s="6">
        <v>7.5208000000000004</v>
      </c>
      <c r="K917" s="4" t="str">
        <f t="shared" si="14"/>
        <v>Low</v>
      </c>
      <c r="L917" t="s">
        <v>3561</v>
      </c>
      <c r="M917" s="4" t="s">
        <v>3561</v>
      </c>
      <c r="N917" t="s">
        <v>457</v>
      </c>
      <c r="O917" t="s">
        <v>3569</v>
      </c>
      <c r="P917" s="4" t="s">
        <v>3573</v>
      </c>
      <c r="Q917" t="s">
        <v>3573</v>
      </c>
    </row>
    <row r="918" spans="1:17">
      <c r="A918" t="s">
        <v>838</v>
      </c>
      <c r="B918" t="s">
        <v>9</v>
      </c>
      <c r="C918" t="s">
        <v>3161</v>
      </c>
      <c r="D918" t="s">
        <v>3551</v>
      </c>
      <c r="E918">
        <v>4</v>
      </c>
      <c r="F918" s="4" t="s">
        <v>3556</v>
      </c>
      <c r="G918" s="4">
        <v>1</v>
      </c>
      <c r="H918">
        <v>0</v>
      </c>
      <c r="I918">
        <v>349256</v>
      </c>
      <c r="J918" s="6">
        <v>13.416700000000001</v>
      </c>
      <c r="K918" s="4" t="str">
        <f t="shared" si="14"/>
        <v>Mid</v>
      </c>
      <c r="L918" t="s">
        <v>3561</v>
      </c>
      <c r="M918" s="4" t="s">
        <v>3561</v>
      </c>
      <c r="N918" t="s">
        <v>3566</v>
      </c>
      <c r="O918">
        <v>15</v>
      </c>
      <c r="P918" s="4" t="s">
        <v>3573</v>
      </c>
      <c r="Q918" t="s">
        <v>3573</v>
      </c>
    </row>
    <row r="919" spans="1:17">
      <c r="A919" t="s">
        <v>838</v>
      </c>
      <c r="B919" t="s">
        <v>9</v>
      </c>
      <c r="C919" t="s">
        <v>3162</v>
      </c>
      <c r="D919" t="s">
        <v>3552</v>
      </c>
      <c r="E919">
        <v>39</v>
      </c>
      <c r="F919" s="4" t="s">
        <v>3557</v>
      </c>
      <c r="G919" s="4">
        <v>1</v>
      </c>
      <c r="H919">
        <v>0</v>
      </c>
      <c r="I919">
        <v>349256</v>
      </c>
      <c r="J919" s="6">
        <v>13.416700000000001</v>
      </c>
      <c r="K919" s="4" t="str">
        <f t="shared" si="14"/>
        <v>Mid</v>
      </c>
      <c r="L919" t="s">
        <v>3561</v>
      </c>
      <c r="M919" s="4" t="s">
        <v>3561</v>
      </c>
      <c r="N919" t="s">
        <v>3566</v>
      </c>
      <c r="O919">
        <v>15</v>
      </c>
      <c r="P919" s="4" t="s">
        <v>3573</v>
      </c>
      <c r="Q919" t="s">
        <v>3573</v>
      </c>
    </row>
    <row r="920" spans="1:17">
      <c r="A920" t="s">
        <v>838</v>
      </c>
      <c r="B920" t="s">
        <v>840</v>
      </c>
      <c r="C920" t="s">
        <v>3163</v>
      </c>
      <c r="D920" t="s">
        <v>3552</v>
      </c>
      <c r="E920">
        <v>28</v>
      </c>
      <c r="F920" s="4" t="s">
        <v>3555</v>
      </c>
      <c r="G920" s="4">
        <v>0</v>
      </c>
      <c r="H920">
        <v>0</v>
      </c>
      <c r="I920">
        <v>2700</v>
      </c>
      <c r="J920" s="6">
        <v>7.2291999999999996</v>
      </c>
      <c r="K920" s="4" t="str">
        <f t="shared" si="14"/>
        <v>Low</v>
      </c>
      <c r="L920" t="s">
        <v>3561</v>
      </c>
      <c r="M920" s="4" t="s">
        <v>3561</v>
      </c>
      <c r="N920" t="s">
        <v>3566</v>
      </c>
      <c r="O920" t="s">
        <v>3569</v>
      </c>
      <c r="P920" s="4" t="s">
        <v>3573</v>
      </c>
      <c r="Q920" t="s">
        <v>3573</v>
      </c>
    </row>
    <row r="921" spans="1:17">
      <c r="A921" t="s">
        <v>838</v>
      </c>
      <c r="B921" t="s">
        <v>840</v>
      </c>
      <c r="C921" t="s">
        <v>3164</v>
      </c>
      <c r="D921" t="s">
        <v>3552</v>
      </c>
      <c r="E921">
        <v>19</v>
      </c>
      <c r="F921" s="4" t="s">
        <v>3555</v>
      </c>
      <c r="G921" s="4">
        <v>0</v>
      </c>
      <c r="H921">
        <v>0</v>
      </c>
      <c r="I921">
        <v>2682</v>
      </c>
      <c r="J921" s="6">
        <v>7.2291999999999996</v>
      </c>
      <c r="K921" s="4" t="str">
        <f t="shared" si="14"/>
        <v>Low</v>
      </c>
      <c r="L921" t="s">
        <v>3561</v>
      </c>
      <c r="M921" s="4" t="s">
        <v>3561</v>
      </c>
      <c r="N921" t="s">
        <v>3566</v>
      </c>
      <c r="O921" t="s">
        <v>3569</v>
      </c>
      <c r="P921" s="4">
        <v>58</v>
      </c>
      <c r="Q921" t="s">
        <v>3574</v>
      </c>
    </row>
    <row r="922" spans="1:17">
      <c r="A922" t="s">
        <v>838</v>
      </c>
      <c r="B922" t="s">
        <v>840</v>
      </c>
      <c r="C922" t="s">
        <v>3165</v>
      </c>
      <c r="D922" t="s">
        <v>3552</v>
      </c>
      <c r="E922">
        <v>28</v>
      </c>
      <c r="F922" s="4" t="s">
        <v>3555</v>
      </c>
      <c r="G922" s="4">
        <v>0</v>
      </c>
      <c r="H922">
        <v>0</v>
      </c>
      <c r="I922">
        <v>12460</v>
      </c>
      <c r="J922" s="6">
        <v>7.75</v>
      </c>
      <c r="K922" s="4" t="str">
        <f t="shared" si="14"/>
        <v>Low</v>
      </c>
      <c r="L922" t="s">
        <v>3561</v>
      </c>
      <c r="M922" s="4" t="s">
        <v>3561</v>
      </c>
      <c r="N922" t="s">
        <v>3567</v>
      </c>
      <c r="O922" t="s">
        <v>3569</v>
      </c>
      <c r="P922" s="4" t="s">
        <v>3573</v>
      </c>
      <c r="Q922" t="s">
        <v>3573</v>
      </c>
    </row>
    <row r="923" spans="1:17">
      <c r="A923" t="s">
        <v>838</v>
      </c>
      <c r="B923" t="s">
        <v>840</v>
      </c>
      <c r="C923" t="s">
        <v>3166</v>
      </c>
      <c r="D923" t="s">
        <v>3552</v>
      </c>
      <c r="E923">
        <v>28</v>
      </c>
      <c r="F923" s="4" t="s">
        <v>3555</v>
      </c>
      <c r="G923" s="4">
        <v>0</v>
      </c>
      <c r="H923">
        <v>0</v>
      </c>
      <c r="I923">
        <v>323592</v>
      </c>
      <c r="J923" s="6">
        <v>7.25</v>
      </c>
      <c r="K923" s="4" t="str">
        <f t="shared" si="14"/>
        <v>Low</v>
      </c>
      <c r="L923" t="s">
        <v>3561</v>
      </c>
      <c r="M923" s="4" t="s">
        <v>3561</v>
      </c>
      <c r="N923" t="s">
        <v>457</v>
      </c>
      <c r="O923" t="s">
        <v>78</v>
      </c>
      <c r="P923" s="4" t="s">
        <v>3573</v>
      </c>
      <c r="Q923" t="s">
        <v>3573</v>
      </c>
    </row>
    <row r="924" spans="1:17">
      <c r="A924" t="s">
        <v>838</v>
      </c>
      <c r="B924" t="s">
        <v>9</v>
      </c>
      <c r="C924" t="s">
        <v>3167</v>
      </c>
      <c r="D924" t="s">
        <v>3551</v>
      </c>
      <c r="E924">
        <v>28</v>
      </c>
      <c r="F924" s="4" t="s">
        <v>3555</v>
      </c>
      <c r="G924" s="4">
        <v>0</v>
      </c>
      <c r="H924">
        <v>0</v>
      </c>
      <c r="I924">
        <v>9234</v>
      </c>
      <c r="J924" s="6">
        <v>7.75</v>
      </c>
      <c r="K924" s="4" t="str">
        <f t="shared" si="14"/>
        <v>Low</v>
      </c>
      <c r="L924" t="s">
        <v>3561</v>
      </c>
      <c r="M924" s="4" t="s">
        <v>3561</v>
      </c>
      <c r="N924" t="s">
        <v>3567</v>
      </c>
      <c r="O924">
        <v>16</v>
      </c>
      <c r="P924" s="4" t="s">
        <v>3573</v>
      </c>
      <c r="Q924" t="s">
        <v>3573</v>
      </c>
    </row>
    <row r="925" spans="1:17">
      <c r="A925" t="s">
        <v>838</v>
      </c>
      <c r="B925" t="s">
        <v>9</v>
      </c>
      <c r="C925" t="s">
        <v>3168</v>
      </c>
      <c r="D925" t="s">
        <v>3551</v>
      </c>
      <c r="E925">
        <v>28</v>
      </c>
      <c r="F925" s="4" t="s">
        <v>3555</v>
      </c>
      <c r="G925" s="4">
        <v>0</v>
      </c>
      <c r="H925">
        <v>0</v>
      </c>
      <c r="I925">
        <v>14312</v>
      </c>
      <c r="J925" s="6">
        <v>7.75</v>
      </c>
      <c r="K925" s="4" t="str">
        <f t="shared" si="14"/>
        <v>Low</v>
      </c>
      <c r="L925" t="s">
        <v>3561</v>
      </c>
      <c r="M925" s="4" t="s">
        <v>3561</v>
      </c>
      <c r="N925" t="s">
        <v>3567</v>
      </c>
      <c r="O925" t="s">
        <v>59</v>
      </c>
      <c r="P925" s="4" t="s">
        <v>3573</v>
      </c>
      <c r="Q925" t="s">
        <v>3573</v>
      </c>
    </row>
    <row r="926" spans="1:17">
      <c r="A926" t="s">
        <v>838</v>
      </c>
      <c r="B926" t="s">
        <v>840</v>
      </c>
      <c r="C926" t="s">
        <v>3169</v>
      </c>
      <c r="D926" t="s">
        <v>3552</v>
      </c>
      <c r="E926">
        <v>35</v>
      </c>
      <c r="F926" s="4" t="s">
        <v>3557</v>
      </c>
      <c r="G926" s="4">
        <v>0</v>
      </c>
      <c r="H926">
        <v>0</v>
      </c>
      <c r="I926">
        <v>330911</v>
      </c>
      <c r="J926" s="6">
        <v>7.8292000000000002</v>
      </c>
      <c r="K926" s="4" t="str">
        <f t="shared" si="14"/>
        <v>Low</v>
      </c>
      <c r="L926" t="s">
        <v>3561</v>
      </c>
      <c r="M926" s="4" t="s">
        <v>3561</v>
      </c>
      <c r="N926" t="s">
        <v>3567</v>
      </c>
      <c r="O926" t="s">
        <v>3569</v>
      </c>
      <c r="P926" s="4">
        <v>70</v>
      </c>
      <c r="Q926" t="s">
        <v>3574</v>
      </c>
    </row>
    <row r="927" spans="1:17">
      <c r="A927" t="s">
        <v>838</v>
      </c>
      <c r="B927" t="s">
        <v>840</v>
      </c>
      <c r="C927" t="s">
        <v>3169</v>
      </c>
      <c r="D927" t="s">
        <v>3552</v>
      </c>
      <c r="E927">
        <v>44</v>
      </c>
      <c r="F927" s="4" t="s">
        <v>3557</v>
      </c>
      <c r="G927" s="4">
        <v>0</v>
      </c>
      <c r="H927">
        <v>0</v>
      </c>
      <c r="I927">
        <v>363592</v>
      </c>
      <c r="J927" s="6">
        <v>8.0500000000000007</v>
      </c>
      <c r="K927" s="4" t="str">
        <f t="shared" si="14"/>
        <v>Low</v>
      </c>
      <c r="L927" t="s">
        <v>3561</v>
      </c>
      <c r="M927" s="4" t="s">
        <v>3561</v>
      </c>
      <c r="N927" t="s">
        <v>457</v>
      </c>
      <c r="O927" t="s">
        <v>3569</v>
      </c>
      <c r="P927" s="4" t="s">
        <v>3573</v>
      </c>
      <c r="Q927" t="s">
        <v>3573</v>
      </c>
    </row>
    <row r="928" spans="1:17">
      <c r="A928" t="s">
        <v>838</v>
      </c>
      <c r="B928" t="s">
        <v>9</v>
      </c>
      <c r="C928" t="s">
        <v>3170</v>
      </c>
      <c r="D928" t="s">
        <v>3552</v>
      </c>
      <c r="E928">
        <v>28</v>
      </c>
      <c r="F928" s="4" t="s">
        <v>3555</v>
      </c>
      <c r="G928" s="4">
        <v>0</v>
      </c>
      <c r="H928">
        <v>0</v>
      </c>
      <c r="I928">
        <v>368783</v>
      </c>
      <c r="J928" s="6">
        <v>7.75</v>
      </c>
      <c r="K928" s="4" t="str">
        <f t="shared" si="14"/>
        <v>Low</v>
      </c>
      <c r="L928" t="s">
        <v>3561</v>
      </c>
      <c r="M928" s="4" t="s">
        <v>3561</v>
      </c>
      <c r="N928" t="s">
        <v>3567</v>
      </c>
      <c r="O928" t="s">
        <v>3569</v>
      </c>
      <c r="P928" s="4" t="s">
        <v>3573</v>
      </c>
      <c r="Q928" t="s">
        <v>3573</v>
      </c>
    </row>
    <row r="929" spans="1:17">
      <c r="A929" t="s">
        <v>838</v>
      </c>
      <c r="B929" t="s">
        <v>840</v>
      </c>
      <c r="C929" t="s">
        <v>3171</v>
      </c>
      <c r="D929" t="s">
        <v>3552</v>
      </c>
      <c r="E929">
        <v>28</v>
      </c>
      <c r="F929" s="4" t="s">
        <v>3555</v>
      </c>
      <c r="G929" s="4">
        <v>0</v>
      </c>
      <c r="H929">
        <v>1</v>
      </c>
      <c r="I929">
        <v>2660</v>
      </c>
      <c r="J929" s="6">
        <v>14.4542</v>
      </c>
      <c r="K929" s="4" t="str">
        <f t="shared" si="14"/>
        <v>Mid</v>
      </c>
      <c r="L929" t="s">
        <v>3561</v>
      </c>
      <c r="M929" s="4" t="s">
        <v>3561</v>
      </c>
      <c r="N929" t="s">
        <v>3566</v>
      </c>
      <c r="O929" t="s">
        <v>3569</v>
      </c>
      <c r="P929" s="4" t="s">
        <v>3573</v>
      </c>
      <c r="Q929" t="s">
        <v>3573</v>
      </c>
    </row>
    <row r="930" spans="1:17">
      <c r="A930" t="s">
        <v>838</v>
      </c>
      <c r="B930" t="s">
        <v>840</v>
      </c>
      <c r="C930" t="s">
        <v>3172</v>
      </c>
      <c r="D930" t="s">
        <v>3551</v>
      </c>
      <c r="E930">
        <v>28</v>
      </c>
      <c r="F930" s="4" t="s">
        <v>3555</v>
      </c>
      <c r="G930" s="4">
        <v>0</v>
      </c>
      <c r="H930">
        <v>1</v>
      </c>
      <c r="I930">
        <v>2660</v>
      </c>
      <c r="J930" s="6">
        <v>14.4542</v>
      </c>
      <c r="K930" s="4" t="str">
        <f t="shared" si="14"/>
        <v>Mid</v>
      </c>
      <c r="L930" t="s">
        <v>3561</v>
      </c>
      <c r="M930" s="4" t="s">
        <v>3561</v>
      </c>
      <c r="N930" t="s">
        <v>3566</v>
      </c>
      <c r="O930" t="s">
        <v>3569</v>
      </c>
      <c r="P930" s="4" t="s">
        <v>3573</v>
      </c>
      <c r="Q930" t="s">
        <v>3573</v>
      </c>
    </row>
    <row r="931" spans="1:17">
      <c r="A931" t="s">
        <v>838</v>
      </c>
      <c r="B931" t="s">
        <v>840</v>
      </c>
      <c r="C931" t="s">
        <v>3173</v>
      </c>
      <c r="D931" t="s">
        <v>3552</v>
      </c>
      <c r="E931">
        <v>28</v>
      </c>
      <c r="F931" s="4" t="s">
        <v>3555</v>
      </c>
      <c r="G931" s="4">
        <v>0</v>
      </c>
      <c r="H931">
        <v>1</v>
      </c>
      <c r="I931">
        <v>367227</v>
      </c>
      <c r="J931" s="6">
        <v>7.75</v>
      </c>
      <c r="K931" s="4" t="str">
        <f t="shared" si="14"/>
        <v>Low</v>
      </c>
      <c r="L931" t="s">
        <v>3561</v>
      </c>
      <c r="M931" s="4" t="s">
        <v>3561</v>
      </c>
      <c r="N931" t="s">
        <v>3567</v>
      </c>
      <c r="O931" t="s">
        <v>3569</v>
      </c>
      <c r="P931" s="4" t="s">
        <v>3573</v>
      </c>
      <c r="Q931" t="s">
        <v>3573</v>
      </c>
    </row>
    <row r="932" spans="1:17">
      <c r="A932" t="s">
        <v>838</v>
      </c>
      <c r="B932" t="s">
        <v>840</v>
      </c>
      <c r="C932" t="s">
        <v>3174</v>
      </c>
      <c r="D932" t="s">
        <v>3552</v>
      </c>
      <c r="E932">
        <v>28</v>
      </c>
      <c r="F932" s="4" t="s">
        <v>3555</v>
      </c>
      <c r="G932" s="4">
        <v>0</v>
      </c>
      <c r="H932">
        <v>1</v>
      </c>
      <c r="I932">
        <v>367229</v>
      </c>
      <c r="J932" s="6">
        <v>7.75</v>
      </c>
      <c r="K932" s="4" t="str">
        <f t="shared" si="14"/>
        <v>Low</v>
      </c>
      <c r="L932" t="s">
        <v>3561</v>
      </c>
      <c r="M932" s="4" t="s">
        <v>3561</v>
      </c>
      <c r="N932" t="s">
        <v>3567</v>
      </c>
      <c r="O932" t="s">
        <v>3569</v>
      </c>
      <c r="P932" s="4" t="s">
        <v>3573</v>
      </c>
      <c r="Q932" t="s">
        <v>3573</v>
      </c>
    </row>
    <row r="933" spans="1:17">
      <c r="A933" t="s">
        <v>838</v>
      </c>
      <c r="B933" t="s">
        <v>840</v>
      </c>
      <c r="C933" t="s">
        <v>3175</v>
      </c>
      <c r="D933" t="s">
        <v>3552</v>
      </c>
      <c r="E933">
        <v>28</v>
      </c>
      <c r="F933" s="4" t="s">
        <v>3555</v>
      </c>
      <c r="G933" s="4">
        <v>0</v>
      </c>
      <c r="H933">
        <v>0</v>
      </c>
      <c r="I933">
        <v>36865</v>
      </c>
      <c r="J933" s="6">
        <v>7.7374999999999998</v>
      </c>
      <c r="K933" s="4" t="str">
        <f t="shared" si="14"/>
        <v>Low</v>
      </c>
      <c r="L933" t="s">
        <v>3561</v>
      </c>
      <c r="M933" s="4" t="s">
        <v>3561</v>
      </c>
      <c r="N933" t="s">
        <v>3567</v>
      </c>
      <c r="O933" t="s">
        <v>3569</v>
      </c>
      <c r="P933" s="4" t="s">
        <v>3573</v>
      </c>
      <c r="Q933" t="s">
        <v>3573</v>
      </c>
    </row>
    <row r="934" spans="1:17">
      <c r="A934" t="s">
        <v>838</v>
      </c>
      <c r="B934" t="s">
        <v>840</v>
      </c>
      <c r="C934" t="s">
        <v>3176</v>
      </c>
      <c r="D934" t="s">
        <v>3551</v>
      </c>
      <c r="E934">
        <v>22</v>
      </c>
      <c r="F934" s="4" t="s">
        <v>3555</v>
      </c>
      <c r="G934" s="4">
        <v>0</v>
      </c>
      <c r="H934">
        <v>2</v>
      </c>
      <c r="I934">
        <v>315152</v>
      </c>
      <c r="J934" s="6">
        <v>8.6624999999999996</v>
      </c>
      <c r="K934" s="4" t="str">
        <f t="shared" si="14"/>
        <v>Low</v>
      </c>
      <c r="L934" t="s">
        <v>3561</v>
      </c>
      <c r="M934" s="4" t="s">
        <v>3561</v>
      </c>
      <c r="N934" t="s">
        <v>457</v>
      </c>
      <c r="O934" t="s">
        <v>3569</v>
      </c>
      <c r="P934" s="4" t="s">
        <v>3573</v>
      </c>
      <c r="Q934" t="s">
        <v>3573</v>
      </c>
    </row>
    <row r="935" spans="1:17">
      <c r="A935" t="s">
        <v>838</v>
      </c>
      <c r="B935" t="s">
        <v>840</v>
      </c>
      <c r="C935" t="s">
        <v>3177</v>
      </c>
      <c r="D935" t="s">
        <v>3552</v>
      </c>
      <c r="E935">
        <v>26</v>
      </c>
      <c r="F935" s="4" t="s">
        <v>3555</v>
      </c>
      <c r="G935" s="4">
        <v>0</v>
      </c>
      <c r="H935">
        <v>2</v>
      </c>
      <c r="I935">
        <v>315151</v>
      </c>
      <c r="J935" s="6">
        <v>8.6624999999999996</v>
      </c>
      <c r="K935" s="4" t="str">
        <f t="shared" si="14"/>
        <v>Low</v>
      </c>
      <c r="L935" t="s">
        <v>3561</v>
      </c>
      <c r="M935" s="4" t="s">
        <v>3561</v>
      </c>
      <c r="N935" t="s">
        <v>457</v>
      </c>
      <c r="O935" t="s">
        <v>3569</v>
      </c>
      <c r="P935" s="4" t="s">
        <v>3573</v>
      </c>
      <c r="Q935" t="s">
        <v>3573</v>
      </c>
    </row>
    <row r="936" spans="1:17">
      <c r="A936" t="s">
        <v>838</v>
      </c>
      <c r="B936" t="s">
        <v>9</v>
      </c>
      <c r="C936" t="s">
        <v>3178</v>
      </c>
      <c r="D936" t="s">
        <v>3551</v>
      </c>
      <c r="E936">
        <v>4</v>
      </c>
      <c r="F936" s="4" t="s">
        <v>3556</v>
      </c>
      <c r="G936" s="4">
        <v>2</v>
      </c>
      <c r="H936">
        <v>0</v>
      </c>
      <c r="I936">
        <v>315153</v>
      </c>
      <c r="J936" s="6">
        <v>22.024999999999999</v>
      </c>
      <c r="K936" s="4" t="str">
        <f t="shared" si="14"/>
        <v>Mid</v>
      </c>
      <c r="L936" t="s">
        <v>3561</v>
      </c>
      <c r="M936" s="4" t="s">
        <v>3561</v>
      </c>
      <c r="N936" t="s">
        <v>457</v>
      </c>
      <c r="O936">
        <v>2</v>
      </c>
      <c r="P936" s="4" t="s">
        <v>3573</v>
      </c>
      <c r="Q936" t="s">
        <v>3573</v>
      </c>
    </row>
    <row r="937" spans="1:17">
      <c r="A937" t="s">
        <v>838</v>
      </c>
      <c r="B937" t="s">
        <v>9</v>
      </c>
      <c r="C937" t="s">
        <v>3179</v>
      </c>
      <c r="D937" t="s">
        <v>3552</v>
      </c>
      <c r="E937">
        <v>29</v>
      </c>
      <c r="F937" s="4" t="s">
        <v>3555</v>
      </c>
      <c r="G937" s="4">
        <v>1</v>
      </c>
      <c r="H937">
        <v>3</v>
      </c>
      <c r="I937">
        <v>315153</v>
      </c>
      <c r="J937" s="6">
        <v>22.024999999999999</v>
      </c>
      <c r="K937" s="4" t="str">
        <f t="shared" si="14"/>
        <v>Mid</v>
      </c>
      <c r="L937" t="s">
        <v>3561</v>
      </c>
      <c r="M937" s="4" t="s">
        <v>3561</v>
      </c>
      <c r="N937" t="s">
        <v>457</v>
      </c>
      <c r="O937">
        <v>2</v>
      </c>
      <c r="P937" s="4" t="s">
        <v>3573</v>
      </c>
      <c r="Q937" t="s">
        <v>3573</v>
      </c>
    </row>
    <row r="938" spans="1:17">
      <c r="A938" t="s">
        <v>838</v>
      </c>
      <c r="B938" t="s">
        <v>9</v>
      </c>
      <c r="C938" t="s">
        <v>3180</v>
      </c>
      <c r="D938" t="s">
        <v>3551</v>
      </c>
      <c r="E938">
        <v>26</v>
      </c>
      <c r="F938" s="4" t="s">
        <v>3555</v>
      </c>
      <c r="G938" s="4">
        <v>1</v>
      </c>
      <c r="H938">
        <v>1</v>
      </c>
      <c r="I938">
        <v>315153</v>
      </c>
      <c r="J938" s="6">
        <v>22.024999999999999</v>
      </c>
      <c r="K938" s="4" t="str">
        <f t="shared" si="14"/>
        <v>Mid</v>
      </c>
      <c r="L938" t="s">
        <v>3561</v>
      </c>
      <c r="M938" s="4" t="s">
        <v>3561</v>
      </c>
      <c r="N938" t="s">
        <v>457</v>
      </c>
      <c r="O938">
        <v>2</v>
      </c>
      <c r="P938" s="4" t="s">
        <v>3573</v>
      </c>
      <c r="Q938" t="s">
        <v>3573</v>
      </c>
    </row>
    <row r="939" spans="1:17">
      <c r="A939" t="s">
        <v>838</v>
      </c>
      <c r="B939" t="s">
        <v>840</v>
      </c>
      <c r="C939" t="s">
        <v>3181</v>
      </c>
      <c r="D939" t="s">
        <v>3551</v>
      </c>
      <c r="E939">
        <v>1</v>
      </c>
      <c r="F939" s="4" t="s">
        <v>3556</v>
      </c>
      <c r="G939" s="4">
        <v>1</v>
      </c>
      <c r="H939">
        <v>1</v>
      </c>
      <c r="I939">
        <v>350405</v>
      </c>
      <c r="J939" s="6">
        <v>12.183299999999999</v>
      </c>
      <c r="K939" s="4" t="str">
        <f t="shared" si="14"/>
        <v>Mid</v>
      </c>
      <c r="L939" t="s">
        <v>3561</v>
      </c>
      <c r="M939" s="4" t="s">
        <v>3561</v>
      </c>
      <c r="N939" t="s">
        <v>457</v>
      </c>
      <c r="O939" t="s">
        <v>3569</v>
      </c>
      <c r="P939" s="4" t="s">
        <v>3573</v>
      </c>
      <c r="Q939" t="s">
        <v>3573</v>
      </c>
    </row>
    <row r="940" spans="1:17">
      <c r="A940" t="s">
        <v>838</v>
      </c>
      <c r="B940" t="s">
        <v>840</v>
      </c>
      <c r="C940" t="s">
        <v>3182</v>
      </c>
      <c r="D940" t="s">
        <v>3552</v>
      </c>
      <c r="E940">
        <v>18</v>
      </c>
      <c r="F940" s="4" t="s">
        <v>3555</v>
      </c>
      <c r="G940" s="4">
        <v>1</v>
      </c>
      <c r="H940">
        <v>1</v>
      </c>
      <c r="I940">
        <v>350404</v>
      </c>
      <c r="J940" s="6">
        <v>7.8541999999999996</v>
      </c>
      <c r="K940" s="4" t="str">
        <f t="shared" si="14"/>
        <v>Low</v>
      </c>
      <c r="L940" t="s">
        <v>3561</v>
      </c>
      <c r="M940" s="4" t="s">
        <v>3561</v>
      </c>
      <c r="N940" t="s">
        <v>457</v>
      </c>
      <c r="O940" t="s">
        <v>3569</v>
      </c>
      <c r="P940" s="4" t="s">
        <v>3573</v>
      </c>
      <c r="Q940" t="s">
        <v>3573</v>
      </c>
    </row>
    <row r="941" spans="1:17">
      <c r="A941" t="s">
        <v>838</v>
      </c>
      <c r="B941" t="s">
        <v>840</v>
      </c>
      <c r="C941" t="s">
        <v>3183</v>
      </c>
      <c r="D941" t="s">
        <v>3551</v>
      </c>
      <c r="E941">
        <v>36</v>
      </c>
      <c r="F941" s="4" t="s">
        <v>3557</v>
      </c>
      <c r="G941" s="4">
        <v>2</v>
      </c>
      <c r="H941">
        <v>0</v>
      </c>
      <c r="I941">
        <v>350405</v>
      </c>
      <c r="J941" s="6">
        <v>12.183299999999999</v>
      </c>
      <c r="K941" s="4" t="str">
        <f t="shared" si="14"/>
        <v>Mid</v>
      </c>
      <c r="L941" t="s">
        <v>3561</v>
      </c>
      <c r="M941" s="4" t="s">
        <v>3561</v>
      </c>
      <c r="N941" t="s">
        <v>457</v>
      </c>
      <c r="O941" t="s">
        <v>3569</v>
      </c>
      <c r="P941" s="4" t="s">
        <v>3573</v>
      </c>
      <c r="Q941" t="s">
        <v>3573</v>
      </c>
    </row>
    <row r="942" spans="1:17">
      <c r="A942" t="s">
        <v>838</v>
      </c>
      <c r="B942" t="s">
        <v>840</v>
      </c>
      <c r="C942" t="s">
        <v>3184</v>
      </c>
      <c r="D942" t="s">
        <v>3552</v>
      </c>
      <c r="E942">
        <v>28</v>
      </c>
      <c r="F942" s="4" t="s">
        <v>3555</v>
      </c>
      <c r="G942" s="4">
        <v>0</v>
      </c>
      <c r="H942">
        <v>0</v>
      </c>
      <c r="I942">
        <v>349253</v>
      </c>
      <c r="J942" s="6">
        <v>7.8958000000000004</v>
      </c>
      <c r="K942" s="4" t="str">
        <f t="shared" si="14"/>
        <v>Low</v>
      </c>
      <c r="L942" t="s">
        <v>3561</v>
      </c>
      <c r="M942" s="4" t="s">
        <v>3561</v>
      </c>
      <c r="N942" t="s">
        <v>3566</v>
      </c>
      <c r="O942" t="s">
        <v>3569</v>
      </c>
      <c r="P942" s="4" t="s">
        <v>3573</v>
      </c>
      <c r="Q942" t="s">
        <v>3573</v>
      </c>
    </row>
    <row r="943" spans="1:17">
      <c r="A943" t="s">
        <v>838</v>
      </c>
      <c r="B943" t="s">
        <v>9</v>
      </c>
      <c r="C943" t="s">
        <v>3185</v>
      </c>
      <c r="D943" t="s">
        <v>3552</v>
      </c>
      <c r="E943">
        <v>25</v>
      </c>
      <c r="F943" s="4" t="s">
        <v>3555</v>
      </c>
      <c r="G943" s="4">
        <v>0</v>
      </c>
      <c r="H943">
        <v>0</v>
      </c>
      <c r="I943">
        <v>2654</v>
      </c>
      <c r="J943" s="6">
        <v>7.2291999999999996</v>
      </c>
      <c r="K943" s="4" t="str">
        <f t="shared" si="14"/>
        <v>Low</v>
      </c>
      <c r="L943" t="s">
        <v>764</v>
      </c>
      <c r="M943" s="4" t="s">
        <v>586</v>
      </c>
      <c r="N943" t="s">
        <v>3566</v>
      </c>
      <c r="O943">
        <v>10</v>
      </c>
      <c r="P943" s="4" t="s">
        <v>3573</v>
      </c>
      <c r="Q943" t="s">
        <v>3573</v>
      </c>
    </row>
    <row r="944" spans="1:17">
      <c r="A944" t="s">
        <v>838</v>
      </c>
      <c r="B944" t="s">
        <v>840</v>
      </c>
      <c r="C944" t="s">
        <v>3186</v>
      </c>
      <c r="D944" t="s">
        <v>3552</v>
      </c>
      <c r="E944">
        <v>28</v>
      </c>
      <c r="F944" s="4" t="s">
        <v>3555</v>
      </c>
      <c r="G944" s="4">
        <v>0</v>
      </c>
      <c r="H944">
        <v>0</v>
      </c>
      <c r="I944">
        <v>2624</v>
      </c>
      <c r="J944" s="6">
        <v>7.2249999999999996</v>
      </c>
      <c r="K944" s="4" t="str">
        <f t="shared" si="14"/>
        <v>Low</v>
      </c>
      <c r="L944" t="s">
        <v>3561</v>
      </c>
      <c r="M944" s="4" t="s">
        <v>3561</v>
      </c>
      <c r="N944" t="s">
        <v>3566</v>
      </c>
      <c r="O944" t="s">
        <v>3569</v>
      </c>
      <c r="P944" s="4" t="s">
        <v>3573</v>
      </c>
      <c r="Q944" t="s">
        <v>3573</v>
      </c>
    </row>
    <row r="945" spans="1:17">
      <c r="A945" t="s">
        <v>838</v>
      </c>
      <c r="B945" t="s">
        <v>840</v>
      </c>
      <c r="C945" t="s">
        <v>3187</v>
      </c>
      <c r="D945" t="s">
        <v>3551</v>
      </c>
      <c r="E945">
        <v>37</v>
      </c>
      <c r="F945" s="4" t="s">
        <v>3557</v>
      </c>
      <c r="G945" s="4">
        <v>0</v>
      </c>
      <c r="H945">
        <v>0</v>
      </c>
      <c r="I945">
        <v>4135</v>
      </c>
      <c r="J945" s="6">
        <v>9.5875000000000004</v>
      </c>
      <c r="K945" s="4" t="str">
        <f t="shared" si="14"/>
        <v>Low</v>
      </c>
      <c r="L945" t="s">
        <v>3561</v>
      </c>
      <c r="M945" s="4" t="s">
        <v>3561</v>
      </c>
      <c r="N945" t="s">
        <v>457</v>
      </c>
      <c r="O945" t="s">
        <v>3569</v>
      </c>
      <c r="P945" s="4" t="s">
        <v>3573</v>
      </c>
      <c r="Q945" t="s">
        <v>3573</v>
      </c>
    </row>
    <row r="946" spans="1:17">
      <c r="A946" t="s">
        <v>838</v>
      </c>
      <c r="B946" t="s">
        <v>840</v>
      </c>
      <c r="C946" t="s">
        <v>3188</v>
      </c>
      <c r="D946" t="s">
        <v>3552</v>
      </c>
      <c r="E946">
        <v>28</v>
      </c>
      <c r="F946" s="4" t="s">
        <v>3555</v>
      </c>
      <c r="G946" s="4">
        <v>0</v>
      </c>
      <c r="H946">
        <v>0</v>
      </c>
      <c r="I946">
        <v>349217</v>
      </c>
      <c r="J946" s="6">
        <v>7.8958000000000004</v>
      </c>
      <c r="K946" s="4" t="str">
        <f t="shared" si="14"/>
        <v>Low</v>
      </c>
      <c r="L946" t="s">
        <v>3561</v>
      </c>
      <c r="M946" s="4" t="s">
        <v>3561</v>
      </c>
      <c r="N946" t="s">
        <v>457</v>
      </c>
      <c r="O946" t="s">
        <v>3569</v>
      </c>
      <c r="P946" s="4" t="s">
        <v>3573</v>
      </c>
      <c r="Q946" t="s">
        <v>3573</v>
      </c>
    </row>
    <row r="947" spans="1:17">
      <c r="A947" t="s">
        <v>838</v>
      </c>
      <c r="B947" t="s">
        <v>9</v>
      </c>
      <c r="C947" t="s">
        <v>3189</v>
      </c>
      <c r="D947" t="s">
        <v>3552</v>
      </c>
      <c r="E947">
        <v>28</v>
      </c>
      <c r="F947" s="4" t="s">
        <v>3555</v>
      </c>
      <c r="G947" s="4">
        <v>0</v>
      </c>
      <c r="H947">
        <v>0</v>
      </c>
      <c r="I947">
        <v>1601</v>
      </c>
      <c r="J947" s="6">
        <v>56.495800000000003</v>
      </c>
      <c r="K947" s="4" t="str">
        <f t="shared" si="14"/>
        <v>High</v>
      </c>
      <c r="L947" t="s">
        <v>3561</v>
      </c>
      <c r="M947" s="4" t="s">
        <v>3561</v>
      </c>
      <c r="N947" t="s">
        <v>457</v>
      </c>
      <c r="O947" t="s">
        <v>62</v>
      </c>
      <c r="P947" s="4" t="s">
        <v>3573</v>
      </c>
      <c r="Q947" t="s">
        <v>3573</v>
      </c>
    </row>
    <row r="948" spans="1:17">
      <c r="A948" t="s">
        <v>838</v>
      </c>
      <c r="B948" t="s">
        <v>840</v>
      </c>
      <c r="C948" t="s">
        <v>3190</v>
      </c>
      <c r="D948" t="s">
        <v>3552</v>
      </c>
      <c r="E948">
        <v>28</v>
      </c>
      <c r="F948" s="4" t="s">
        <v>3555</v>
      </c>
      <c r="G948" s="4">
        <v>0</v>
      </c>
      <c r="H948">
        <v>0</v>
      </c>
      <c r="I948">
        <v>1601</v>
      </c>
      <c r="J948" s="6">
        <v>56.495800000000003</v>
      </c>
      <c r="K948" s="4" t="str">
        <f t="shared" si="14"/>
        <v>High</v>
      </c>
      <c r="L948" t="s">
        <v>3561</v>
      </c>
      <c r="M948" s="4" t="s">
        <v>3561</v>
      </c>
      <c r="N948" t="s">
        <v>457</v>
      </c>
      <c r="O948" t="s">
        <v>3569</v>
      </c>
      <c r="P948" s="4" t="s">
        <v>3573</v>
      </c>
      <c r="Q948" t="s">
        <v>3573</v>
      </c>
    </row>
    <row r="949" spans="1:17">
      <c r="A949" t="s">
        <v>838</v>
      </c>
      <c r="B949" t="s">
        <v>9</v>
      </c>
      <c r="C949" t="s">
        <v>3191</v>
      </c>
      <c r="D949" t="s">
        <v>3551</v>
      </c>
      <c r="E949">
        <v>22</v>
      </c>
      <c r="F949" s="4" t="s">
        <v>3555</v>
      </c>
      <c r="G949" s="4">
        <v>0</v>
      </c>
      <c r="H949">
        <v>0</v>
      </c>
      <c r="I949" t="s">
        <v>765</v>
      </c>
      <c r="J949" s="6">
        <v>7.25</v>
      </c>
      <c r="K949" s="4" t="str">
        <f t="shared" si="14"/>
        <v>Low</v>
      </c>
      <c r="L949" t="s">
        <v>3561</v>
      </c>
      <c r="M949" s="4" t="s">
        <v>3561</v>
      </c>
      <c r="N949" t="s">
        <v>457</v>
      </c>
      <c r="O949">
        <v>13</v>
      </c>
      <c r="P949" s="4" t="s">
        <v>3573</v>
      </c>
      <c r="Q949" t="s">
        <v>3573</v>
      </c>
    </row>
    <row r="950" spans="1:17">
      <c r="A950" t="s">
        <v>838</v>
      </c>
      <c r="B950" t="s">
        <v>840</v>
      </c>
      <c r="C950" t="s">
        <v>3192</v>
      </c>
      <c r="D950" t="s">
        <v>3552</v>
      </c>
      <c r="E950">
        <v>28</v>
      </c>
      <c r="F950" s="4" t="s">
        <v>3555</v>
      </c>
      <c r="G950" s="4">
        <v>0</v>
      </c>
      <c r="H950">
        <v>0</v>
      </c>
      <c r="I950">
        <v>7935</v>
      </c>
      <c r="J950" s="6">
        <v>7.75</v>
      </c>
      <c r="K950" s="4" t="str">
        <f t="shared" si="14"/>
        <v>Low</v>
      </c>
      <c r="L950" t="s">
        <v>3561</v>
      </c>
      <c r="M950" s="4" t="s">
        <v>3561</v>
      </c>
      <c r="N950" t="s">
        <v>3567</v>
      </c>
      <c r="O950" t="s">
        <v>3569</v>
      </c>
      <c r="P950" s="4" t="s">
        <v>3573</v>
      </c>
      <c r="Q950" t="s">
        <v>3573</v>
      </c>
    </row>
    <row r="951" spans="1:17">
      <c r="A951" t="s">
        <v>838</v>
      </c>
      <c r="B951" t="s">
        <v>9</v>
      </c>
      <c r="C951" t="s">
        <v>3193</v>
      </c>
      <c r="D951" t="s">
        <v>3552</v>
      </c>
      <c r="E951">
        <v>26</v>
      </c>
      <c r="F951" s="4" t="s">
        <v>3555</v>
      </c>
      <c r="G951" s="4">
        <v>0</v>
      </c>
      <c r="H951">
        <v>0</v>
      </c>
      <c r="I951">
        <v>1601</v>
      </c>
      <c r="J951" s="6">
        <v>56.495800000000003</v>
      </c>
      <c r="K951" s="4" t="str">
        <f t="shared" si="14"/>
        <v>High</v>
      </c>
      <c r="L951" t="s">
        <v>3561</v>
      </c>
      <c r="M951" s="4" t="s">
        <v>3561</v>
      </c>
      <c r="N951" t="s">
        <v>457</v>
      </c>
      <c r="O951">
        <v>14</v>
      </c>
      <c r="P951" s="4" t="s">
        <v>3573</v>
      </c>
      <c r="Q951" t="s">
        <v>3573</v>
      </c>
    </row>
    <row r="952" spans="1:17">
      <c r="A952" t="s">
        <v>838</v>
      </c>
      <c r="B952" t="s">
        <v>840</v>
      </c>
      <c r="C952" t="s">
        <v>3194</v>
      </c>
      <c r="D952" t="s">
        <v>3552</v>
      </c>
      <c r="E952">
        <v>29</v>
      </c>
      <c r="F952" s="4" t="s">
        <v>3555</v>
      </c>
      <c r="G952" s="4">
        <v>0</v>
      </c>
      <c r="H952">
        <v>0</v>
      </c>
      <c r="I952">
        <v>7545</v>
      </c>
      <c r="J952" s="6">
        <v>9.4832999999999998</v>
      </c>
      <c r="K952" s="4" t="str">
        <f t="shared" si="14"/>
        <v>Low</v>
      </c>
      <c r="L952" t="s">
        <v>3561</v>
      </c>
      <c r="M952" s="4" t="s">
        <v>3561</v>
      </c>
      <c r="N952" t="s">
        <v>457</v>
      </c>
      <c r="O952" t="s">
        <v>3569</v>
      </c>
      <c r="P952" s="4" t="s">
        <v>3573</v>
      </c>
      <c r="Q952" t="s">
        <v>3573</v>
      </c>
    </row>
    <row r="953" spans="1:17">
      <c r="A953" t="s">
        <v>838</v>
      </c>
      <c r="B953" t="s">
        <v>840</v>
      </c>
      <c r="C953" t="s">
        <v>3195</v>
      </c>
      <c r="D953" t="s">
        <v>3552</v>
      </c>
      <c r="E953">
        <v>29</v>
      </c>
      <c r="F953" s="4" t="s">
        <v>3555</v>
      </c>
      <c r="G953" s="4">
        <v>0</v>
      </c>
      <c r="H953">
        <v>0</v>
      </c>
      <c r="I953">
        <v>347067</v>
      </c>
      <c r="J953" s="6">
        <v>7.7750000000000004</v>
      </c>
      <c r="K953" s="4" t="str">
        <f t="shared" si="14"/>
        <v>Low</v>
      </c>
      <c r="L953" t="s">
        <v>3561</v>
      </c>
      <c r="M953" s="4" t="s">
        <v>3561</v>
      </c>
      <c r="N953" t="s">
        <v>457</v>
      </c>
      <c r="O953" t="s">
        <v>3569</v>
      </c>
      <c r="P953" s="4" t="s">
        <v>3573</v>
      </c>
      <c r="Q953" t="s">
        <v>3573</v>
      </c>
    </row>
    <row r="954" spans="1:17">
      <c r="A954" t="s">
        <v>838</v>
      </c>
      <c r="B954" t="s">
        <v>840</v>
      </c>
      <c r="C954" t="s">
        <v>3196</v>
      </c>
      <c r="D954" t="s">
        <v>3552</v>
      </c>
      <c r="E954">
        <v>22</v>
      </c>
      <c r="F954" s="4" t="s">
        <v>3555</v>
      </c>
      <c r="G954" s="4">
        <v>0</v>
      </c>
      <c r="H954">
        <v>0</v>
      </c>
      <c r="I954">
        <v>347065</v>
      </c>
      <c r="J954" s="6">
        <v>7.7750000000000004</v>
      </c>
      <c r="K954" s="4" t="str">
        <f t="shared" si="14"/>
        <v>Low</v>
      </c>
      <c r="L954" t="s">
        <v>3561</v>
      </c>
      <c r="M954" s="4" t="s">
        <v>3561</v>
      </c>
      <c r="N954" t="s">
        <v>457</v>
      </c>
      <c r="O954" t="s">
        <v>3569</v>
      </c>
      <c r="P954" s="4" t="s">
        <v>3573</v>
      </c>
      <c r="Q954" t="s">
        <v>3573</v>
      </c>
    </row>
    <row r="955" spans="1:17">
      <c r="A955" t="s">
        <v>838</v>
      </c>
      <c r="B955" t="s">
        <v>9</v>
      </c>
      <c r="C955" t="s">
        <v>3197</v>
      </c>
      <c r="D955" t="s">
        <v>3552</v>
      </c>
      <c r="E955">
        <v>22</v>
      </c>
      <c r="F955" s="4" t="s">
        <v>3555</v>
      </c>
      <c r="G955" s="4">
        <v>0</v>
      </c>
      <c r="H955">
        <v>0</v>
      </c>
      <c r="I955">
        <v>2620</v>
      </c>
      <c r="J955" s="6">
        <v>7.2249999999999996</v>
      </c>
      <c r="K955" s="4" t="str">
        <f t="shared" si="14"/>
        <v>Low</v>
      </c>
      <c r="L955" t="s">
        <v>3561</v>
      </c>
      <c r="M955" s="4" t="s">
        <v>3561</v>
      </c>
      <c r="N955" t="s">
        <v>3566</v>
      </c>
      <c r="O955">
        <v>6</v>
      </c>
      <c r="P955" s="4" t="s">
        <v>3573</v>
      </c>
      <c r="Q955" t="s">
        <v>3573</v>
      </c>
    </row>
    <row r="956" spans="1:17">
      <c r="A956" t="s">
        <v>838</v>
      </c>
      <c r="B956" t="s">
        <v>840</v>
      </c>
      <c r="C956" t="s">
        <v>3198</v>
      </c>
      <c r="D956" t="s">
        <v>3552</v>
      </c>
      <c r="E956">
        <v>28</v>
      </c>
      <c r="F956" s="4" t="s">
        <v>3555</v>
      </c>
      <c r="G956" s="4">
        <v>1</v>
      </c>
      <c r="H956">
        <v>3</v>
      </c>
      <c r="I956">
        <v>4133</v>
      </c>
      <c r="J956" s="6">
        <v>25.466699999999999</v>
      </c>
      <c r="K956" s="4" t="str">
        <f t="shared" si="14"/>
        <v>Mid</v>
      </c>
      <c r="L956" t="s">
        <v>3561</v>
      </c>
      <c r="M956" s="4" t="s">
        <v>3561</v>
      </c>
      <c r="N956" t="s">
        <v>457</v>
      </c>
      <c r="O956" t="s">
        <v>3569</v>
      </c>
      <c r="P956" s="4" t="s">
        <v>3573</v>
      </c>
      <c r="Q956" t="s">
        <v>3573</v>
      </c>
    </row>
    <row r="957" spans="1:17">
      <c r="A957" t="s">
        <v>838</v>
      </c>
      <c r="B957" t="s">
        <v>840</v>
      </c>
      <c r="C957" t="s">
        <v>3199</v>
      </c>
      <c r="D957" t="s">
        <v>3551</v>
      </c>
      <c r="E957">
        <v>28</v>
      </c>
      <c r="F957" s="4" t="s">
        <v>3555</v>
      </c>
      <c r="G957" s="4">
        <v>1</v>
      </c>
      <c r="H957">
        <v>3</v>
      </c>
      <c r="I957">
        <v>4133</v>
      </c>
      <c r="J957" s="6">
        <v>25.466699999999999</v>
      </c>
      <c r="K957" s="4" t="str">
        <f t="shared" si="14"/>
        <v>Mid</v>
      </c>
      <c r="L957" t="s">
        <v>3561</v>
      </c>
      <c r="M957" s="4" t="s">
        <v>3561</v>
      </c>
      <c r="N957" t="s">
        <v>457</v>
      </c>
      <c r="O957" t="s">
        <v>3569</v>
      </c>
      <c r="P957" s="4" t="s">
        <v>3573</v>
      </c>
      <c r="Q957" t="s">
        <v>3573</v>
      </c>
    </row>
    <row r="958" spans="1:17">
      <c r="A958" t="s">
        <v>838</v>
      </c>
      <c r="B958" t="s">
        <v>840</v>
      </c>
      <c r="C958" t="s">
        <v>3200</v>
      </c>
      <c r="D958" t="s">
        <v>3551</v>
      </c>
      <c r="E958">
        <v>28</v>
      </c>
      <c r="F958" s="4" t="s">
        <v>3555</v>
      </c>
      <c r="G958" s="4">
        <v>1</v>
      </c>
      <c r="H958">
        <v>3</v>
      </c>
      <c r="I958">
        <v>4133</v>
      </c>
      <c r="J958" s="6">
        <v>25.466699999999999</v>
      </c>
      <c r="K958" s="4" t="str">
        <f t="shared" si="14"/>
        <v>Mid</v>
      </c>
      <c r="L958" t="s">
        <v>3561</v>
      </c>
      <c r="M958" s="4" t="s">
        <v>3561</v>
      </c>
      <c r="N958" t="s">
        <v>457</v>
      </c>
      <c r="O958" t="s">
        <v>3569</v>
      </c>
      <c r="P958" s="4" t="s">
        <v>3573</v>
      </c>
      <c r="Q958" t="s">
        <v>3573</v>
      </c>
    </row>
    <row r="959" spans="1:17">
      <c r="A959" t="s">
        <v>838</v>
      </c>
      <c r="B959" t="s">
        <v>840</v>
      </c>
      <c r="C959" t="s">
        <v>3201</v>
      </c>
      <c r="D959" t="s">
        <v>3551</v>
      </c>
      <c r="E959">
        <v>28</v>
      </c>
      <c r="F959" s="4" t="s">
        <v>3555</v>
      </c>
      <c r="G959" s="4">
        <v>1</v>
      </c>
      <c r="H959">
        <v>3</v>
      </c>
      <c r="I959">
        <v>4133</v>
      </c>
      <c r="J959" s="6">
        <v>25.466699999999999</v>
      </c>
      <c r="K959" s="4" t="str">
        <f t="shared" si="14"/>
        <v>Mid</v>
      </c>
      <c r="L959" t="s">
        <v>3561</v>
      </c>
      <c r="M959" s="4" t="s">
        <v>3561</v>
      </c>
      <c r="N959" t="s">
        <v>457</v>
      </c>
      <c r="O959" t="s">
        <v>3569</v>
      </c>
      <c r="P959" s="4" t="s">
        <v>3573</v>
      </c>
      <c r="Q959" t="s">
        <v>3573</v>
      </c>
    </row>
    <row r="960" spans="1:17">
      <c r="A960" t="s">
        <v>838</v>
      </c>
      <c r="B960" t="s">
        <v>840</v>
      </c>
      <c r="C960" t="s">
        <v>3202</v>
      </c>
      <c r="D960" t="s">
        <v>3551</v>
      </c>
      <c r="E960">
        <v>28</v>
      </c>
      <c r="F960" s="4" t="s">
        <v>3555</v>
      </c>
      <c r="G960" s="4">
        <v>4</v>
      </c>
      <c r="H960">
        <v>0</v>
      </c>
      <c r="I960">
        <v>4133</v>
      </c>
      <c r="J960" s="6">
        <v>25.466699999999999</v>
      </c>
      <c r="K960" s="4" t="str">
        <f t="shared" si="14"/>
        <v>Mid</v>
      </c>
      <c r="L960" t="s">
        <v>3561</v>
      </c>
      <c r="M960" s="4" t="s">
        <v>3561</v>
      </c>
      <c r="N960" t="s">
        <v>457</v>
      </c>
      <c r="O960" t="s">
        <v>3569</v>
      </c>
      <c r="P960" s="4" t="s">
        <v>3573</v>
      </c>
      <c r="Q960" t="s">
        <v>3573</v>
      </c>
    </row>
    <row r="961" spans="1:17">
      <c r="A961" t="s">
        <v>838</v>
      </c>
      <c r="B961" t="s">
        <v>840</v>
      </c>
      <c r="C961" t="s">
        <v>3203</v>
      </c>
      <c r="D961" t="s">
        <v>3552</v>
      </c>
      <c r="E961">
        <v>32</v>
      </c>
      <c r="F961" s="4" t="s">
        <v>3557</v>
      </c>
      <c r="G961" s="4">
        <v>0</v>
      </c>
      <c r="H961">
        <v>0</v>
      </c>
      <c r="I961" t="s">
        <v>766</v>
      </c>
      <c r="J961" s="6">
        <v>7.9249999999999998</v>
      </c>
      <c r="K961" s="4" t="str">
        <f t="shared" si="14"/>
        <v>Low</v>
      </c>
      <c r="L961" t="s">
        <v>3561</v>
      </c>
      <c r="M961" s="4" t="s">
        <v>3561</v>
      </c>
      <c r="N961" t="s">
        <v>457</v>
      </c>
      <c r="O961" t="s">
        <v>3569</v>
      </c>
      <c r="P961" s="4" t="s">
        <v>3573</v>
      </c>
      <c r="Q961" t="s">
        <v>3573</v>
      </c>
    </row>
    <row r="962" spans="1:17">
      <c r="A962" t="s">
        <v>838</v>
      </c>
      <c r="B962" t="s">
        <v>840</v>
      </c>
      <c r="C962" t="s">
        <v>3204</v>
      </c>
      <c r="D962" t="s">
        <v>3552</v>
      </c>
      <c r="E962">
        <v>35</v>
      </c>
      <c r="F962" s="4" t="s">
        <v>3557</v>
      </c>
      <c r="G962" s="4">
        <v>0</v>
      </c>
      <c r="H962">
        <v>0</v>
      </c>
      <c r="I962">
        <v>2683</v>
      </c>
      <c r="J962" s="6">
        <v>6.4375</v>
      </c>
      <c r="K962" s="4" t="str">
        <f t="shared" si="14"/>
        <v>Low</v>
      </c>
      <c r="L962" t="s">
        <v>3561</v>
      </c>
      <c r="M962" s="4" t="s">
        <v>3561</v>
      </c>
      <c r="N962" t="s">
        <v>3566</v>
      </c>
      <c r="O962" t="s">
        <v>3569</v>
      </c>
      <c r="P962" s="4">
        <v>196</v>
      </c>
      <c r="Q962" t="s">
        <v>3574</v>
      </c>
    </row>
    <row r="963" spans="1:17">
      <c r="A963" t="s">
        <v>838</v>
      </c>
      <c r="B963" t="s">
        <v>840</v>
      </c>
      <c r="C963" t="s">
        <v>3205</v>
      </c>
      <c r="D963" t="s">
        <v>3551</v>
      </c>
      <c r="E963">
        <v>28</v>
      </c>
      <c r="F963" s="4" t="s">
        <v>3555</v>
      </c>
      <c r="G963" s="4">
        <v>0</v>
      </c>
      <c r="H963">
        <v>1</v>
      </c>
      <c r="I963">
        <v>370371</v>
      </c>
      <c r="J963" s="6">
        <v>15.5</v>
      </c>
      <c r="K963" s="4" t="str">
        <f t="shared" ref="K963:K1026" si="15">IF(J963&lt;=10,"Low",IF(J963&lt;=50,"Mid","High"))</f>
        <v>Mid</v>
      </c>
      <c r="L963" t="s">
        <v>3561</v>
      </c>
      <c r="M963" s="4" t="s">
        <v>3561</v>
      </c>
      <c r="N963" t="s">
        <v>3567</v>
      </c>
      <c r="O963" t="s">
        <v>3569</v>
      </c>
      <c r="P963" s="4" t="s">
        <v>3573</v>
      </c>
      <c r="Q963" t="s">
        <v>3573</v>
      </c>
    </row>
    <row r="964" spans="1:17">
      <c r="A964" t="s">
        <v>838</v>
      </c>
      <c r="B964" t="s">
        <v>840</v>
      </c>
      <c r="C964" t="s">
        <v>3206</v>
      </c>
      <c r="D964" t="s">
        <v>3552</v>
      </c>
      <c r="E964">
        <v>28</v>
      </c>
      <c r="F964" s="4" t="s">
        <v>3555</v>
      </c>
      <c r="G964" s="4">
        <v>0</v>
      </c>
      <c r="H964">
        <v>1</v>
      </c>
      <c r="I964">
        <v>370371</v>
      </c>
      <c r="J964" s="6">
        <v>15.5</v>
      </c>
      <c r="K964" s="4" t="str">
        <f t="shared" si="15"/>
        <v>Mid</v>
      </c>
      <c r="L964" t="s">
        <v>3561</v>
      </c>
      <c r="M964" s="4" t="s">
        <v>3561</v>
      </c>
      <c r="N964" t="s">
        <v>3567</v>
      </c>
      <c r="O964" t="s">
        <v>3569</v>
      </c>
      <c r="P964" s="4" t="s">
        <v>3573</v>
      </c>
      <c r="Q964" t="s">
        <v>3573</v>
      </c>
    </row>
    <row r="965" spans="1:17">
      <c r="A965" t="s">
        <v>838</v>
      </c>
      <c r="B965" t="s">
        <v>840</v>
      </c>
      <c r="C965" t="s">
        <v>3207</v>
      </c>
      <c r="D965" t="s">
        <v>3552</v>
      </c>
      <c r="E965">
        <v>36</v>
      </c>
      <c r="F965" s="4" t="s">
        <v>3557</v>
      </c>
      <c r="G965" s="4">
        <v>0</v>
      </c>
      <c r="H965">
        <v>0</v>
      </c>
      <c r="I965" t="s">
        <v>760</v>
      </c>
      <c r="J965" s="6">
        <v>0</v>
      </c>
      <c r="K965" s="4" t="str">
        <f t="shared" si="15"/>
        <v>Low</v>
      </c>
      <c r="L965" t="s">
        <v>3561</v>
      </c>
      <c r="M965" s="4" t="s">
        <v>3561</v>
      </c>
      <c r="N965" t="s">
        <v>457</v>
      </c>
      <c r="O965" t="s">
        <v>3569</v>
      </c>
      <c r="P965" s="4" t="s">
        <v>3573</v>
      </c>
      <c r="Q965" t="s">
        <v>3573</v>
      </c>
    </row>
    <row r="966" spans="1:17">
      <c r="A966" t="s">
        <v>838</v>
      </c>
      <c r="B966" t="s">
        <v>840</v>
      </c>
      <c r="C966" t="s">
        <v>3208</v>
      </c>
      <c r="D966" t="s">
        <v>3552</v>
      </c>
      <c r="E966">
        <v>39</v>
      </c>
      <c r="F966" s="4" t="s">
        <v>3557</v>
      </c>
      <c r="G966" s="4">
        <v>0</v>
      </c>
      <c r="H966">
        <v>0</v>
      </c>
      <c r="I966" t="s">
        <v>703</v>
      </c>
      <c r="J966" s="6">
        <v>24.15</v>
      </c>
      <c r="K966" s="4" t="str">
        <f t="shared" si="15"/>
        <v>Mid</v>
      </c>
      <c r="L966" t="s">
        <v>3561</v>
      </c>
      <c r="M966" s="4" t="s">
        <v>3561</v>
      </c>
      <c r="N966" t="s">
        <v>457</v>
      </c>
      <c r="O966" t="s">
        <v>3569</v>
      </c>
      <c r="P966" s="4" t="s">
        <v>3573</v>
      </c>
      <c r="Q966" t="s">
        <v>3573</v>
      </c>
    </row>
    <row r="967" spans="1:17">
      <c r="A967" t="s">
        <v>838</v>
      </c>
      <c r="B967" t="s">
        <v>840</v>
      </c>
      <c r="C967" t="s">
        <v>3209</v>
      </c>
      <c r="D967" t="s">
        <v>3552</v>
      </c>
      <c r="E967">
        <v>24</v>
      </c>
      <c r="F967" s="4" t="s">
        <v>3555</v>
      </c>
      <c r="G967" s="4">
        <v>0</v>
      </c>
      <c r="H967">
        <v>0</v>
      </c>
      <c r="I967">
        <v>345781</v>
      </c>
      <c r="J967" s="6">
        <v>9.5</v>
      </c>
      <c r="K967" s="4" t="str">
        <f t="shared" si="15"/>
        <v>Low</v>
      </c>
      <c r="L967" t="s">
        <v>3561</v>
      </c>
      <c r="M967" s="4" t="s">
        <v>3561</v>
      </c>
      <c r="N967" t="s">
        <v>457</v>
      </c>
      <c r="O967" t="s">
        <v>3569</v>
      </c>
      <c r="P967" s="4" t="s">
        <v>3573</v>
      </c>
      <c r="Q967" t="s">
        <v>3573</v>
      </c>
    </row>
    <row r="968" spans="1:17">
      <c r="A968" t="s">
        <v>838</v>
      </c>
      <c r="B968" t="s">
        <v>840</v>
      </c>
      <c r="C968" t="s">
        <v>3210</v>
      </c>
      <c r="D968" t="s">
        <v>3551</v>
      </c>
      <c r="E968">
        <v>25</v>
      </c>
      <c r="F968" s="4" t="s">
        <v>3555</v>
      </c>
      <c r="G968" s="4">
        <v>0</v>
      </c>
      <c r="H968">
        <v>0</v>
      </c>
      <c r="I968">
        <v>347071</v>
      </c>
      <c r="J968" s="6">
        <v>7.7750000000000004</v>
      </c>
      <c r="K968" s="4" t="str">
        <f t="shared" si="15"/>
        <v>Low</v>
      </c>
      <c r="L968" t="s">
        <v>3561</v>
      </c>
      <c r="M968" s="4" t="s">
        <v>3561</v>
      </c>
      <c r="N968" t="s">
        <v>457</v>
      </c>
      <c r="O968" t="s">
        <v>3569</v>
      </c>
      <c r="P968" s="4" t="s">
        <v>3573</v>
      </c>
      <c r="Q968" t="s">
        <v>3573</v>
      </c>
    </row>
    <row r="969" spans="1:17">
      <c r="A969" t="s">
        <v>838</v>
      </c>
      <c r="B969" t="s">
        <v>840</v>
      </c>
      <c r="C969" t="s">
        <v>3211</v>
      </c>
      <c r="D969" t="s">
        <v>3551</v>
      </c>
      <c r="E969">
        <v>45</v>
      </c>
      <c r="F969" s="4" t="s">
        <v>3557</v>
      </c>
      <c r="G969" s="4">
        <v>0</v>
      </c>
      <c r="H969">
        <v>0</v>
      </c>
      <c r="I969">
        <v>347073</v>
      </c>
      <c r="J969" s="6">
        <v>7.75</v>
      </c>
      <c r="K969" s="4" t="str">
        <f t="shared" si="15"/>
        <v>Low</v>
      </c>
      <c r="L969" t="s">
        <v>3561</v>
      </c>
      <c r="M969" s="4" t="s">
        <v>3561</v>
      </c>
      <c r="N969" t="s">
        <v>457</v>
      </c>
      <c r="O969" t="s">
        <v>3569</v>
      </c>
      <c r="P969" s="4" t="s">
        <v>3573</v>
      </c>
      <c r="Q969" t="s">
        <v>3573</v>
      </c>
    </row>
    <row r="970" spans="1:17">
      <c r="A970" t="s">
        <v>838</v>
      </c>
      <c r="B970" t="s">
        <v>840</v>
      </c>
      <c r="C970" t="s">
        <v>3212</v>
      </c>
      <c r="D970" t="s">
        <v>3552</v>
      </c>
      <c r="E970">
        <v>36</v>
      </c>
      <c r="F970" s="4" t="s">
        <v>3557</v>
      </c>
      <c r="G970" s="4">
        <v>0</v>
      </c>
      <c r="H970">
        <v>1</v>
      </c>
      <c r="I970">
        <v>349910</v>
      </c>
      <c r="J970" s="6">
        <v>15.55</v>
      </c>
      <c r="K970" s="4" t="str">
        <f t="shared" si="15"/>
        <v>Mid</v>
      </c>
      <c r="L970" t="s">
        <v>3561</v>
      </c>
      <c r="M970" s="4" t="s">
        <v>3561</v>
      </c>
      <c r="N970" t="s">
        <v>457</v>
      </c>
      <c r="O970" t="s">
        <v>78</v>
      </c>
      <c r="P970" s="4" t="s">
        <v>3573</v>
      </c>
      <c r="Q970" t="s">
        <v>3573</v>
      </c>
    </row>
    <row r="971" spans="1:17">
      <c r="A971" t="s">
        <v>838</v>
      </c>
      <c r="B971" t="s">
        <v>840</v>
      </c>
      <c r="C971" t="s">
        <v>3213</v>
      </c>
      <c r="D971" t="s">
        <v>3551</v>
      </c>
      <c r="E971">
        <v>30</v>
      </c>
      <c r="F971" s="4" t="s">
        <v>3557</v>
      </c>
      <c r="G971" s="4">
        <v>0</v>
      </c>
      <c r="H971">
        <v>1</v>
      </c>
      <c r="I971">
        <v>349910</v>
      </c>
      <c r="J971" s="6">
        <v>15.55</v>
      </c>
      <c r="K971" s="4" t="str">
        <f t="shared" si="15"/>
        <v>Mid</v>
      </c>
      <c r="L971" t="s">
        <v>3561</v>
      </c>
      <c r="M971" s="4" t="s">
        <v>3561</v>
      </c>
      <c r="N971" t="s">
        <v>457</v>
      </c>
      <c r="O971" t="s">
        <v>78</v>
      </c>
      <c r="P971" s="4" t="s">
        <v>3573</v>
      </c>
      <c r="Q971" t="s">
        <v>3573</v>
      </c>
    </row>
    <row r="972" spans="1:17">
      <c r="A972" t="s">
        <v>838</v>
      </c>
      <c r="B972" t="s">
        <v>9</v>
      </c>
      <c r="C972" t="s">
        <v>3214</v>
      </c>
      <c r="D972" t="s">
        <v>3552</v>
      </c>
      <c r="E972">
        <v>20</v>
      </c>
      <c r="F972" s="4" t="s">
        <v>3555</v>
      </c>
      <c r="G972" s="4">
        <v>0</v>
      </c>
      <c r="H972">
        <v>1</v>
      </c>
      <c r="I972" t="s">
        <v>767</v>
      </c>
      <c r="J972" s="6">
        <v>7.9249999999999998</v>
      </c>
      <c r="K972" s="4" t="str">
        <f t="shared" si="15"/>
        <v>Low</v>
      </c>
      <c r="L972" t="s">
        <v>3561</v>
      </c>
      <c r="M972" s="4" t="s">
        <v>3561</v>
      </c>
      <c r="N972" t="s">
        <v>457</v>
      </c>
      <c r="O972">
        <v>15</v>
      </c>
      <c r="P972" s="4" t="s">
        <v>3573</v>
      </c>
      <c r="Q972" t="s">
        <v>3573</v>
      </c>
    </row>
    <row r="973" spans="1:17">
      <c r="A973" t="s">
        <v>838</v>
      </c>
      <c r="B973" t="s">
        <v>840</v>
      </c>
      <c r="C973" t="s">
        <v>3215</v>
      </c>
      <c r="D973" t="s">
        <v>3552</v>
      </c>
      <c r="E973">
        <v>28</v>
      </c>
      <c r="F973" s="4" t="s">
        <v>3555</v>
      </c>
      <c r="G973" s="4">
        <v>0</v>
      </c>
      <c r="H973">
        <v>0</v>
      </c>
      <c r="I973">
        <v>330971</v>
      </c>
      <c r="J973" s="6">
        <v>7.8792</v>
      </c>
      <c r="K973" s="4" t="str">
        <f t="shared" si="15"/>
        <v>Low</v>
      </c>
      <c r="L973" t="s">
        <v>3561</v>
      </c>
      <c r="M973" s="4" t="s">
        <v>3561</v>
      </c>
      <c r="N973" t="s">
        <v>3567</v>
      </c>
      <c r="O973" t="s">
        <v>3569</v>
      </c>
      <c r="P973" s="4" t="s">
        <v>3573</v>
      </c>
      <c r="Q973" t="s">
        <v>3573</v>
      </c>
    </row>
    <row r="974" spans="1:17">
      <c r="A974" t="s">
        <v>838</v>
      </c>
      <c r="B974" t="s">
        <v>840</v>
      </c>
      <c r="C974" t="s">
        <v>3216</v>
      </c>
      <c r="D974" t="s">
        <v>3552</v>
      </c>
      <c r="E974">
        <v>28</v>
      </c>
      <c r="F974" s="4" t="s">
        <v>3555</v>
      </c>
      <c r="G974" s="4">
        <v>0</v>
      </c>
      <c r="H974">
        <v>0</v>
      </c>
      <c r="I974">
        <v>1601</v>
      </c>
      <c r="J974" s="6">
        <v>56.495800000000003</v>
      </c>
      <c r="K974" s="4" t="str">
        <f t="shared" si="15"/>
        <v>High</v>
      </c>
      <c r="L974" t="s">
        <v>3561</v>
      </c>
      <c r="M974" s="4" t="s">
        <v>3561</v>
      </c>
      <c r="N974" t="s">
        <v>457</v>
      </c>
      <c r="O974" t="s">
        <v>3569</v>
      </c>
      <c r="P974" s="4" t="s">
        <v>3573</v>
      </c>
      <c r="Q974" t="s">
        <v>3573</v>
      </c>
    </row>
    <row r="975" spans="1:17">
      <c r="A975" t="s">
        <v>838</v>
      </c>
      <c r="B975" t="s">
        <v>840</v>
      </c>
      <c r="C975" t="s">
        <v>3217</v>
      </c>
      <c r="D975" t="s">
        <v>3552</v>
      </c>
      <c r="E975">
        <v>28</v>
      </c>
      <c r="F975" s="4" t="s">
        <v>3555</v>
      </c>
      <c r="G975" s="4">
        <v>0</v>
      </c>
      <c r="H975">
        <v>0</v>
      </c>
      <c r="I975" t="s">
        <v>768</v>
      </c>
      <c r="J975" s="6">
        <v>7.55</v>
      </c>
      <c r="K975" s="4" t="str">
        <f t="shared" si="15"/>
        <v>Low</v>
      </c>
      <c r="L975" t="s">
        <v>3561</v>
      </c>
      <c r="M975" s="4" t="s">
        <v>3561</v>
      </c>
      <c r="N975" t="s">
        <v>457</v>
      </c>
      <c r="O975" t="s">
        <v>3569</v>
      </c>
      <c r="P975" s="4" t="s">
        <v>3573</v>
      </c>
      <c r="Q975" t="s">
        <v>3573</v>
      </c>
    </row>
    <row r="976" spans="1:17">
      <c r="A976" t="s">
        <v>838</v>
      </c>
      <c r="B976" t="s">
        <v>840</v>
      </c>
      <c r="C976" t="s">
        <v>3218</v>
      </c>
      <c r="D976" t="s">
        <v>3552</v>
      </c>
      <c r="E976">
        <v>30</v>
      </c>
      <c r="F976" s="4" t="s">
        <v>3557</v>
      </c>
      <c r="G976" s="4">
        <v>0</v>
      </c>
      <c r="H976">
        <v>1</v>
      </c>
      <c r="I976" t="s">
        <v>769</v>
      </c>
      <c r="J976" s="6">
        <v>16.100000000000001</v>
      </c>
      <c r="K976" s="4" t="str">
        <f t="shared" si="15"/>
        <v>Mid</v>
      </c>
      <c r="L976" t="s">
        <v>3561</v>
      </c>
      <c r="M976" s="4" t="s">
        <v>3561</v>
      </c>
      <c r="N976" t="s">
        <v>457</v>
      </c>
      <c r="O976" t="s">
        <v>3569</v>
      </c>
      <c r="P976" s="4" t="s">
        <v>3573</v>
      </c>
      <c r="Q976" t="s">
        <v>3573</v>
      </c>
    </row>
    <row r="977" spans="1:17">
      <c r="A977" t="s">
        <v>838</v>
      </c>
      <c r="B977" t="s">
        <v>840</v>
      </c>
      <c r="C977" t="s">
        <v>3219</v>
      </c>
      <c r="D977" t="s">
        <v>3551</v>
      </c>
      <c r="E977">
        <v>26</v>
      </c>
      <c r="F977" s="4" t="s">
        <v>3555</v>
      </c>
      <c r="G977" s="4">
        <v>0</v>
      </c>
      <c r="H977">
        <v>1</v>
      </c>
      <c r="I977" t="s">
        <v>769</v>
      </c>
      <c r="J977" s="6">
        <v>16.100000000000001</v>
      </c>
      <c r="K977" s="4" t="str">
        <f t="shared" si="15"/>
        <v>Mid</v>
      </c>
      <c r="L977" t="s">
        <v>3561</v>
      </c>
      <c r="M977" s="4" t="s">
        <v>3561</v>
      </c>
      <c r="N977" t="s">
        <v>457</v>
      </c>
      <c r="O977" t="s">
        <v>3569</v>
      </c>
      <c r="P977" s="4" t="s">
        <v>3573</v>
      </c>
      <c r="Q977" t="s">
        <v>3573</v>
      </c>
    </row>
    <row r="978" spans="1:17">
      <c r="A978" t="s">
        <v>838</v>
      </c>
      <c r="B978" t="s">
        <v>840</v>
      </c>
      <c r="C978" t="s">
        <v>3220</v>
      </c>
      <c r="D978" t="s">
        <v>3552</v>
      </c>
      <c r="E978">
        <v>28</v>
      </c>
      <c r="F978" s="4" t="s">
        <v>3555</v>
      </c>
      <c r="G978" s="4">
        <v>0</v>
      </c>
      <c r="H978">
        <v>0</v>
      </c>
      <c r="I978">
        <v>1222</v>
      </c>
      <c r="J978" s="6">
        <v>7.8792</v>
      </c>
      <c r="K978" s="4" t="str">
        <f t="shared" si="15"/>
        <v>Low</v>
      </c>
      <c r="L978" t="s">
        <v>3561</v>
      </c>
      <c r="M978" s="4" t="s">
        <v>3561</v>
      </c>
      <c r="N978" t="s">
        <v>457</v>
      </c>
      <c r="O978" t="s">
        <v>3569</v>
      </c>
      <c r="P978" s="4">
        <v>153</v>
      </c>
      <c r="Q978" t="s">
        <v>3574</v>
      </c>
    </row>
    <row r="979" spans="1:17">
      <c r="A979" t="s">
        <v>838</v>
      </c>
      <c r="B979" t="s">
        <v>840</v>
      </c>
      <c r="C979" t="s">
        <v>3221</v>
      </c>
      <c r="D979" t="s">
        <v>3552</v>
      </c>
      <c r="E979">
        <v>21</v>
      </c>
      <c r="F979" s="4" t="s">
        <v>3555</v>
      </c>
      <c r="G979" s="4">
        <v>0</v>
      </c>
      <c r="H979">
        <v>0</v>
      </c>
      <c r="I979" t="s">
        <v>770</v>
      </c>
      <c r="J979" s="6">
        <v>7.25</v>
      </c>
      <c r="K979" s="4" t="str">
        <f t="shared" si="15"/>
        <v>Low</v>
      </c>
      <c r="L979" t="s">
        <v>3561</v>
      </c>
      <c r="M979" s="4" t="s">
        <v>3561</v>
      </c>
      <c r="N979" t="s">
        <v>457</v>
      </c>
      <c r="O979" t="s">
        <v>3569</v>
      </c>
      <c r="P979" s="4" t="s">
        <v>3573</v>
      </c>
      <c r="Q979" t="s">
        <v>3573</v>
      </c>
    </row>
    <row r="980" spans="1:17">
      <c r="A980" t="s">
        <v>838</v>
      </c>
      <c r="B980" t="s">
        <v>9</v>
      </c>
      <c r="C980" t="s">
        <v>3222</v>
      </c>
      <c r="D980" t="s">
        <v>3552</v>
      </c>
      <c r="E980">
        <v>27</v>
      </c>
      <c r="F980" s="4" t="s">
        <v>3555</v>
      </c>
      <c r="G980" s="4">
        <v>0</v>
      </c>
      <c r="H980">
        <v>0</v>
      </c>
      <c r="I980">
        <v>315098</v>
      </c>
      <c r="J980" s="6">
        <v>8.6624999999999996</v>
      </c>
      <c r="K980" s="4" t="str">
        <f t="shared" si="15"/>
        <v>Low</v>
      </c>
      <c r="L980" t="s">
        <v>3561</v>
      </c>
      <c r="M980" s="4" t="s">
        <v>3561</v>
      </c>
      <c r="N980" t="s">
        <v>457</v>
      </c>
      <c r="O980">
        <v>15</v>
      </c>
      <c r="P980" s="4" t="s">
        <v>3573</v>
      </c>
      <c r="Q980" t="s">
        <v>3573</v>
      </c>
    </row>
    <row r="981" spans="1:17">
      <c r="A981" t="s">
        <v>838</v>
      </c>
      <c r="B981" t="s">
        <v>840</v>
      </c>
      <c r="C981" t="s">
        <v>3223</v>
      </c>
      <c r="D981" t="s">
        <v>3552</v>
      </c>
      <c r="E981">
        <v>51</v>
      </c>
      <c r="F981" s="4" t="s">
        <v>3557</v>
      </c>
      <c r="G981" s="4">
        <v>0</v>
      </c>
      <c r="H981">
        <v>0</v>
      </c>
      <c r="I981">
        <v>347743</v>
      </c>
      <c r="J981" s="6">
        <v>7.0541999999999998</v>
      </c>
      <c r="K981" s="4" t="str">
        <f t="shared" si="15"/>
        <v>Low</v>
      </c>
      <c r="L981" t="s">
        <v>3561</v>
      </c>
      <c r="M981" s="4" t="s">
        <v>3561</v>
      </c>
      <c r="N981" t="s">
        <v>457</v>
      </c>
      <c r="O981" t="s">
        <v>3569</v>
      </c>
      <c r="P981" s="4" t="s">
        <v>3573</v>
      </c>
      <c r="Q981" t="s">
        <v>3573</v>
      </c>
    </row>
    <row r="982" spans="1:17">
      <c r="A982" t="s">
        <v>838</v>
      </c>
      <c r="B982" t="s">
        <v>9</v>
      </c>
      <c r="C982" t="s">
        <v>3224</v>
      </c>
      <c r="D982" t="s">
        <v>3551</v>
      </c>
      <c r="E982">
        <v>23</v>
      </c>
      <c r="F982" s="4" t="s">
        <v>3555</v>
      </c>
      <c r="G982" s="4">
        <v>0</v>
      </c>
      <c r="H982">
        <v>0</v>
      </c>
      <c r="I982">
        <v>347469</v>
      </c>
      <c r="J982" s="6">
        <v>7.8541999999999996</v>
      </c>
      <c r="K982" s="4" t="str">
        <f t="shared" si="15"/>
        <v>Low</v>
      </c>
      <c r="L982" t="s">
        <v>3561</v>
      </c>
      <c r="M982" s="4" t="s">
        <v>3561</v>
      </c>
      <c r="N982" t="s">
        <v>457</v>
      </c>
      <c r="O982">
        <v>10</v>
      </c>
      <c r="P982" s="4" t="s">
        <v>3573</v>
      </c>
      <c r="Q982" t="s">
        <v>3573</v>
      </c>
    </row>
    <row r="983" spans="1:17">
      <c r="A983" t="s">
        <v>838</v>
      </c>
      <c r="B983" t="s">
        <v>9</v>
      </c>
      <c r="C983" t="s">
        <v>3225</v>
      </c>
      <c r="D983" t="s">
        <v>3552</v>
      </c>
      <c r="E983">
        <v>32</v>
      </c>
      <c r="F983" s="4" t="s">
        <v>3557</v>
      </c>
      <c r="G983" s="4">
        <v>0</v>
      </c>
      <c r="H983">
        <v>0</v>
      </c>
      <c r="I983">
        <v>350403</v>
      </c>
      <c r="J983" s="6">
        <v>7.5792000000000002</v>
      </c>
      <c r="K983" s="4" t="str">
        <f t="shared" si="15"/>
        <v>Low</v>
      </c>
      <c r="L983" t="s">
        <v>3561</v>
      </c>
      <c r="M983" s="4" t="s">
        <v>3561</v>
      </c>
      <c r="N983" t="s">
        <v>457</v>
      </c>
      <c r="O983">
        <v>15</v>
      </c>
      <c r="P983" s="4" t="s">
        <v>3573</v>
      </c>
      <c r="Q983" t="s">
        <v>3573</v>
      </c>
    </row>
    <row r="984" spans="1:17">
      <c r="A984" t="s">
        <v>838</v>
      </c>
      <c r="B984" t="s">
        <v>840</v>
      </c>
      <c r="C984" t="s">
        <v>3226</v>
      </c>
      <c r="D984" t="s">
        <v>3552</v>
      </c>
      <c r="E984">
        <v>28</v>
      </c>
      <c r="F984" s="4" t="s">
        <v>3555</v>
      </c>
      <c r="G984" s="4">
        <v>0</v>
      </c>
      <c r="H984">
        <v>0</v>
      </c>
      <c r="I984">
        <v>349235</v>
      </c>
      <c r="J984" s="6">
        <v>7.8958000000000004</v>
      </c>
      <c r="K984" s="4" t="str">
        <f t="shared" si="15"/>
        <v>Low</v>
      </c>
      <c r="L984" t="s">
        <v>3561</v>
      </c>
      <c r="M984" s="4" t="s">
        <v>3561</v>
      </c>
      <c r="N984" t="s">
        <v>457</v>
      </c>
      <c r="O984" t="s">
        <v>3569</v>
      </c>
      <c r="P984" s="4" t="s">
        <v>3573</v>
      </c>
      <c r="Q984" t="s">
        <v>3573</v>
      </c>
    </row>
    <row r="985" spans="1:17">
      <c r="A985" t="s">
        <v>838</v>
      </c>
      <c r="B985" t="s">
        <v>840</v>
      </c>
      <c r="C985" t="s">
        <v>3227</v>
      </c>
      <c r="D985" t="s">
        <v>3552</v>
      </c>
      <c r="E985">
        <v>28</v>
      </c>
      <c r="F985" s="4" t="s">
        <v>3555</v>
      </c>
      <c r="G985" s="4">
        <v>0</v>
      </c>
      <c r="H985">
        <v>0</v>
      </c>
      <c r="I985" t="s">
        <v>771</v>
      </c>
      <c r="J985" s="6">
        <v>7.55</v>
      </c>
      <c r="K985" s="4" t="str">
        <f t="shared" si="15"/>
        <v>Low</v>
      </c>
      <c r="L985" t="s">
        <v>3561</v>
      </c>
      <c r="M985" s="4" t="s">
        <v>3561</v>
      </c>
      <c r="N985" t="s">
        <v>457</v>
      </c>
      <c r="O985" t="s">
        <v>3569</v>
      </c>
      <c r="P985" s="4" t="s">
        <v>3573</v>
      </c>
      <c r="Q985" t="s">
        <v>3573</v>
      </c>
    </row>
    <row r="986" spans="1:17">
      <c r="A986" t="s">
        <v>838</v>
      </c>
      <c r="B986" t="s">
        <v>9</v>
      </c>
      <c r="C986" t="s">
        <v>3228</v>
      </c>
      <c r="D986" t="s">
        <v>3551</v>
      </c>
      <c r="E986">
        <v>28</v>
      </c>
      <c r="F986" s="4" t="s">
        <v>3555</v>
      </c>
      <c r="G986" s="4">
        <v>0</v>
      </c>
      <c r="H986">
        <v>0</v>
      </c>
      <c r="I986">
        <v>370370</v>
      </c>
      <c r="J986" s="6">
        <v>7.75</v>
      </c>
      <c r="K986" s="4" t="str">
        <f t="shared" si="15"/>
        <v>Low</v>
      </c>
      <c r="L986" t="s">
        <v>3561</v>
      </c>
      <c r="M986" s="4" t="s">
        <v>3561</v>
      </c>
      <c r="N986" t="s">
        <v>3567</v>
      </c>
      <c r="O986">
        <v>15</v>
      </c>
      <c r="P986" s="4" t="s">
        <v>3573</v>
      </c>
      <c r="Q986" t="s">
        <v>3573</v>
      </c>
    </row>
    <row r="987" spans="1:17">
      <c r="A987" t="s">
        <v>838</v>
      </c>
      <c r="B987" t="s">
        <v>9</v>
      </c>
      <c r="C987" t="s">
        <v>3229</v>
      </c>
      <c r="D987" t="s">
        <v>3552</v>
      </c>
      <c r="E987">
        <v>24</v>
      </c>
      <c r="F987" s="4" t="s">
        <v>3555</v>
      </c>
      <c r="G987" s="4">
        <v>0</v>
      </c>
      <c r="H987">
        <v>0</v>
      </c>
      <c r="I987" t="s">
        <v>772</v>
      </c>
      <c r="J987" s="6">
        <v>7.1417000000000002</v>
      </c>
      <c r="K987" s="4" t="str">
        <f t="shared" si="15"/>
        <v>Low</v>
      </c>
      <c r="L987" t="s">
        <v>3561</v>
      </c>
      <c r="M987" s="4" t="s">
        <v>3561</v>
      </c>
      <c r="N987" t="s">
        <v>457</v>
      </c>
      <c r="O987">
        <v>13</v>
      </c>
      <c r="P987" s="4" t="s">
        <v>3573</v>
      </c>
      <c r="Q987" t="s">
        <v>3573</v>
      </c>
    </row>
    <row r="988" spans="1:17">
      <c r="A988" t="s">
        <v>838</v>
      </c>
      <c r="B988" t="s">
        <v>840</v>
      </c>
      <c r="C988" t="s">
        <v>3230</v>
      </c>
      <c r="D988" t="s">
        <v>3552</v>
      </c>
      <c r="E988">
        <v>22</v>
      </c>
      <c r="F988" s="4" t="s">
        <v>3555</v>
      </c>
      <c r="G988" s="4">
        <v>0</v>
      </c>
      <c r="H988">
        <v>0</v>
      </c>
      <c r="I988" t="s">
        <v>773</v>
      </c>
      <c r="J988" s="6">
        <v>7.125</v>
      </c>
      <c r="K988" s="4" t="str">
        <f t="shared" si="15"/>
        <v>Low</v>
      </c>
      <c r="L988" t="s">
        <v>3561</v>
      </c>
      <c r="M988" s="4" t="s">
        <v>3561</v>
      </c>
      <c r="N988" t="s">
        <v>457</v>
      </c>
      <c r="O988" t="s">
        <v>3569</v>
      </c>
      <c r="P988" s="4" t="s">
        <v>3573</v>
      </c>
      <c r="Q988" t="s">
        <v>3573</v>
      </c>
    </row>
    <row r="989" spans="1:17">
      <c r="A989" t="s">
        <v>838</v>
      </c>
      <c r="B989" t="s">
        <v>840</v>
      </c>
      <c r="C989" t="s">
        <v>3231</v>
      </c>
      <c r="D989" t="s">
        <v>3551</v>
      </c>
      <c r="E989">
        <v>28</v>
      </c>
      <c r="F989" s="4" t="s">
        <v>3555</v>
      </c>
      <c r="G989" s="4">
        <v>0</v>
      </c>
      <c r="H989">
        <v>0</v>
      </c>
      <c r="I989">
        <v>330924</v>
      </c>
      <c r="J989" s="6">
        <v>7.8792</v>
      </c>
      <c r="K989" s="4" t="str">
        <f t="shared" si="15"/>
        <v>Low</v>
      </c>
      <c r="L989" t="s">
        <v>3561</v>
      </c>
      <c r="M989" s="4" t="s">
        <v>3561</v>
      </c>
      <c r="N989" t="s">
        <v>3567</v>
      </c>
      <c r="O989" t="s">
        <v>3569</v>
      </c>
      <c r="P989" s="4" t="s">
        <v>3573</v>
      </c>
      <c r="Q989" t="s">
        <v>3573</v>
      </c>
    </row>
    <row r="990" spans="1:17">
      <c r="A990" t="s">
        <v>838</v>
      </c>
      <c r="B990" t="s">
        <v>840</v>
      </c>
      <c r="C990" t="s">
        <v>3232</v>
      </c>
      <c r="D990" t="s">
        <v>3552</v>
      </c>
      <c r="E990">
        <v>28</v>
      </c>
      <c r="F990" s="4" t="s">
        <v>3555</v>
      </c>
      <c r="G990" s="4">
        <v>0</v>
      </c>
      <c r="H990">
        <v>0</v>
      </c>
      <c r="I990" t="s">
        <v>774</v>
      </c>
      <c r="J990" s="6">
        <v>7.75</v>
      </c>
      <c r="K990" s="4" t="str">
        <f t="shared" si="15"/>
        <v>Low</v>
      </c>
      <c r="L990" t="s">
        <v>3561</v>
      </c>
      <c r="M990" s="4" t="s">
        <v>3561</v>
      </c>
      <c r="N990" t="s">
        <v>3567</v>
      </c>
      <c r="O990" t="s">
        <v>3569</v>
      </c>
      <c r="P990" s="4" t="s">
        <v>3573</v>
      </c>
      <c r="Q990" t="s">
        <v>3573</v>
      </c>
    </row>
    <row r="991" spans="1:17">
      <c r="A991" t="s">
        <v>838</v>
      </c>
      <c r="B991" t="s">
        <v>840</v>
      </c>
      <c r="C991" t="s">
        <v>3233</v>
      </c>
      <c r="D991" t="s">
        <v>3552</v>
      </c>
      <c r="E991">
        <v>28</v>
      </c>
      <c r="F991" s="4" t="s">
        <v>3555</v>
      </c>
      <c r="G991" s="4">
        <v>0</v>
      </c>
      <c r="H991">
        <v>0</v>
      </c>
      <c r="I991" t="s">
        <v>775</v>
      </c>
      <c r="J991" s="6">
        <v>8.0500000000000007</v>
      </c>
      <c r="K991" s="4" t="str">
        <f t="shared" si="15"/>
        <v>Low</v>
      </c>
      <c r="L991" t="s">
        <v>3561</v>
      </c>
      <c r="M991" s="4" t="s">
        <v>3561</v>
      </c>
      <c r="N991" t="s">
        <v>457</v>
      </c>
      <c r="O991" t="s">
        <v>3569</v>
      </c>
      <c r="P991" s="4" t="s">
        <v>3573</v>
      </c>
      <c r="Q991" t="s">
        <v>3573</v>
      </c>
    </row>
    <row r="992" spans="1:17">
      <c r="A992" t="s">
        <v>838</v>
      </c>
      <c r="B992" t="s">
        <v>840</v>
      </c>
      <c r="C992" t="s">
        <v>3234</v>
      </c>
      <c r="D992" t="s">
        <v>3552</v>
      </c>
      <c r="E992">
        <v>29</v>
      </c>
      <c r="F992" s="4" t="s">
        <v>3555</v>
      </c>
      <c r="G992" s="4">
        <v>0</v>
      </c>
      <c r="H992">
        <v>0</v>
      </c>
      <c r="I992" t="s">
        <v>776</v>
      </c>
      <c r="J992" s="6">
        <v>7.9249999999999998</v>
      </c>
      <c r="K992" s="4" t="str">
        <f t="shared" si="15"/>
        <v>Low</v>
      </c>
      <c r="L992" t="s">
        <v>3561</v>
      </c>
      <c r="M992" s="4" t="s">
        <v>3561</v>
      </c>
      <c r="N992" t="s">
        <v>457</v>
      </c>
      <c r="O992" t="s">
        <v>3569</v>
      </c>
      <c r="P992" s="4" t="s">
        <v>3573</v>
      </c>
      <c r="Q992" t="s">
        <v>3573</v>
      </c>
    </row>
    <row r="993" spans="1:17">
      <c r="A993" t="s">
        <v>838</v>
      </c>
      <c r="B993" t="s">
        <v>9</v>
      </c>
      <c r="C993" t="s">
        <v>3235</v>
      </c>
      <c r="D993" t="s">
        <v>3552</v>
      </c>
      <c r="E993">
        <v>28</v>
      </c>
      <c r="F993" s="4" t="s">
        <v>3555</v>
      </c>
      <c r="G993" s="4">
        <v>0</v>
      </c>
      <c r="H993">
        <v>0</v>
      </c>
      <c r="I993">
        <v>2677</v>
      </c>
      <c r="J993" s="6">
        <v>7.2291999999999996</v>
      </c>
      <c r="K993" s="4" t="str">
        <f t="shared" si="15"/>
        <v>Low</v>
      </c>
      <c r="L993" t="s">
        <v>3561</v>
      </c>
      <c r="M993" s="4" t="s">
        <v>3561</v>
      </c>
      <c r="N993" t="s">
        <v>3566</v>
      </c>
      <c r="O993">
        <v>15</v>
      </c>
      <c r="P993" s="4" t="s">
        <v>3573</v>
      </c>
      <c r="Q993" t="s">
        <v>3573</v>
      </c>
    </row>
    <row r="994" spans="1:17">
      <c r="A994" t="s">
        <v>838</v>
      </c>
      <c r="B994" t="s">
        <v>840</v>
      </c>
      <c r="C994" t="s">
        <v>3236</v>
      </c>
      <c r="D994" t="s">
        <v>3551</v>
      </c>
      <c r="E994">
        <v>31</v>
      </c>
      <c r="F994" s="4" t="s">
        <v>3557</v>
      </c>
      <c r="G994" s="4">
        <v>0</v>
      </c>
      <c r="H994">
        <v>0</v>
      </c>
      <c r="I994">
        <v>364850</v>
      </c>
      <c r="J994" s="6">
        <v>7.75</v>
      </c>
      <c r="K994" s="4" t="str">
        <f t="shared" si="15"/>
        <v>Low</v>
      </c>
      <c r="L994" t="s">
        <v>3561</v>
      </c>
      <c r="M994" s="4" t="s">
        <v>3561</v>
      </c>
      <c r="N994" t="s">
        <v>3567</v>
      </c>
      <c r="O994" t="s">
        <v>3569</v>
      </c>
      <c r="P994" s="4">
        <v>61</v>
      </c>
      <c r="Q994" t="s">
        <v>3574</v>
      </c>
    </row>
    <row r="995" spans="1:17">
      <c r="A995" t="s">
        <v>838</v>
      </c>
      <c r="B995" t="s">
        <v>9</v>
      </c>
      <c r="C995" t="s">
        <v>3237</v>
      </c>
      <c r="D995" t="s">
        <v>3551</v>
      </c>
      <c r="E995">
        <v>28</v>
      </c>
      <c r="F995" s="4" t="s">
        <v>3555</v>
      </c>
      <c r="G995" s="4">
        <v>0</v>
      </c>
      <c r="H995">
        <v>0</v>
      </c>
      <c r="I995">
        <v>36866</v>
      </c>
      <c r="J995" s="6">
        <v>7.7374999999999998</v>
      </c>
      <c r="K995" s="4" t="str">
        <f t="shared" si="15"/>
        <v>Low</v>
      </c>
      <c r="L995" t="s">
        <v>3561</v>
      </c>
      <c r="M995" s="4" t="s">
        <v>3561</v>
      </c>
      <c r="N995" t="s">
        <v>3567</v>
      </c>
      <c r="O995">
        <v>16</v>
      </c>
      <c r="P995" s="4" t="s">
        <v>3573</v>
      </c>
      <c r="Q995" t="s">
        <v>3573</v>
      </c>
    </row>
    <row r="996" spans="1:17">
      <c r="A996" t="s">
        <v>838</v>
      </c>
      <c r="B996" t="s">
        <v>840</v>
      </c>
      <c r="C996" t="s">
        <v>3238</v>
      </c>
      <c r="D996" t="s">
        <v>3552</v>
      </c>
      <c r="E996">
        <v>28</v>
      </c>
      <c r="F996" s="4" t="s">
        <v>3555</v>
      </c>
      <c r="G996" s="4">
        <v>0</v>
      </c>
      <c r="H996">
        <v>0</v>
      </c>
      <c r="I996">
        <v>2655</v>
      </c>
      <c r="J996" s="6">
        <v>7.2291999999999996</v>
      </c>
      <c r="K996" s="4" t="str">
        <f t="shared" si="15"/>
        <v>Low</v>
      </c>
      <c r="L996" t="s">
        <v>777</v>
      </c>
      <c r="M996" s="4" t="s">
        <v>586</v>
      </c>
      <c r="N996" t="s">
        <v>3566</v>
      </c>
      <c r="O996" t="s">
        <v>3569</v>
      </c>
      <c r="P996" s="4" t="s">
        <v>3573</v>
      </c>
      <c r="Q996" t="s">
        <v>3573</v>
      </c>
    </row>
    <row r="997" spans="1:17">
      <c r="A997" t="s">
        <v>838</v>
      </c>
      <c r="B997" t="s">
        <v>840</v>
      </c>
      <c r="C997" t="s">
        <v>3239</v>
      </c>
      <c r="D997" t="s">
        <v>3552</v>
      </c>
      <c r="E997">
        <v>35</v>
      </c>
      <c r="F997" s="4" t="s">
        <v>3557</v>
      </c>
      <c r="G997" s="4">
        <v>0</v>
      </c>
      <c r="H997">
        <v>0</v>
      </c>
      <c r="I997">
        <v>349213</v>
      </c>
      <c r="J997" s="6">
        <v>7.8958000000000004</v>
      </c>
      <c r="K997" s="4" t="str">
        <f t="shared" si="15"/>
        <v>Low</v>
      </c>
      <c r="L997" t="s">
        <v>3561</v>
      </c>
      <c r="M997" s="4" t="s">
        <v>3561</v>
      </c>
      <c r="N997" t="s">
        <v>3566</v>
      </c>
      <c r="O997" t="s">
        <v>3569</v>
      </c>
      <c r="P997" s="4" t="s">
        <v>3573</v>
      </c>
      <c r="Q997" t="s">
        <v>3573</v>
      </c>
    </row>
    <row r="998" spans="1:17">
      <c r="A998" t="s">
        <v>838</v>
      </c>
      <c r="B998" t="s">
        <v>840</v>
      </c>
      <c r="C998" t="s">
        <v>3240</v>
      </c>
      <c r="D998" t="s">
        <v>3552</v>
      </c>
      <c r="E998">
        <v>33</v>
      </c>
      <c r="F998" s="4" t="s">
        <v>3557</v>
      </c>
      <c r="G998" s="4">
        <v>0</v>
      </c>
      <c r="H998">
        <v>0</v>
      </c>
      <c r="I998">
        <v>349257</v>
      </c>
      <c r="J998" s="6">
        <v>7.8958000000000004</v>
      </c>
      <c r="K998" s="4" t="str">
        <f t="shared" si="15"/>
        <v>Low</v>
      </c>
      <c r="L998" t="s">
        <v>3561</v>
      </c>
      <c r="M998" s="4" t="s">
        <v>3561</v>
      </c>
      <c r="N998" t="s">
        <v>457</v>
      </c>
      <c r="O998" t="s">
        <v>3569</v>
      </c>
      <c r="P998" s="4" t="s">
        <v>3573</v>
      </c>
      <c r="Q998" t="s">
        <v>3573</v>
      </c>
    </row>
    <row r="999" spans="1:17">
      <c r="A999" t="s">
        <v>838</v>
      </c>
      <c r="B999" t="s">
        <v>9</v>
      </c>
      <c r="C999" t="s">
        <v>3241</v>
      </c>
      <c r="D999" t="s">
        <v>3551</v>
      </c>
      <c r="E999">
        <v>28</v>
      </c>
      <c r="F999" s="4" t="s">
        <v>3555</v>
      </c>
      <c r="G999" s="4">
        <v>0</v>
      </c>
      <c r="H999">
        <v>0</v>
      </c>
      <c r="I999">
        <v>2649</v>
      </c>
      <c r="J999" s="6">
        <v>7.2249999999999996</v>
      </c>
      <c r="K999" s="4" t="str">
        <f t="shared" si="15"/>
        <v>Low</v>
      </c>
      <c r="L999" t="s">
        <v>3561</v>
      </c>
      <c r="M999" s="4" t="s">
        <v>3561</v>
      </c>
      <c r="N999" t="s">
        <v>3566</v>
      </c>
      <c r="O999" t="s">
        <v>62</v>
      </c>
      <c r="P999" s="4" t="s">
        <v>3573</v>
      </c>
      <c r="Q999" t="s">
        <v>3573</v>
      </c>
    </row>
    <row r="1000" spans="1:17">
      <c r="A1000" t="s">
        <v>838</v>
      </c>
      <c r="B1000" t="s">
        <v>840</v>
      </c>
      <c r="C1000" t="s">
        <v>3242</v>
      </c>
      <c r="D1000" t="s">
        <v>3552</v>
      </c>
      <c r="E1000">
        <v>28</v>
      </c>
      <c r="F1000" s="4" t="s">
        <v>3555</v>
      </c>
      <c r="G1000" s="4">
        <v>0</v>
      </c>
      <c r="H1000">
        <v>0</v>
      </c>
      <c r="I1000">
        <v>349255</v>
      </c>
      <c r="J1000" s="6">
        <v>7.8958000000000004</v>
      </c>
      <c r="K1000" s="4" t="str">
        <f t="shared" si="15"/>
        <v>Low</v>
      </c>
      <c r="L1000" t="s">
        <v>3561</v>
      </c>
      <c r="M1000" s="4" t="s">
        <v>3561</v>
      </c>
      <c r="N1000" t="s">
        <v>3566</v>
      </c>
      <c r="O1000" t="s">
        <v>3569</v>
      </c>
      <c r="P1000" s="4" t="s">
        <v>3573</v>
      </c>
      <c r="Q1000" t="s">
        <v>3573</v>
      </c>
    </row>
    <row r="1001" spans="1:17">
      <c r="A1001" t="s">
        <v>838</v>
      </c>
      <c r="B1001" t="s">
        <v>9</v>
      </c>
      <c r="C1001" t="s">
        <v>3243</v>
      </c>
      <c r="D1001" t="s">
        <v>3551</v>
      </c>
      <c r="E1001">
        <v>28</v>
      </c>
      <c r="F1001" s="4" t="s">
        <v>3555</v>
      </c>
      <c r="G1001" s="4">
        <v>0</v>
      </c>
      <c r="H1001">
        <v>0</v>
      </c>
      <c r="I1001">
        <v>383123</v>
      </c>
      <c r="J1001" s="6">
        <v>7.75</v>
      </c>
      <c r="K1001" s="4" t="str">
        <f t="shared" si="15"/>
        <v>Low</v>
      </c>
      <c r="L1001" t="s">
        <v>3561</v>
      </c>
      <c r="M1001" s="4" t="s">
        <v>3561</v>
      </c>
      <c r="N1001" t="s">
        <v>3567</v>
      </c>
      <c r="O1001" t="s">
        <v>778</v>
      </c>
      <c r="P1001" s="4" t="s">
        <v>3573</v>
      </c>
      <c r="Q1001" t="s">
        <v>3573</v>
      </c>
    </row>
    <row r="1002" spans="1:17">
      <c r="A1002" t="s">
        <v>838</v>
      </c>
      <c r="B1002" t="s">
        <v>9</v>
      </c>
      <c r="C1002" t="s">
        <v>3244</v>
      </c>
      <c r="D1002" t="s">
        <v>3552</v>
      </c>
      <c r="E1002">
        <v>28</v>
      </c>
      <c r="F1002" s="4" t="s">
        <v>3555</v>
      </c>
      <c r="G1002" s="4">
        <v>0</v>
      </c>
      <c r="H1002">
        <v>0</v>
      </c>
      <c r="I1002">
        <v>367228</v>
      </c>
      <c r="J1002" s="6">
        <v>7.75</v>
      </c>
      <c r="K1002" s="4" t="str">
        <f t="shared" si="15"/>
        <v>Low</v>
      </c>
      <c r="L1002" t="s">
        <v>3561</v>
      </c>
      <c r="M1002" s="4" t="s">
        <v>3561</v>
      </c>
      <c r="N1002" t="s">
        <v>3567</v>
      </c>
      <c r="O1002" t="s">
        <v>3569</v>
      </c>
      <c r="P1002" s="4" t="s">
        <v>3573</v>
      </c>
      <c r="Q1002" t="s">
        <v>3573</v>
      </c>
    </row>
    <row r="1003" spans="1:17">
      <c r="A1003" t="s">
        <v>838</v>
      </c>
      <c r="B1003" t="s">
        <v>9</v>
      </c>
      <c r="C1003" t="s">
        <v>3245</v>
      </c>
      <c r="D1003" t="s">
        <v>3551</v>
      </c>
      <c r="E1003">
        <v>28</v>
      </c>
      <c r="F1003" s="4" t="s">
        <v>3555</v>
      </c>
      <c r="G1003" s="4">
        <v>0</v>
      </c>
      <c r="H1003">
        <v>2</v>
      </c>
      <c r="I1003">
        <v>367226</v>
      </c>
      <c r="J1003" s="6">
        <v>23.25</v>
      </c>
      <c r="K1003" s="4" t="str">
        <f t="shared" si="15"/>
        <v>Mid</v>
      </c>
      <c r="L1003" t="s">
        <v>3561</v>
      </c>
      <c r="M1003" s="4" t="s">
        <v>3561</v>
      </c>
      <c r="N1003" t="s">
        <v>3567</v>
      </c>
      <c r="O1003">
        <v>16</v>
      </c>
      <c r="P1003" s="4" t="s">
        <v>3573</v>
      </c>
      <c r="Q1003" t="s">
        <v>3573</v>
      </c>
    </row>
    <row r="1004" spans="1:17">
      <c r="A1004" t="s">
        <v>838</v>
      </c>
      <c r="B1004" t="s">
        <v>9</v>
      </c>
      <c r="C1004" t="s">
        <v>3246</v>
      </c>
      <c r="D1004" t="s">
        <v>3551</v>
      </c>
      <c r="E1004">
        <v>28</v>
      </c>
      <c r="F1004" s="4" t="s">
        <v>3555</v>
      </c>
      <c r="G1004" s="4">
        <v>0</v>
      </c>
      <c r="H1004">
        <v>2</v>
      </c>
      <c r="I1004">
        <v>367226</v>
      </c>
      <c r="J1004" s="6">
        <v>23.25</v>
      </c>
      <c r="K1004" s="4" t="str">
        <f t="shared" si="15"/>
        <v>Mid</v>
      </c>
      <c r="L1004" t="s">
        <v>3561</v>
      </c>
      <c r="M1004" s="4" t="s">
        <v>3561</v>
      </c>
      <c r="N1004" t="s">
        <v>3567</v>
      </c>
      <c r="O1004">
        <v>16</v>
      </c>
      <c r="P1004" s="4" t="s">
        <v>3573</v>
      </c>
      <c r="Q1004" t="s">
        <v>3573</v>
      </c>
    </row>
    <row r="1005" spans="1:17">
      <c r="A1005" t="s">
        <v>838</v>
      </c>
      <c r="B1005" t="s">
        <v>9</v>
      </c>
      <c r="C1005" t="s">
        <v>3247</v>
      </c>
      <c r="D1005" t="s">
        <v>3552</v>
      </c>
      <c r="E1005">
        <v>28</v>
      </c>
      <c r="F1005" s="4" t="s">
        <v>3555</v>
      </c>
      <c r="G1005" s="4">
        <v>0</v>
      </c>
      <c r="H1005">
        <v>2</v>
      </c>
      <c r="I1005">
        <v>367226</v>
      </c>
      <c r="J1005" s="6">
        <v>23.25</v>
      </c>
      <c r="K1005" s="4" t="str">
        <f t="shared" si="15"/>
        <v>Mid</v>
      </c>
      <c r="L1005" t="s">
        <v>3561</v>
      </c>
      <c r="M1005" s="4" t="s">
        <v>3561</v>
      </c>
      <c r="N1005" t="s">
        <v>3567</v>
      </c>
      <c r="O1005">
        <v>16</v>
      </c>
      <c r="P1005" s="4" t="s">
        <v>3573</v>
      </c>
      <c r="Q1005" t="s">
        <v>3573</v>
      </c>
    </row>
    <row r="1006" spans="1:17">
      <c r="A1006" t="s">
        <v>838</v>
      </c>
      <c r="B1006" t="s">
        <v>9</v>
      </c>
      <c r="C1006" t="s">
        <v>3248</v>
      </c>
      <c r="D1006" t="s">
        <v>3551</v>
      </c>
      <c r="E1006">
        <v>28</v>
      </c>
      <c r="F1006" s="4" t="s">
        <v>3555</v>
      </c>
      <c r="G1006" s="4">
        <v>0</v>
      </c>
      <c r="H1006">
        <v>0</v>
      </c>
      <c r="I1006">
        <v>330932</v>
      </c>
      <c r="J1006" s="6">
        <v>7.7874999999999996</v>
      </c>
      <c r="K1006" s="4" t="str">
        <f t="shared" si="15"/>
        <v>Low</v>
      </c>
      <c r="L1006" t="s">
        <v>3561</v>
      </c>
      <c r="M1006" s="4" t="s">
        <v>3561</v>
      </c>
      <c r="N1006" t="s">
        <v>3567</v>
      </c>
      <c r="O1006">
        <v>13</v>
      </c>
      <c r="P1006" s="4" t="s">
        <v>3573</v>
      </c>
      <c r="Q1006" t="s">
        <v>3573</v>
      </c>
    </row>
    <row r="1007" spans="1:17">
      <c r="A1007" t="s">
        <v>838</v>
      </c>
      <c r="B1007" t="s">
        <v>840</v>
      </c>
      <c r="C1007" t="s">
        <v>3249</v>
      </c>
      <c r="D1007" t="s">
        <v>3552</v>
      </c>
      <c r="E1007">
        <v>28</v>
      </c>
      <c r="F1007" s="4" t="s">
        <v>3555</v>
      </c>
      <c r="G1007" s="4">
        <v>0</v>
      </c>
      <c r="H1007">
        <v>0</v>
      </c>
      <c r="I1007">
        <v>36568</v>
      </c>
      <c r="J1007" s="6">
        <v>15.5</v>
      </c>
      <c r="K1007" s="4" t="str">
        <f t="shared" si="15"/>
        <v>Mid</v>
      </c>
      <c r="L1007" t="s">
        <v>3561</v>
      </c>
      <c r="M1007" s="4" t="s">
        <v>3561</v>
      </c>
      <c r="N1007" t="s">
        <v>3567</v>
      </c>
      <c r="O1007" t="s">
        <v>3569</v>
      </c>
      <c r="P1007" s="4" t="s">
        <v>3573</v>
      </c>
      <c r="Q1007" t="s">
        <v>3573</v>
      </c>
    </row>
    <row r="1008" spans="1:17">
      <c r="A1008" t="s">
        <v>838</v>
      </c>
      <c r="B1008" t="s">
        <v>9</v>
      </c>
      <c r="C1008" t="s">
        <v>3250</v>
      </c>
      <c r="D1008" t="s">
        <v>3551</v>
      </c>
      <c r="E1008">
        <v>28</v>
      </c>
      <c r="F1008" s="4" t="s">
        <v>3555</v>
      </c>
      <c r="G1008" s="4">
        <v>0</v>
      </c>
      <c r="H1008">
        <v>0</v>
      </c>
      <c r="I1008">
        <v>330931</v>
      </c>
      <c r="J1008" s="6">
        <v>7.8792</v>
      </c>
      <c r="K1008" s="4" t="str">
        <f t="shared" si="15"/>
        <v>Low</v>
      </c>
      <c r="L1008" t="s">
        <v>3561</v>
      </c>
      <c r="M1008" s="4" t="s">
        <v>3561</v>
      </c>
      <c r="N1008" t="s">
        <v>3567</v>
      </c>
      <c r="O1008">
        <v>13</v>
      </c>
      <c r="P1008" s="4" t="s">
        <v>3573</v>
      </c>
      <c r="Q1008" t="s">
        <v>3573</v>
      </c>
    </row>
    <row r="1009" spans="1:17">
      <c r="A1009" t="s">
        <v>838</v>
      </c>
      <c r="B1009" t="s">
        <v>9</v>
      </c>
      <c r="C1009" t="s">
        <v>3251</v>
      </c>
      <c r="D1009" t="s">
        <v>3551</v>
      </c>
      <c r="E1009">
        <v>15</v>
      </c>
      <c r="F1009" s="4" t="s">
        <v>3560</v>
      </c>
      <c r="G1009" s="4">
        <v>0</v>
      </c>
      <c r="H1009">
        <v>0</v>
      </c>
      <c r="I1009">
        <v>330923</v>
      </c>
      <c r="J1009" s="6">
        <v>8.0291999999999994</v>
      </c>
      <c r="K1009" s="4" t="str">
        <f t="shared" si="15"/>
        <v>Low</v>
      </c>
      <c r="L1009" t="s">
        <v>3561</v>
      </c>
      <c r="M1009" s="4" t="s">
        <v>3561</v>
      </c>
      <c r="N1009" t="s">
        <v>3567</v>
      </c>
      <c r="O1009" t="s">
        <v>3569</v>
      </c>
      <c r="P1009" s="4" t="s">
        <v>3573</v>
      </c>
      <c r="Q1009" t="s">
        <v>3573</v>
      </c>
    </row>
    <row r="1010" spans="1:17">
      <c r="A1010" t="s">
        <v>838</v>
      </c>
      <c r="B1010" t="s">
        <v>840</v>
      </c>
      <c r="C1010" t="s">
        <v>3252</v>
      </c>
      <c r="D1010" t="s">
        <v>3551</v>
      </c>
      <c r="E1010">
        <v>35</v>
      </c>
      <c r="F1010" s="4" t="s">
        <v>3557</v>
      </c>
      <c r="G1010" s="4">
        <v>0</v>
      </c>
      <c r="H1010">
        <v>0</v>
      </c>
      <c r="I1010">
        <v>9232</v>
      </c>
      <c r="J1010" s="6">
        <v>7.75</v>
      </c>
      <c r="K1010" s="4" t="str">
        <f t="shared" si="15"/>
        <v>Low</v>
      </c>
      <c r="L1010" t="s">
        <v>3561</v>
      </c>
      <c r="M1010" s="4" t="s">
        <v>3561</v>
      </c>
      <c r="N1010" t="s">
        <v>3567</v>
      </c>
      <c r="O1010" t="s">
        <v>3569</v>
      </c>
      <c r="P1010" s="4" t="s">
        <v>3573</v>
      </c>
      <c r="Q1010" t="s">
        <v>3573</v>
      </c>
    </row>
    <row r="1011" spans="1:17">
      <c r="A1011" t="s">
        <v>838</v>
      </c>
      <c r="B1011" t="s">
        <v>840</v>
      </c>
      <c r="C1011" t="s">
        <v>3253</v>
      </c>
      <c r="D1011" t="s">
        <v>3552</v>
      </c>
      <c r="E1011">
        <v>28</v>
      </c>
      <c r="F1011" s="4" t="s">
        <v>3555</v>
      </c>
      <c r="G1011" s="4">
        <v>0</v>
      </c>
      <c r="H1011">
        <v>0</v>
      </c>
      <c r="I1011">
        <v>370372</v>
      </c>
      <c r="J1011" s="6">
        <v>7.75</v>
      </c>
      <c r="K1011" s="4" t="str">
        <f t="shared" si="15"/>
        <v>Low</v>
      </c>
      <c r="L1011" t="s">
        <v>3561</v>
      </c>
      <c r="M1011" s="4" t="s">
        <v>3561</v>
      </c>
      <c r="N1011" t="s">
        <v>3567</v>
      </c>
      <c r="O1011" t="s">
        <v>3569</v>
      </c>
      <c r="P1011" s="4" t="s">
        <v>3573</v>
      </c>
      <c r="Q1011" t="s">
        <v>3573</v>
      </c>
    </row>
    <row r="1012" spans="1:17">
      <c r="A1012" t="s">
        <v>838</v>
      </c>
      <c r="B1012" t="s">
        <v>840</v>
      </c>
      <c r="C1012" t="s">
        <v>3254</v>
      </c>
      <c r="D1012" t="s">
        <v>3552</v>
      </c>
      <c r="E1012">
        <v>24</v>
      </c>
      <c r="F1012" s="4" t="s">
        <v>3555</v>
      </c>
      <c r="G1012" s="4">
        <v>0</v>
      </c>
      <c r="H1012">
        <v>1</v>
      </c>
      <c r="I1012">
        <v>376566</v>
      </c>
      <c r="J1012" s="6">
        <v>16.100000000000001</v>
      </c>
      <c r="K1012" s="4" t="str">
        <f t="shared" si="15"/>
        <v>Mid</v>
      </c>
      <c r="L1012" t="s">
        <v>3561</v>
      </c>
      <c r="M1012" s="4" t="s">
        <v>3561</v>
      </c>
      <c r="N1012" t="s">
        <v>457</v>
      </c>
      <c r="O1012" t="s">
        <v>3569</v>
      </c>
      <c r="P1012" s="4" t="s">
        <v>3573</v>
      </c>
      <c r="Q1012" t="s">
        <v>3573</v>
      </c>
    </row>
    <row r="1013" spans="1:17">
      <c r="A1013" t="s">
        <v>838</v>
      </c>
      <c r="B1013" t="s">
        <v>840</v>
      </c>
      <c r="C1013" t="s">
        <v>3255</v>
      </c>
      <c r="D1013" t="s">
        <v>3551</v>
      </c>
      <c r="E1013">
        <v>19</v>
      </c>
      <c r="F1013" s="4" t="s">
        <v>3555</v>
      </c>
      <c r="G1013" s="4">
        <v>0</v>
      </c>
      <c r="H1013">
        <v>1</v>
      </c>
      <c r="I1013">
        <v>376566</v>
      </c>
      <c r="J1013" s="6">
        <v>16.100000000000001</v>
      </c>
      <c r="K1013" s="4" t="str">
        <f t="shared" si="15"/>
        <v>Mid</v>
      </c>
      <c r="L1013" t="s">
        <v>3561</v>
      </c>
      <c r="M1013" s="4" t="s">
        <v>3561</v>
      </c>
      <c r="N1013" t="s">
        <v>457</v>
      </c>
      <c r="O1013" t="s">
        <v>3569</v>
      </c>
      <c r="P1013" s="4">
        <v>53</v>
      </c>
      <c r="Q1013" t="s">
        <v>3574</v>
      </c>
    </row>
    <row r="1014" spans="1:17">
      <c r="A1014" t="s">
        <v>838</v>
      </c>
      <c r="B1014" t="s">
        <v>840</v>
      </c>
      <c r="C1014" t="s">
        <v>3256</v>
      </c>
      <c r="D1014" t="s">
        <v>3551</v>
      </c>
      <c r="E1014">
        <v>28</v>
      </c>
      <c r="F1014" s="4" t="s">
        <v>3555</v>
      </c>
      <c r="G1014" s="4">
        <v>0</v>
      </c>
      <c r="H1014">
        <v>0</v>
      </c>
      <c r="I1014">
        <v>370368</v>
      </c>
      <c r="J1014" s="6">
        <v>7.75</v>
      </c>
      <c r="K1014" s="4" t="str">
        <f t="shared" si="15"/>
        <v>Low</v>
      </c>
      <c r="L1014" t="s">
        <v>3561</v>
      </c>
      <c r="M1014" s="4" t="s">
        <v>3561</v>
      </c>
      <c r="N1014" t="s">
        <v>3567</v>
      </c>
      <c r="O1014" t="s">
        <v>3569</v>
      </c>
      <c r="P1014" s="4" t="s">
        <v>3573</v>
      </c>
      <c r="Q1014" t="s">
        <v>3573</v>
      </c>
    </row>
    <row r="1015" spans="1:17">
      <c r="A1015" t="s">
        <v>838</v>
      </c>
      <c r="B1015" t="s">
        <v>840</v>
      </c>
      <c r="C1015" t="s">
        <v>3257</v>
      </c>
      <c r="D1015" t="s">
        <v>3551</v>
      </c>
      <c r="E1015">
        <v>28</v>
      </c>
      <c r="F1015" s="4" t="s">
        <v>3555</v>
      </c>
      <c r="G1015" s="4">
        <v>0</v>
      </c>
      <c r="H1015">
        <v>0</v>
      </c>
      <c r="I1015" t="s">
        <v>779</v>
      </c>
      <c r="J1015" s="6">
        <v>8.0500000000000007</v>
      </c>
      <c r="K1015" s="4" t="str">
        <f t="shared" si="15"/>
        <v>Low</v>
      </c>
      <c r="L1015" t="s">
        <v>3561</v>
      </c>
      <c r="M1015" s="4" t="s">
        <v>3561</v>
      </c>
      <c r="N1015" t="s">
        <v>457</v>
      </c>
      <c r="O1015" t="s">
        <v>3569</v>
      </c>
      <c r="P1015" s="4" t="s">
        <v>3573</v>
      </c>
      <c r="Q1015" t="s">
        <v>3573</v>
      </c>
    </row>
    <row r="1016" spans="1:17">
      <c r="A1016" t="s">
        <v>838</v>
      </c>
      <c r="B1016" t="s">
        <v>840</v>
      </c>
      <c r="C1016" t="s">
        <v>3258</v>
      </c>
      <c r="D1016" t="s">
        <v>3551</v>
      </c>
      <c r="E1016">
        <v>28</v>
      </c>
      <c r="F1016" s="4" t="s">
        <v>3555</v>
      </c>
      <c r="G1016" s="4">
        <v>0</v>
      </c>
      <c r="H1016">
        <v>0</v>
      </c>
      <c r="I1016">
        <v>343095</v>
      </c>
      <c r="J1016" s="6">
        <v>8.0500000000000007</v>
      </c>
      <c r="K1016" s="4" t="str">
        <f t="shared" si="15"/>
        <v>Low</v>
      </c>
      <c r="L1016" t="s">
        <v>3561</v>
      </c>
      <c r="M1016" s="4" t="s">
        <v>3561</v>
      </c>
      <c r="N1016" t="s">
        <v>457</v>
      </c>
      <c r="O1016" t="s">
        <v>3569</v>
      </c>
      <c r="P1016" s="4" t="s">
        <v>3573</v>
      </c>
      <c r="Q1016" t="s">
        <v>3573</v>
      </c>
    </row>
    <row r="1017" spans="1:17">
      <c r="A1017" t="s">
        <v>838</v>
      </c>
      <c r="B1017" t="s">
        <v>840</v>
      </c>
      <c r="C1017" t="s">
        <v>3259</v>
      </c>
      <c r="D1017" t="s">
        <v>3552</v>
      </c>
      <c r="E1017">
        <v>56</v>
      </c>
      <c r="F1017" s="4" t="s">
        <v>3557</v>
      </c>
      <c r="G1017" s="4">
        <v>0</v>
      </c>
      <c r="H1017">
        <v>0</v>
      </c>
      <c r="I1017" t="s">
        <v>780</v>
      </c>
      <c r="J1017" s="6">
        <v>8.0500000000000007</v>
      </c>
      <c r="K1017" s="4" t="str">
        <f t="shared" si="15"/>
        <v>Low</v>
      </c>
      <c r="L1017" t="s">
        <v>3561</v>
      </c>
      <c r="M1017" s="4" t="s">
        <v>3561</v>
      </c>
      <c r="N1017" t="s">
        <v>457</v>
      </c>
      <c r="O1017" t="s">
        <v>3569</v>
      </c>
      <c r="P1017" s="4">
        <v>201</v>
      </c>
      <c r="Q1017" t="s">
        <v>3574</v>
      </c>
    </row>
    <row r="1018" spans="1:17">
      <c r="A1018" t="s">
        <v>838</v>
      </c>
      <c r="B1018" t="s">
        <v>840</v>
      </c>
      <c r="C1018" t="s">
        <v>3260</v>
      </c>
      <c r="D1018" t="s">
        <v>3552</v>
      </c>
      <c r="E1018">
        <v>28</v>
      </c>
      <c r="F1018" s="4" t="s">
        <v>3555</v>
      </c>
      <c r="G1018" s="4">
        <v>0</v>
      </c>
      <c r="H1018">
        <v>0</v>
      </c>
      <c r="I1018">
        <v>368703</v>
      </c>
      <c r="J1018" s="6">
        <v>7.75</v>
      </c>
      <c r="K1018" s="4" t="str">
        <f t="shared" si="15"/>
        <v>Low</v>
      </c>
      <c r="L1018" t="s">
        <v>3561</v>
      </c>
      <c r="M1018" s="4" t="s">
        <v>3561</v>
      </c>
      <c r="N1018" t="s">
        <v>3567</v>
      </c>
      <c r="O1018" t="s">
        <v>3569</v>
      </c>
      <c r="P1018" s="4" t="s">
        <v>3573</v>
      </c>
      <c r="Q1018" t="s">
        <v>3573</v>
      </c>
    </row>
    <row r="1019" spans="1:17">
      <c r="A1019" t="s">
        <v>838</v>
      </c>
      <c r="B1019" t="s">
        <v>9</v>
      </c>
      <c r="C1019" t="s">
        <v>3261</v>
      </c>
      <c r="D1019" t="s">
        <v>3552</v>
      </c>
      <c r="E1019">
        <v>21</v>
      </c>
      <c r="F1019" s="4" t="s">
        <v>3555</v>
      </c>
      <c r="G1019" s="4">
        <v>0</v>
      </c>
      <c r="H1019">
        <v>0</v>
      </c>
      <c r="I1019">
        <v>345501</v>
      </c>
      <c r="J1019" s="6">
        <v>7.7750000000000004</v>
      </c>
      <c r="K1019" s="4" t="str">
        <f t="shared" si="15"/>
        <v>Low</v>
      </c>
      <c r="L1019" t="s">
        <v>3561</v>
      </c>
      <c r="M1019" s="4" t="s">
        <v>3561</v>
      </c>
      <c r="N1019" t="s">
        <v>457</v>
      </c>
      <c r="O1019">
        <v>15</v>
      </c>
      <c r="P1019" s="4" t="s">
        <v>3573</v>
      </c>
      <c r="Q1019" t="s">
        <v>3573</v>
      </c>
    </row>
    <row r="1020" spans="1:17">
      <c r="A1020" t="s">
        <v>838</v>
      </c>
      <c r="B1020" t="s">
        <v>840</v>
      </c>
      <c r="C1020" t="s">
        <v>3262</v>
      </c>
      <c r="D1020" t="s">
        <v>3552</v>
      </c>
      <c r="E1020">
        <v>28</v>
      </c>
      <c r="F1020" s="4" t="s">
        <v>3555</v>
      </c>
      <c r="G1020" s="4">
        <v>0</v>
      </c>
      <c r="H1020">
        <v>0</v>
      </c>
      <c r="I1020">
        <v>359306</v>
      </c>
      <c r="J1020" s="6">
        <v>8.0500000000000007</v>
      </c>
      <c r="K1020" s="4" t="str">
        <f t="shared" si="15"/>
        <v>Low</v>
      </c>
      <c r="L1020" t="s">
        <v>3561</v>
      </c>
      <c r="M1020" s="4" t="s">
        <v>3561</v>
      </c>
      <c r="N1020" t="s">
        <v>457</v>
      </c>
      <c r="O1020" t="s">
        <v>3569</v>
      </c>
      <c r="P1020" s="4" t="s">
        <v>3573</v>
      </c>
      <c r="Q1020" t="s">
        <v>3573</v>
      </c>
    </row>
    <row r="1021" spans="1:17">
      <c r="A1021" t="s">
        <v>838</v>
      </c>
      <c r="B1021" t="s">
        <v>840</v>
      </c>
      <c r="C1021" t="s">
        <v>3263</v>
      </c>
      <c r="D1021" t="s">
        <v>3552</v>
      </c>
      <c r="E1021">
        <v>24</v>
      </c>
      <c r="F1021" s="4" t="s">
        <v>3555</v>
      </c>
      <c r="G1021" s="4">
        <v>0</v>
      </c>
      <c r="H1021">
        <v>0</v>
      </c>
      <c r="I1021">
        <v>349233</v>
      </c>
      <c r="J1021" s="6">
        <v>7.8958000000000004</v>
      </c>
      <c r="K1021" s="4" t="str">
        <f t="shared" si="15"/>
        <v>Low</v>
      </c>
      <c r="L1021" t="s">
        <v>3561</v>
      </c>
      <c r="M1021" s="4" t="s">
        <v>3561</v>
      </c>
      <c r="N1021" t="s">
        <v>457</v>
      </c>
      <c r="O1021" t="s">
        <v>3569</v>
      </c>
      <c r="P1021" s="4" t="s">
        <v>3573</v>
      </c>
      <c r="Q1021" t="s">
        <v>3573</v>
      </c>
    </row>
    <row r="1022" spans="1:17">
      <c r="A1022" t="s">
        <v>838</v>
      </c>
      <c r="B1022" t="s">
        <v>840</v>
      </c>
      <c r="C1022" t="s">
        <v>3264</v>
      </c>
      <c r="D1022" t="s">
        <v>3552</v>
      </c>
      <c r="E1022">
        <v>21</v>
      </c>
      <c r="F1022" s="4" t="s">
        <v>3555</v>
      </c>
      <c r="G1022" s="4">
        <v>0</v>
      </c>
      <c r="H1022">
        <v>0</v>
      </c>
      <c r="I1022">
        <v>349211</v>
      </c>
      <c r="J1022" s="6">
        <v>7.8958000000000004</v>
      </c>
      <c r="K1022" s="4" t="str">
        <f t="shared" si="15"/>
        <v>Low</v>
      </c>
      <c r="L1022" t="s">
        <v>3561</v>
      </c>
      <c r="M1022" s="4" t="s">
        <v>3561</v>
      </c>
      <c r="N1022" t="s">
        <v>457</v>
      </c>
      <c r="O1022" t="s">
        <v>3569</v>
      </c>
      <c r="P1022" s="4" t="s">
        <v>3573</v>
      </c>
      <c r="Q1022" t="s">
        <v>3573</v>
      </c>
    </row>
    <row r="1023" spans="1:17">
      <c r="A1023" t="s">
        <v>838</v>
      </c>
      <c r="B1023" t="s">
        <v>840</v>
      </c>
      <c r="C1023" t="s">
        <v>3265</v>
      </c>
      <c r="D1023" t="s">
        <v>3552</v>
      </c>
      <c r="E1023">
        <v>28</v>
      </c>
      <c r="F1023" s="4" t="s">
        <v>3555</v>
      </c>
      <c r="G1023" s="4">
        <v>0</v>
      </c>
      <c r="H1023">
        <v>0</v>
      </c>
      <c r="I1023">
        <v>349207</v>
      </c>
      <c r="J1023" s="6">
        <v>7.8958000000000004</v>
      </c>
      <c r="K1023" s="4" t="str">
        <f t="shared" si="15"/>
        <v>Low</v>
      </c>
      <c r="L1023" t="s">
        <v>3561</v>
      </c>
      <c r="M1023" s="4" t="s">
        <v>3561</v>
      </c>
      <c r="N1023" t="s">
        <v>457</v>
      </c>
      <c r="O1023" t="s">
        <v>3569</v>
      </c>
      <c r="P1023" s="4" t="s">
        <v>3573</v>
      </c>
      <c r="Q1023" t="s">
        <v>3573</v>
      </c>
    </row>
    <row r="1024" spans="1:17">
      <c r="A1024" t="s">
        <v>838</v>
      </c>
      <c r="B1024" t="s">
        <v>840</v>
      </c>
      <c r="C1024" t="s">
        <v>3266</v>
      </c>
      <c r="D1024" t="s">
        <v>3552</v>
      </c>
      <c r="E1024">
        <v>28</v>
      </c>
      <c r="F1024" s="4" t="s">
        <v>3555</v>
      </c>
      <c r="G1024" s="4">
        <v>0</v>
      </c>
      <c r="H1024">
        <v>0</v>
      </c>
      <c r="I1024">
        <v>349221</v>
      </c>
      <c r="J1024" s="6">
        <v>7.8958000000000004</v>
      </c>
      <c r="K1024" s="4" t="str">
        <f t="shared" si="15"/>
        <v>Low</v>
      </c>
      <c r="L1024" t="s">
        <v>3561</v>
      </c>
      <c r="M1024" s="4" t="s">
        <v>3561</v>
      </c>
      <c r="N1024" t="s">
        <v>457</v>
      </c>
      <c r="O1024" t="s">
        <v>3569</v>
      </c>
      <c r="P1024" s="4" t="s">
        <v>3573</v>
      </c>
      <c r="Q1024" t="s">
        <v>3573</v>
      </c>
    </row>
    <row r="1025" spans="1:17">
      <c r="A1025" t="s">
        <v>838</v>
      </c>
      <c r="B1025" t="s">
        <v>9</v>
      </c>
      <c r="C1025" t="s">
        <v>3267</v>
      </c>
      <c r="D1025" t="s">
        <v>3551</v>
      </c>
      <c r="E1025">
        <v>28</v>
      </c>
      <c r="F1025" s="4" t="s">
        <v>3555</v>
      </c>
      <c r="G1025" s="4">
        <v>0</v>
      </c>
      <c r="H1025">
        <v>0</v>
      </c>
      <c r="I1025">
        <v>330980</v>
      </c>
      <c r="J1025" s="6">
        <v>7.8792</v>
      </c>
      <c r="K1025" s="4" t="str">
        <f t="shared" si="15"/>
        <v>Low</v>
      </c>
      <c r="L1025" t="s">
        <v>3561</v>
      </c>
      <c r="M1025" s="4" t="s">
        <v>3561</v>
      </c>
      <c r="N1025" t="s">
        <v>3567</v>
      </c>
      <c r="O1025">
        <v>16</v>
      </c>
      <c r="P1025" s="4" t="s">
        <v>3573</v>
      </c>
      <c r="Q1025" t="s">
        <v>3573</v>
      </c>
    </row>
    <row r="1026" spans="1:17">
      <c r="A1026" t="s">
        <v>838</v>
      </c>
      <c r="B1026" t="s">
        <v>840</v>
      </c>
      <c r="C1026" t="s">
        <v>3268</v>
      </c>
      <c r="D1026" t="s">
        <v>3552</v>
      </c>
      <c r="E1026">
        <v>25</v>
      </c>
      <c r="F1026" s="4" t="s">
        <v>3555</v>
      </c>
      <c r="G1026" s="4">
        <v>0</v>
      </c>
      <c r="H1026">
        <v>0</v>
      </c>
      <c r="I1026">
        <v>348123</v>
      </c>
      <c r="J1026" s="6">
        <v>7.65</v>
      </c>
      <c r="K1026" s="4" t="str">
        <f t="shared" si="15"/>
        <v>Low</v>
      </c>
      <c r="L1026" t="s">
        <v>781</v>
      </c>
      <c r="M1026" s="4" t="s">
        <v>586</v>
      </c>
      <c r="N1026" t="s">
        <v>457</v>
      </c>
      <c r="O1026" t="s">
        <v>3569</v>
      </c>
      <c r="P1026" s="4">
        <v>309</v>
      </c>
      <c r="Q1026" t="s">
        <v>3574</v>
      </c>
    </row>
    <row r="1027" spans="1:17">
      <c r="A1027" t="s">
        <v>838</v>
      </c>
      <c r="B1027" t="s">
        <v>9</v>
      </c>
      <c r="C1027" t="s">
        <v>3269</v>
      </c>
      <c r="D1027" t="s">
        <v>3552</v>
      </c>
      <c r="E1027">
        <v>6</v>
      </c>
      <c r="F1027" s="4" t="s">
        <v>3556</v>
      </c>
      <c r="G1027" s="4">
        <v>1</v>
      </c>
      <c r="H1027">
        <v>0</v>
      </c>
      <c r="I1027">
        <v>392096</v>
      </c>
      <c r="J1027" s="6">
        <v>12.475</v>
      </c>
      <c r="K1027" s="4" t="str">
        <f t="shared" ref="K1027:K1090" si="16">IF(J1027&lt;=10,"Low",IF(J1027&lt;=50,"Mid","High"))</f>
        <v>Mid</v>
      </c>
      <c r="L1027" t="s">
        <v>782</v>
      </c>
      <c r="M1027" s="4" t="s">
        <v>3564</v>
      </c>
      <c r="N1027" t="s">
        <v>457</v>
      </c>
      <c r="O1027">
        <v>14</v>
      </c>
      <c r="P1027" s="4" t="s">
        <v>3573</v>
      </c>
      <c r="Q1027" t="s">
        <v>3573</v>
      </c>
    </row>
    <row r="1028" spans="1:17">
      <c r="A1028" t="s">
        <v>838</v>
      </c>
      <c r="B1028" t="s">
        <v>9</v>
      </c>
      <c r="C1028" t="s">
        <v>3270</v>
      </c>
      <c r="D1028" t="s">
        <v>3551</v>
      </c>
      <c r="E1028">
        <v>27</v>
      </c>
      <c r="F1028" s="4" t="s">
        <v>3555</v>
      </c>
      <c r="G1028" s="4">
        <v>1</v>
      </c>
      <c r="H1028">
        <v>0</v>
      </c>
      <c r="I1028">
        <v>392096</v>
      </c>
      <c r="J1028" s="6">
        <v>12.475</v>
      </c>
      <c r="K1028" s="4" t="str">
        <f t="shared" si="16"/>
        <v>Mid</v>
      </c>
      <c r="L1028" t="s">
        <v>782</v>
      </c>
      <c r="M1028" s="4" t="s">
        <v>3564</v>
      </c>
      <c r="N1028" t="s">
        <v>457</v>
      </c>
      <c r="O1028">
        <v>14</v>
      </c>
      <c r="P1028" s="4" t="s">
        <v>3573</v>
      </c>
      <c r="Q1028" t="s">
        <v>3573</v>
      </c>
    </row>
    <row r="1029" spans="1:17">
      <c r="A1029" t="s">
        <v>838</v>
      </c>
      <c r="B1029" t="s">
        <v>840</v>
      </c>
      <c r="C1029" t="s">
        <v>3271</v>
      </c>
      <c r="D1029" t="s">
        <v>3552</v>
      </c>
      <c r="E1029">
        <v>28</v>
      </c>
      <c r="F1029" s="4" t="s">
        <v>3555</v>
      </c>
      <c r="G1029" s="4">
        <v>0</v>
      </c>
      <c r="H1029">
        <v>0</v>
      </c>
      <c r="I1029" t="s">
        <v>783</v>
      </c>
      <c r="J1029" s="6">
        <v>8.0500000000000007</v>
      </c>
      <c r="K1029" s="4" t="str">
        <f t="shared" si="16"/>
        <v>Low</v>
      </c>
      <c r="L1029" t="s">
        <v>3561</v>
      </c>
      <c r="M1029" s="4" t="s">
        <v>3561</v>
      </c>
      <c r="N1029" t="s">
        <v>457</v>
      </c>
      <c r="O1029" t="s">
        <v>3569</v>
      </c>
      <c r="P1029" s="4" t="s">
        <v>3573</v>
      </c>
      <c r="Q1029" t="s">
        <v>3573</v>
      </c>
    </row>
    <row r="1030" spans="1:17">
      <c r="A1030" t="s">
        <v>838</v>
      </c>
      <c r="B1030" t="s">
        <v>9</v>
      </c>
      <c r="C1030" t="s">
        <v>3272</v>
      </c>
      <c r="D1030" t="s">
        <v>3551</v>
      </c>
      <c r="E1030">
        <v>28</v>
      </c>
      <c r="F1030" s="4" t="s">
        <v>3555</v>
      </c>
      <c r="G1030" s="4">
        <v>0</v>
      </c>
      <c r="H1030">
        <v>1</v>
      </c>
      <c r="I1030">
        <v>371110</v>
      </c>
      <c r="J1030" s="6">
        <v>24.15</v>
      </c>
      <c r="K1030" s="4" t="str">
        <f t="shared" si="16"/>
        <v>Mid</v>
      </c>
      <c r="L1030" t="s">
        <v>3561</v>
      </c>
      <c r="M1030" s="4" t="s">
        <v>3561</v>
      </c>
      <c r="N1030" t="s">
        <v>3567</v>
      </c>
      <c r="O1030">
        <v>16</v>
      </c>
      <c r="P1030" s="4" t="s">
        <v>3573</v>
      </c>
      <c r="Q1030" t="s">
        <v>3573</v>
      </c>
    </row>
    <row r="1031" spans="1:17">
      <c r="A1031" t="s">
        <v>838</v>
      </c>
      <c r="B1031" t="s">
        <v>840</v>
      </c>
      <c r="C1031" t="s">
        <v>3273</v>
      </c>
      <c r="D1031" t="s">
        <v>3552</v>
      </c>
      <c r="E1031">
        <v>28</v>
      </c>
      <c r="F1031" s="4" t="s">
        <v>3555</v>
      </c>
      <c r="G1031" s="4">
        <v>0</v>
      </c>
      <c r="H1031">
        <v>1</v>
      </c>
      <c r="I1031">
        <v>371110</v>
      </c>
      <c r="J1031" s="6">
        <v>24.15</v>
      </c>
      <c r="K1031" s="4" t="str">
        <f t="shared" si="16"/>
        <v>Mid</v>
      </c>
      <c r="L1031" t="s">
        <v>3561</v>
      </c>
      <c r="M1031" s="4" t="s">
        <v>3561</v>
      </c>
      <c r="N1031" t="s">
        <v>3567</v>
      </c>
      <c r="O1031" t="s">
        <v>3569</v>
      </c>
      <c r="P1031" s="4" t="s">
        <v>3573</v>
      </c>
      <c r="Q1031" t="s">
        <v>3573</v>
      </c>
    </row>
    <row r="1032" spans="1:17">
      <c r="A1032" t="s">
        <v>838</v>
      </c>
      <c r="B1032" t="s">
        <v>840</v>
      </c>
      <c r="C1032" t="s">
        <v>3274</v>
      </c>
      <c r="D1032" t="s">
        <v>3552</v>
      </c>
      <c r="E1032">
        <v>28</v>
      </c>
      <c r="F1032" s="4" t="s">
        <v>3555</v>
      </c>
      <c r="G1032" s="4">
        <v>0</v>
      </c>
      <c r="H1032">
        <v>0</v>
      </c>
      <c r="I1032">
        <v>330877</v>
      </c>
      <c r="J1032" s="6">
        <v>8.4582999999999995</v>
      </c>
      <c r="K1032" s="4" t="str">
        <f t="shared" si="16"/>
        <v>Low</v>
      </c>
      <c r="L1032" t="s">
        <v>3561</v>
      </c>
      <c r="M1032" s="4" t="s">
        <v>3561</v>
      </c>
      <c r="N1032" t="s">
        <v>3567</v>
      </c>
      <c r="O1032" t="s">
        <v>3569</v>
      </c>
      <c r="P1032" s="4" t="s">
        <v>3573</v>
      </c>
      <c r="Q1032" t="s">
        <v>3573</v>
      </c>
    </row>
    <row r="1033" spans="1:17">
      <c r="A1033" t="s">
        <v>838</v>
      </c>
      <c r="B1033" t="s">
        <v>840</v>
      </c>
      <c r="C1033" t="s">
        <v>3275</v>
      </c>
      <c r="D1033" t="s">
        <v>3552</v>
      </c>
      <c r="E1033">
        <v>34</v>
      </c>
      <c r="F1033" s="4" t="s">
        <v>3557</v>
      </c>
      <c r="G1033" s="4">
        <v>0</v>
      </c>
      <c r="H1033">
        <v>0</v>
      </c>
      <c r="I1033">
        <v>364506</v>
      </c>
      <c r="J1033" s="6">
        <v>8.0500000000000007</v>
      </c>
      <c r="K1033" s="4" t="str">
        <f t="shared" si="16"/>
        <v>Low</v>
      </c>
      <c r="L1033" t="s">
        <v>3561</v>
      </c>
      <c r="M1033" s="4" t="s">
        <v>3561</v>
      </c>
      <c r="N1033" t="s">
        <v>457</v>
      </c>
      <c r="O1033" t="s">
        <v>3569</v>
      </c>
      <c r="P1033" s="4" t="s">
        <v>3573</v>
      </c>
      <c r="Q1033" t="s">
        <v>3573</v>
      </c>
    </row>
    <row r="1034" spans="1:17">
      <c r="A1034" t="s">
        <v>838</v>
      </c>
      <c r="B1034" t="s">
        <v>840</v>
      </c>
      <c r="C1034" t="s">
        <v>3276</v>
      </c>
      <c r="D1034" t="s">
        <v>3552</v>
      </c>
      <c r="E1034">
        <v>28</v>
      </c>
      <c r="F1034" s="4" t="s">
        <v>3555</v>
      </c>
      <c r="G1034" s="4">
        <v>0</v>
      </c>
      <c r="H1034">
        <v>0</v>
      </c>
      <c r="I1034">
        <v>372622</v>
      </c>
      <c r="J1034" s="6">
        <v>7.75</v>
      </c>
      <c r="K1034" s="4" t="str">
        <f t="shared" si="16"/>
        <v>Low</v>
      </c>
      <c r="L1034" t="s">
        <v>3561</v>
      </c>
      <c r="M1034" s="4" t="s">
        <v>3561</v>
      </c>
      <c r="N1034" t="s">
        <v>3567</v>
      </c>
      <c r="O1034" t="s">
        <v>3569</v>
      </c>
      <c r="P1034" s="4" t="s">
        <v>3573</v>
      </c>
      <c r="Q1034" t="s">
        <v>3573</v>
      </c>
    </row>
    <row r="1035" spans="1:17">
      <c r="A1035" t="s">
        <v>838</v>
      </c>
      <c r="B1035" t="s">
        <v>9</v>
      </c>
      <c r="C1035" t="s">
        <v>3277</v>
      </c>
      <c r="D1035" t="s">
        <v>3552</v>
      </c>
      <c r="E1035">
        <v>28</v>
      </c>
      <c r="F1035" s="4" t="s">
        <v>3555</v>
      </c>
      <c r="G1035" s="4">
        <v>0</v>
      </c>
      <c r="H1035">
        <v>0</v>
      </c>
      <c r="I1035">
        <v>312991</v>
      </c>
      <c r="J1035" s="6">
        <v>7.7750000000000004</v>
      </c>
      <c r="K1035" s="4" t="str">
        <f t="shared" si="16"/>
        <v>Low</v>
      </c>
      <c r="L1035" t="s">
        <v>3561</v>
      </c>
      <c r="M1035" s="4" t="s">
        <v>3561</v>
      </c>
      <c r="N1035" t="s">
        <v>457</v>
      </c>
      <c r="O1035" t="s">
        <v>70</v>
      </c>
      <c r="P1035" s="4" t="s">
        <v>3573</v>
      </c>
      <c r="Q1035" t="s">
        <v>3573</v>
      </c>
    </row>
    <row r="1036" spans="1:17">
      <c r="A1036" t="s">
        <v>838</v>
      </c>
      <c r="B1036" t="s">
        <v>9</v>
      </c>
      <c r="C1036" t="s">
        <v>3278</v>
      </c>
      <c r="D1036" t="s">
        <v>3552</v>
      </c>
      <c r="E1036">
        <v>28</v>
      </c>
      <c r="F1036" s="4" t="s">
        <v>3555</v>
      </c>
      <c r="G1036" s="4">
        <v>1</v>
      </c>
      <c r="H1036">
        <v>1</v>
      </c>
      <c r="I1036">
        <v>2661</v>
      </c>
      <c r="J1036" s="6">
        <v>15.245799999999999</v>
      </c>
      <c r="K1036" s="4" t="str">
        <f t="shared" si="16"/>
        <v>Mid</v>
      </c>
      <c r="L1036" t="s">
        <v>3561</v>
      </c>
      <c r="M1036" s="4" t="s">
        <v>3561</v>
      </c>
      <c r="N1036" t="s">
        <v>3566</v>
      </c>
      <c r="O1036" t="s">
        <v>62</v>
      </c>
      <c r="P1036" s="4" t="s">
        <v>3573</v>
      </c>
      <c r="Q1036" t="s">
        <v>3573</v>
      </c>
    </row>
    <row r="1037" spans="1:17">
      <c r="A1037" t="s">
        <v>838</v>
      </c>
      <c r="B1037" t="s">
        <v>9</v>
      </c>
      <c r="C1037" t="s">
        <v>3279</v>
      </c>
      <c r="D1037" t="s">
        <v>3552</v>
      </c>
      <c r="E1037">
        <v>28</v>
      </c>
      <c r="F1037" s="4" t="s">
        <v>3555</v>
      </c>
      <c r="G1037" s="4">
        <v>1</v>
      </c>
      <c r="H1037">
        <v>1</v>
      </c>
      <c r="I1037">
        <v>2661</v>
      </c>
      <c r="J1037" s="6">
        <v>15.245799999999999</v>
      </c>
      <c r="K1037" s="4" t="str">
        <f t="shared" si="16"/>
        <v>Mid</v>
      </c>
      <c r="L1037" t="s">
        <v>3561</v>
      </c>
      <c r="M1037" s="4" t="s">
        <v>3561</v>
      </c>
      <c r="N1037" t="s">
        <v>3566</v>
      </c>
      <c r="O1037" t="s">
        <v>62</v>
      </c>
      <c r="P1037" s="4" t="s">
        <v>3573</v>
      </c>
      <c r="Q1037" t="s">
        <v>3573</v>
      </c>
    </row>
    <row r="1038" spans="1:17">
      <c r="A1038" t="s">
        <v>838</v>
      </c>
      <c r="B1038" t="s">
        <v>9</v>
      </c>
      <c r="C1038" t="s">
        <v>3280</v>
      </c>
      <c r="D1038" t="s">
        <v>3551</v>
      </c>
      <c r="E1038">
        <v>28</v>
      </c>
      <c r="F1038" s="4" t="s">
        <v>3555</v>
      </c>
      <c r="G1038" s="4">
        <v>2</v>
      </c>
      <c r="H1038">
        <v>0</v>
      </c>
      <c r="I1038">
        <v>2661</v>
      </c>
      <c r="J1038" s="6">
        <v>15.245799999999999</v>
      </c>
      <c r="K1038" s="4" t="str">
        <f t="shared" si="16"/>
        <v>Mid</v>
      </c>
      <c r="L1038" t="s">
        <v>3561</v>
      </c>
      <c r="M1038" s="4" t="s">
        <v>3561</v>
      </c>
      <c r="N1038" t="s">
        <v>3566</v>
      </c>
      <c r="O1038" t="s">
        <v>62</v>
      </c>
      <c r="P1038" s="4" t="s">
        <v>3573</v>
      </c>
      <c r="Q1038" t="s">
        <v>3573</v>
      </c>
    </row>
    <row r="1039" spans="1:17">
      <c r="A1039" t="s">
        <v>838</v>
      </c>
      <c r="B1039" t="s">
        <v>9</v>
      </c>
      <c r="C1039" t="s">
        <v>3281</v>
      </c>
      <c r="D1039" t="s">
        <v>3551</v>
      </c>
      <c r="E1039">
        <v>28</v>
      </c>
      <c r="F1039" s="4" t="s">
        <v>3555</v>
      </c>
      <c r="G1039" s="4">
        <v>0</v>
      </c>
      <c r="H1039">
        <v>0</v>
      </c>
      <c r="I1039">
        <v>2626</v>
      </c>
      <c r="J1039" s="6">
        <v>7.2291999999999996</v>
      </c>
      <c r="K1039" s="4" t="str">
        <f t="shared" si="16"/>
        <v>Low</v>
      </c>
      <c r="L1039" t="s">
        <v>3561</v>
      </c>
      <c r="M1039" s="4" t="s">
        <v>3561</v>
      </c>
      <c r="N1039" t="s">
        <v>3566</v>
      </c>
      <c r="O1039" t="s">
        <v>3569</v>
      </c>
      <c r="P1039" s="4" t="s">
        <v>3573</v>
      </c>
      <c r="Q1039" t="s">
        <v>3573</v>
      </c>
    </row>
    <row r="1040" spans="1:17">
      <c r="A1040" t="s">
        <v>838</v>
      </c>
      <c r="B1040" t="s">
        <v>840</v>
      </c>
      <c r="C1040" t="s">
        <v>3282</v>
      </c>
      <c r="D1040" t="s">
        <v>3552</v>
      </c>
      <c r="E1040">
        <v>28</v>
      </c>
      <c r="F1040" s="4" t="s">
        <v>3555</v>
      </c>
      <c r="G1040" s="4">
        <v>0</v>
      </c>
      <c r="H1040">
        <v>0</v>
      </c>
      <c r="I1040">
        <v>374746</v>
      </c>
      <c r="J1040" s="6">
        <v>8.0500000000000007</v>
      </c>
      <c r="K1040" s="4" t="str">
        <f t="shared" si="16"/>
        <v>Low</v>
      </c>
      <c r="L1040" t="s">
        <v>3561</v>
      </c>
      <c r="M1040" s="4" t="s">
        <v>3561</v>
      </c>
      <c r="N1040" t="s">
        <v>457</v>
      </c>
      <c r="O1040" t="s">
        <v>3569</v>
      </c>
      <c r="P1040" s="4" t="s">
        <v>3573</v>
      </c>
      <c r="Q1040" t="s">
        <v>3573</v>
      </c>
    </row>
    <row r="1041" spans="1:17">
      <c r="A1041" t="s">
        <v>838</v>
      </c>
      <c r="B1041" t="s">
        <v>9</v>
      </c>
      <c r="C1041" t="s">
        <v>3283</v>
      </c>
      <c r="D1041" t="s">
        <v>3551</v>
      </c>
      <c r="E1041">
        <v>28</v>
      </c>
      <c r="F1041" s="4" t="s">
        <v>3555</v>
      </c>
      <c r="G1041" s="4">
        <v>0</v>
      </c>
      <c r="H1041">
        <v>0</v>
      </c>
      <c r="I1041">
        <v>35852</v>
      </c>
      <c r="J1041" s="6">
        <v>7.7332999999999998</v>
      </c>
      <c r="K1041" s="4" t="str">
        <f t="shared" si="16"/>
        <v>Low</v>
      </c>
      <c r="L1041" t="s">
        <v>3561</v>
      </c>
      <c r="M1041" s="4" t="s">
        <v>3561</v>
      </c>
      <c r="N1041" t="s">
        <v>3567</v>
      </c>
      <c r="O1041">
        <v>16</v>
      </c>
      <c r="P1041" s="4" t="s">
        <v>3573</v>
      </c>
      <c r="Q1041" t="s">
        <v>3573</v>
      </c>
    </row>
    <row r="1042" spans="1:17">
      <c r="A1042" t="s">
        <v>838</v>
      </c>
      <c r="B1042" t="s">
        <v>9</v>
      </c>
      <c r="C1042" t="s">
        <v>3284</v>
      </c>
      <c r="D1042" t="s">
        <v>3551</v>
      </c>
      <c r="E1042">
        <v>24</v>
      </c>
      <c r="F1042" s="4" t="s">
        <v>3555</v>
      </c>
      <c r="G1042" s="4">
        <v>0</v>
      </c>
      <c r="H1042">
        <v>0</v>
      </c>
      <c r="I1042">
        <v>382653</v>
      </c>
      <c r="J1042" s="6">
        <v>7.75</v>
      </c>
      <c r="K1042" s="4" t="str">
        <f t="shared" si="16"/>
        <v>Low</v>
      </c>
      <c r="L1042" t="s">
        <v>3561</v>
      </c>
      <c r="M1042" s="4" t="s">
        <v>3561</v>
      </c>
      <c r="N1042" t="s">
        <v>3567</v>
      </c>
      <c r="O1042">
        <v>15</v>
      </c>
      <c r="P1042" s="4" t="s">
        <v>3573</v>
      </c>
      <c r="Q1042" t="s">
        <v>3573</v>
      </c>
    </row>
    <row r="1043" spans="1:17">
      <c r="A1043" t="s">
        <v>838</v>
      </c>
      <c r="B1043" t="s">
        <v>840</v>
      </c>
      <c r="C1043" t="s">
        <v>3285</v>
      </c>
      <c r="D1043" t="s">
        <v>3552</v>
      </c>
      <c r="E1043">
        <v>28</v>
      </c>
      <c r="F1043" s="4" t="s">
        <v>3555</v>
      </c>
      <c r="G1043" s="4">
        <v>0</v>
      </c>
      <c r="H1043">
        <v>0</v>
      </c>
      <c r="I1043" t="s">
        <v>784</v>
      </c>
      <c r="J1043" s="6">
        <v>8.0500000000000007</v>
      </c>
      <c r="K1043" s="4" t="str">
        <f t="shared" si="16"/>
        <v>Low</v>
      </c>
      <c r="L1043" t="s">
        <v>3561</v>
      </c>
      <c r="M1043" s="4" t="s">
        <v>3561</v>
      </c>
      <c r="N1043" t="s">
        <v>457</v>
      </c>
      <c r="O1043" t="s">
        <v>3569</v>
      </c>
      <c r="P1043" s="4" t="s">
        <v>3573</v>
      </c>
      <c r="Q1043" t="s">
        <v>3573</v>
      </c>
    </row>
    <row r="1044" spans="1:17">
      <c r="A1044" t="s">
        <v>838</v>
      </c>
      <c r="B1044" t="s">
        <v>9</v>
      </c>
      <c r="C1044" t="s">
        <v>3286</v>
      </c>
      <c r="D1044" t="s">
        <v>3551</v>
      </c>
      <c r="E1044">
        <v>28</v>
      </c>
      <c r="F1044" s="4" t="s">
        <v>3555</v>
      </c>
      <c r="G1044" s="4">
        <v>0</v>
      </c>
      <c r="H1044">
        <v>1</v>
      </c>
      <c r="I1044">
        <v>367230</v>
      </c>
      <c r="J1044" s="6">
        <v>15.5</v>
      </c>
      <c r="K1044" s="4" t="str">
        <f t="shared" si="16"/>
        <v>Mid</v>
      </c>
      <c r="L1044" t="s">
        <v>3561</v>
      </c>
      <c r="M1044" s="4" t="s">
        <v>3561</v>
      </c>
      <c r="N1044" t="s">
        <v>3567</v>
      </c>
      <c r="O1044">
        <v>16</v>
      </c>
      <c r="P1044" s="4" t="s">
        <v>3573</v>
      </c>
      <c r="Q1044" t="s">
        <v>3573</v>
      </c>
    </row>
    <row r="1045" spans="1:17">
      <c r="A1045" t="s">
        <v>838</v>
      </c>
      <c r="B1045" t="s">
        <v>9</v>
      </c>
      <c r="C1045" t="s">
        <v>3287</v>
      </c>
      <c r="D1045" t="s">
        <v>3551</v>
      </c>
      <c r="E1045">
        <v>28</v>
      </c>
      <c r="F1045" s="4" t="s">
        <v>3555</v>
      </c>
      <c r="G1045" s="4">
        <v>0</v>
      </c>
      <c r="H1045">
        <v>1</v>
      </c>
      <c r="I1045">
        <v>367230</v>
      </c>
      <c r="J1045" s="6">
        <v>15.5</v>
      </c>
      <c r="K1045" s="4" t="str">
        <f t="shared" si="16"/>
        <v>Mid</v>
      </c>
      <c r="L1045" t="s">
        <v>3561</v>
      </c>
      <c r="M1045" s="4" t="s">
        <v>3561</v>
      </c>
      <c r="N1045" t="s">
        <v>3567</v>
      </c>
      <c r="O1045">
        <v>16</v>
      </c>
      <c r="P1045" s="4" t="s">
        <v>3573</v>
      </c>
      <c r="Q1045" t="s">
        <v>3573</v>
      </c>
    </row>
    <row r="1046" spans="1:17">
      <c r="A1046" t="s">
        <v>838</v>
      </c>
      <c r="B1046" t="s">
        <v>9</v>
      </c>
      <c r="C1046" t="s">
        <v>3288</v>
      </c>
      <c r="D1046" t="s">
        <v>3551</v>
      </c>
      <c r="E1046">
        <v>28</v>
      </c>
      <c r="F1046" s="4" t="s">
        <v>3555</v>
      </c>
      <c r="G1046" s="4">
        <v>0</v>
      </c>
      <c r="H1046">
        <v>0</v>
      </c>
      <c r="I1046">
        <v>36568</v>
      </c>
      <c r="J1046" s="6">
        <v>15.5</v>
      </c>
      <c r="K1046" s="4" t="str">
        <f t="shared" si="16"/>
        <v>Mid</v>
      </c>
      <c r="L1046" t="s">
        <v>3561</v>
      </c>
      <c r="M1046" s="4" t="s">
        <v>3561</v>
      </c>
      <c r="N1046" t="s">
        <v>3567</v>
      </c>
      <c r="O1046">
        <v>16</v>
      </c>
      <c r="P1046" s="4" t="s">
        <v>3573</v>
      </c>
      <c r="Q1046" t="s">
        <v>3573</v>
      </c>
    </row>
    <row r="1047" spans="1:17">
      <c r="A1047" t="s">
        <v>838</v>
      </c>
      <c r="B1047" t="s">
        <v>840</v>
      </c>
      <c r="C1047" t="s">
        <v>3289</v>
      </c>
      <c r="D1047" t="s">
        <v>3552</v>
      </c>
      <c r="E1047">
        <v>18</v>
      </c>
      <c r="F1047" s="4" t="s">
        <v>3555</v>
      </c>
      <c r="G1047" s="4">
        <v>0</v>
      </c>
      <c r="H1047">
        <v>0</v>
      </c>
      <c r="I1047">
        <v>347078</v>
      </c>
      <c r="J1047" s="6">
        <v>7.75</v>
      </c>
      <c r="K1047" s="4" t="str">
        <f t="shared" si="16"/>
        <v>Low</v>
      </c>
      <c r="L1047" t="s">
        <v>3561</v>
      </c>
      <c r="M1047" s="4" t="s">
        <v>3561</v>
      </c>
      <c r="N1047" t="s">
        <v>457</v>
      </c>
      <c r="O1047" t="s">
        <v>3569</v>
      </c>
      <c r="P1047" s="4" t="s">
        <v>3573</v>
      </c>
      <c r="Q1047" t="s">
        <v>3573</v>
      </c>
    </row>
    <row r="1048" spans="1:17">
      <c r="A1048" t="s">
        <v>838</v>
      </c>
      <c r="B1048" t="s">
        <v>840</v>
      </c>
      <c r="C1048" t="s">
        <v>3290</v>
      </c>
      <c r="D1048" t="s">
        <v>3552</v>
      </c>
      <c r="E1048">
        <v>22</v>
      </c>
      <c r="F1048" s="4" t="s">
        <v>3555</v>
      </c>
      <c r="G1048" s="4">
        <v>0</v>
      </c>
      <c r="H1048">
        <v>0</v>
      </c>
      <c r="I1048">
        <v>349206</v>
      </c>
      <c r="J1048" s="6">
        <v>7.8958000000000004</v>
      </c>
      <c r="K1048" s="4" t="str">
        <f t="shared" si="16"/>
        <v>Low</v>
      </c>
      <c r="L1048" t="s">
        <v>3561</v>
      </c>
      <c r="M1048" s="4" t="s">
        <v>3561</v>
      </c>
      <c r="N1048" t="s">
        <v>457</v>
      </c>
      <c r="O1048" t="s">
        <v>3569</v>
      </c>
      <c r="P1048" s="4" t="s">
        <v>3573</v>
      </c>
      <c r="Q1048" t="s">
        <v>3573</v>
      </c>
    </row>
    <row r="1049" spans="1:17">
      <c r="A1049" t="s">
        <v>838</v>
      </c>
      <c r="B1049" t="s">
        <v>9</v>
      </c>
      <c r="C1049" t="s">
        <v>3291</v>
      </c>
      <c r="D1049" t="s">
        <v>3551</v>
      </c>
      <c r="E1049">
        <v>15</v>
      </c>
      <c r="F1049" s="4" t="s">
        <v>3560</v>
      </c>
      <c r="G1049" s="4">
        <v>0</v>
      </c>
      <c r="H1049">
        <v>0</v>
      </c>
      <c r="I1049">
        <v>2667</v>
      </c>
      <c r="J1049" s="6">
        <v>7.2249999999999996</v>
      </c>
      <c r="K1049" s="4" t="str">
        <f t="shared" si="16"/>
        <v>Low</v>
      </c>
      <c r="L1049" t="s">
        <v>3561</v>
      </c>
      <c r="M1049" s="4" t="s">
        <v>3561</v>
      </c>
      <c r="N1049" t="s">
        <v>3566</v>
      </c>
      <c r="O1049" t="s">
        <v>62</v>
      </c>
      <c r="P1049" s="4" t="s">
        <v>3573</v>
      </c>
      <c r="Q1049" t="s">
        <v>3573</v>
      </c>
    </row>
    <row r="1050" spans="1:17">
      <c r="A1050" t="s">
        <v>838</v>
      </c>
      <c r="B1050" t="s">
        <v>9</v>
      </c>
      <c r="C1050" t="s">
        <v>3292</v>
      </c>
      <c r="D1050" t="s">
        <v>3551</v>
      </c>
      <c r="E1050">
        <v>1</v>
      </c>
      <c r="F1050" s="4" t="s">
        <v>3556</v>
      </c>
      <c r="G1050" s="4">
        <v>2</v>
      </c>
      <c r="H1050">
        <v>0</v>
      </c>
      <c r="I1050">
        <v>2653</v>
      </c>
      <c r="J1050" s="6">
        <v>15.7417</v>
      </c>
      <c r="K1050" s="4" t="str">
        <f t="shared" si="16"/>
        <v>Mid</v>
      </c>
      <c r="L1050" t="s">
        <v>3561</v>
      </c>
      <c r="M1050" s="4" t="s">
        <v>3561</v>
      </c>
      <c r="N1050" t="s">
        <v>3566</v>
      </c>
      <c r="O1050" t="s">
        <v>62</v>
      </c>
      <c r="P1050" s="4" t="s">
        <v>3573</v>
      </c>
      <c r="Q1050" t="s">
        <v>3573</v>
      </c>
    </row>
    <row r="1051" spans="1:17">
      <c r="A1051" t="s">
        <v>838</v>
      </c>
      <c r="B1051" t="s">
        <v>9</v>
      </c>
      <c r="C1051" t="s">
        <v>3293</v>
      </c>
      <c r="D1051" t="s">
        <v>3552</v>
      </c>
      <c r="E1051">
        <v>20</v>
      </c>
      <c r="F1051" s="4" t="s">
        <v>3555</v>
      </c>
      <c r="G1051" s="4">
        <v>1</v>
      </c>
      <c r="H1051">
        <v>1</v>
      </c>
      <c r="I1051">
        <v>2653</v>
      </c>
      <c r="J1051" s="6">
        <v>15.7417</v>
      </c>
      <c r="K1051" s="4" t="str">
        <f t="shared" si="16"/>
        <v>Mid</v>
      </c>
      <c r="L1051" t="s">
        <v>3561</v>
      </c>
      <c r="M1051" s="4" t="s">
        <v>3561</v>
      </c>
      <c r="N1051" t="s">
        <v>3566</v>
      </c>
      <c r="O1051" t="s">
        <v>62</v>
      </c>
      <c r="P1051" s="4" t="s">
        <v>3573</v>
      </c>
      <c r="Q1051" t="s">
        <v>3573</v>
      </c>
    </row>
    <row r="1052" spans="1:17">
      <c r="A1052" t="s">
        <v>838</v>
      </c>
      <c r="B1052" t="s">
        <v>9</v>
      </c>
      <c r="C1052" t="s">
        <v>3294</v>
      </c>
      <c r="D1052" t="s">
        <v>3551</v>
      </c>
      <c r="E1052">
        <v>19</v>
      </c>
      <c r="F1052" s="4" t="s">
        <v>3555</v>
      </c>
      <c r="G1052" s="4">
        <v>1</v>
      </c>
      <c r="H1052">
        <v>1</v>
      </c>
      <c r="I1052">
        <v>2653</v>
      </c>
      <c r="J1052" s="6">
        <v>15.7417</v>
      </c>
      <c r="K1052" s="4" t="str">
        <f t="shared" si="16"/>
        <v>Mid</v>
      </c>
      <c r="L1052" t="s">
        <v>3561</v>
      </c>
      <c r="M1052" s="4" t="s">
        <v>3561</v>
      </c>
      <c r="N1052" t="s">
        <v>3566</v>
      </c>
      <c r="O1052" t="s">
        <v>62</v>
      </c>
      <c r="P1052" s="4" t="s">
        <v>3573</v>
      </c>
      <c r="Q1052" t="s">
        <v>3573</v>
      </c>
    </row>
    <row r="1053" spans="1:17">
      <c r="A1053" t="s">
        <v>838</v>
      </c>
      <c r="B1053" t="s">
        <v>840</v>
      </c>
      <c r="C1053" t="s">
        <v>3295</v>
      </c>
      <c r="D1053" t="s">
        <v>3552</v>
      </c>
      <c r="E1053">
        <v>33</v>
      </c>
      <c r="F1053" s="4" t="s">
        <v>3557</v>
      </c>
      <c r="G1053" s="4">
        <v>0</v>
      </c>
      <c r="H1053">
        <v>0</v>
      </c>
      <c r="I1053" t="s">
        <v>785</v>
      </c>
      <c r="J1053" s="6">
        <v>8.0500000000000007</v>
      </c>
      <c r="K1053" s="4" t="str">
        <f t="shared" si="16"/>
        <v>Low</v>
      </c>
      <c r="L1053" t="s">
        <v>3561</v>
      </c>
      <c r="M1053" s="4" t="s">
        <v>3561</v>
      </c>
      <c r="N1053" t="s">
        <v>457</v>
      </c>
      <c r="O1053" t="s">
        <v>3569</v>
      </c>
      <c r="P1053" s="4" t="s">
        <v>3573</v>
      </c>
      <c r="Q1053" t="s">
        <v>3573</v>
      </c>
    </row>
    <row r="1054" spans="1:17">
      <c r="A1054" t="s">
        <v>838</v>
      </c>
      <c r="B1054" t="s">
        <v>840</v>
      </c>
      <c r="C1054" t="s">
        <v>3296</v>
      </c>
      <c r="D1054" t="s">
        <v>3552</v>
      </c>
      <c r="E1054">
        <v>28</v>
      </c>
      <c r="F1054" s="4" t="s">
        <v>3555</v>
      </c>
      <c r="G1054" s="4">
        <v>0</v>
      </c>
      <c r="H1054">
        <v>0</v>
      </c>
      <c r="I1054">
        <v>349218</v>
      </c>
      <c r="J1054" s="6">
        <v>7.8958000000000004</v>
      </c>
      <c r="K1054" s="4" t="str">
        <f t="shared" si="16"/>
        <v>Low</v>
      </c>
      <c r="L1054" t="s">
        <v>3561</v>
      </c>
      <c r="M1054" s="4" t="s">
        <v>3561</v>
      </c>
      <c r="N1054" t="s">
        <v>457</v>
      </c>
      <c r="O1054" t="s">
        <v>3569</v>
      </c>
      <c r="P1054" s="4" t="s">
        <v>3573</v>
      </c>
      <c r="Q1054" t="s">
        <v>3573</v>
      </c>
    </row>
    <row r="1055" spans="1:17">
      <c r="A1055" t="s">
        <v>838</v>
      </c>
      <c r="B1055" t="s">
        <v>840</v>
      </c>
      <c r="C1055" t="s">
        <v>3297</v>
      </c>
      <c r="D1055" t="s">
        <v>3552</v>
      </c>
      <c r="E1055">
        <v>28</v>
      </c>
      <c r="F1055" s="4" t="s">
        <v>3555</v>
      </c>
      <c r="G1055" s="4">
        <v>0</v>
      </c>
      <c r="H1055">
        <v>0</v>
      </c>
      <c r="I1055">
        <v>2652</v>
      </c>
      <c r="J1055" s="6">
        <v>7.2291999999999996</v>
      </c>
      <c r="K1055" s="4" t="str">
        <f t="shared" si="16"/>
        <v>Low</v>
      </c>
      <c r="L1055" t="s">
        <v>3561</v>
      </c>
      <c r="M1055" s="4" t="s">
        <v>3561</v>
      </c>
      <c r="N1055" t="s">
        <v>3566</v>
      </c>
      <c r="O1055" t="s">
        <v>3569</v>
      </c>
      <c r="P1055" s="4" t="s">
        <v>3573</v>
      </c>
      <c r="Q1055" t="s">
        <v>3573</v>
      </c>
    </row>
    <row r="1056" spans="1:17">
      <c r="A1056" t="s">
        <v>838</v>
      </c>
      <c r="B1056" t="s">
        <v>840</v>
      </c>
      <c r="C1056" t="s">
        <v>3298</v>
      </c>
      <c r="D1056" t="s">
        <v>3551</v>
      </c>
      <c r="E1056">
        <v>28</v>
      </c>
      <c r="F1056" s="4" t="s">
        <v>3555</v>
      </c>
      <c r="G1056" s="4">
        <v>0</v>
      </c>
      <c r="H1056">
        <v>0</v>
      </c>
      <c r="I1056">
        <v>365237</v>
      </c>
      <c r="J1056" s="6">
        <v>7.75</v>
      </c>
      <c r="K1056" s="4" t="str">
        <f t="shared" si="16"/>
        <v>Low</v>
      </c>
      <c r="L1056" t="s">
        <v>3561</v>
      </c>
      <c r="M1056" s="4" t="s">
        <v>3561</v>
      </c>
      <c r="N1056" t="s">
        <v>3567</v>
      </c>
      <c r="O1056" t="s">
        <v>3569</v>
      </c>
      <c r="P1056" s="4" t="s">
        <v>3573</v>
      </c>
      <c r="Q1056" t="s">
        <v>3573</v>
      </c>
    </row>
    <row r="1057" spans="1:18">
      <c r="A1057" t="s">
        <v>838</v>
      </c>
      <c r="B1057" t="s">
        <v>840</v>
      </c>
      <c r="C1057" t="s">
        <v>3299</v>
      </c>
      <c r="D1057" t="s">
        <v>3552</v>
      </c>
      <c r="E1057">
        <v>28</v>
      </c>
      <c r="F1057" s="4" t="s">
        <v>3555</v>
      </c>
      <c r="G1057" s="4">
        <v>0</v>
      </c>
      <c r="H1057">
        <v>0</v>
      </c>
      <c r="I1057">
        <v>349234</v>
      </c>
      <c r="J1057" s="6">
        <v>7.8958000000000004</v>
      </c>
      <c r="K1057" s="4" t="str">
        <f t="shared" si="16"/>
        <v>Low</v>
      </c>
      <c r="L1057" t="s">
        <v>3561</v>
      </c>
      <c r="M1057" s="4" t="s">
        <v>3561</v>
      </c>
      <c r="N1057" t="s">
        <v>457</v>
      </c>
      <c r="O1057" t="s">
        <v>3569</v>
      </c>
      <c r="P1057" s="4" t="s">
        <v>3573</v>
      </c>
      <c r="Q1057" t="s">
        <v>3573</v>
      </c>
    </row>
    <row r="1058" spans="1:18">
      <c r="A1058" t="s">
        <v>838</v>
      </c>
      <c r="B1058" t="s">
        <v>9</v>
      </c>
      <c r="C1058" t="s">
        <v>3300</v>
      </c>
      <c r="D1058" t="s">
        <v>3552</v>
      </c>
      <c r="E1058">
        <v>12</v>
      </c>
      <c r="F1058" s="4" t="s">
        <v>3560</v>
      </c>
      <c r="G1058" s="4">
        <v>0</v>
      </c>
      <c r="H1058">
        <v>1</v>
      </c>
      <c r="I1058">
        <v>2651</v>
      </c>
      <c r="J1058" s="6">
        <v>11.2417</v>
      </c>
      <c r="K1058" s="4" t="str">
        <f t="shared" si="16"/>
        <v>Mid</v>
      </c>
      <c r="L1058" t="s">
        <v>3561</v>
      </c>
      <c r="M1058" s="4" t="s">
        <v>3561</v>
      </c>
      <c r="N1058" t="s">
        <v>3566</v>
      </c>
      <c r="O1058" t="s">
        <v>62</v>
      </c>
      <c r="P1058" s="4" t="s">
        <v>3573</v>
      </c>
      <c r="Q1058" t="s">
        <v>3573</v>
      </c>
    </row>
    <row r="1059" spans="1:18">
      <c r="A1059" t="s">
        <v>838</v>
      </c>
      <c r="B1059" t="s">
        <v>9</v>
      </c>
      <c r="C1059" t="s">
        <v>3301</v>
      </c>
      <c r="D1059" t="s">
        <v>3551</v>
      </c>
      <c r="E1059">
        <v>14</v>
      </c>
      <c r="F1059" s="4" t="s">
        <v>3560</v>
      </c>
      <c r="G1059" s="4">
        <v>0</v>
      </c>
      <c r="H1059">
        <v>1</v>
      </c>
      <c r="I1059">
        <v>2651</v>
      </c>
      <c r="J1059" s="6">
        <v>11.2417</v>
      </c>
      <c r="K1059" s="4" t="str">
        <f t="shared" si="16"/>
        <v>Mid</v>
      </c>
      <c r="L1059" t="s">
        <v>3561</v>
      </c>
      <c r="M1059" s="4" t="s">
        <v>3561</v>
      </c>
      <c r="N1059" t="s">
        <v>3566</v>
      </c>
      <c r="O1059" t="s">
        <v>62</v>
      </c>
      <c r="P1059" s="4" t="s">
        <v>3573</v>
      </c>
      <c r="Q1059" t="s">
        <v>3573</v>
      </c>
    </row>
    <row r="1060" spans="1:18">
      <c r="A1060" t="s">
        <v>838</v>
      </c>
      <c r="B1060" t="s">
        <v>840</v>
      </c>
      <c r="C1060" t="s">
        <v>3302</v>
      </c>
      <c r="D1060" t="s">
        <v>3551</v>
      </c>
      <c r="E1060">
        <v>29</v>
      </c>
      <c r="F1060" s="4" t="s">
        <v>3555</v>
      </c>
      <c r="G1060" s="4">
        <v>0</v>
      </c>
      <c r="H1060">
        <v>0</v>
      </c>
      <c r="I1060">
        <v>3101297</v>
      </c>
      <c r="J1060" s="6">
        <v>7.9249999999999998</v>
      </c>
      <c r="K1060" s="4" t="str">
        <f t="shared" si="16"/>
        <v>Low</v>
      </c>
      <c r="L1060" t="s">
        <v>3561</v>
      </c>
      <c r="M1060" s="4" t="s">
        <v>3561</v>
      </c>
      <c r="N1060" t="s">
        <v>457</v>
      </c>
      <c r="O1060" t="s">
        <v>3569</v>
      </c>
      <c r="P1060" s="4" t="s">
        <v>3573</v>
      </c>
      <c r="Q1060" t="s">
        <v>3573</v>
      </c>
    </row>
    <row r="1061" spans="1:18">
      <c r="A1061" t="s">
        <v>838</v>
      </c>
      <c r="B1061" t="s">
        <v>840</v>
      </c>
      <c r="C1061" t="s">
        <v>3303</v>
      </c>
      <c r="D1061" t="s">
        <v>3552</v>
      </c>
      <c r="E1061">
        <v>28</v>
      </c>
      <c r="F1061" s="4" t="s">
        <v>3555</v>
      </c>
      <c r="G1061" s="4">
        <v>0</v>
      </c>
      <c r="H1061">
        <v>0</v>
      </c>
      <c r="I1061">
        <v>363611</v>
      </c>
      <c r="J1061" s="6">
        <v>8.0500000000000007</v>
      </c>
      <c r="K1061" s="4" t="str">
        <f t="shared" si="16"/>
        <v>Low</v>
      </c>
      <c r="L1061" t="s">
        <v>3561</v>
      </c>
      <c r="M1061" s="4" t="s">
        <v>3561</v>
      </c>
      <c r="N1061" t="s">
        <v>457</v>
      </c>
      <c r="O1061" t="s">
        <v>3569</v>
      </c>
      <c r="P1061" s="4" t="s">
        <v>3573</v>
      </c>
      <c r="Q1061" t="s">
        <v>3573</v>
      </c>
    </row>
    <row r="1062" spans="1:18">
      <c r="A1062" t="s">
        <v>838</v>
      </c>
      <c r="B1062" t="s">
        <v>9</v>
      </c>
      <c r="C1062" t="s">
        <v>3304</v>
      </c>
      <c r="D1062" t="s">
        <v>3551</v>
      </c>
      <c r="E1062">
        <v>18</v>
      </c>
      <c r="F1062" s="4" t="s">
        <v>3555</v>
      </c>
      <c r="G1062" s="4">
        <v>0</v>
      </c>
      <c r="H1062">
        <v>0</v>
      </c>
      <c r="I1062">
        <v>347066</v>
      </c>
      <c r="J1062" s="6">
        <v>7.7750000000000004</v>
      </c>
      <c r="K1062" s="4" t="str">
        <f t="shared" si="16"/>
        <v>Low</v>
      </c>
      <c r="L1062" t="s">
        <v>3561</v>
      </c>
      <c r="M1062" s="4" t="s">
        <v>3561</v>
      </c>
      <c r="N1062" t="s">
        <v>457</v>
      </c>
      <c r="O1062" t="s">
        <v>59</v>
      </c>
      <c r="P1062" s="4" t="s">
        <v>3573</v>
      </c>
      <c r="Q1062" t="s">
        <v>3573</v>
      </c>
    </row>
    <row r="1063" spans="1:18">
      <c r="A1063" t="s">
        <v>838</v>
      </c>
      <c r="B1063" t="s">
        <v>9</v>
      </c>
      <c r="C1063" t="s">
        <v>3305</v>
      </c>
      <c r="D1063" t="s">
        <v>3551</v>
      </c>
      <c r="E1063">
        <v>26</v>
      </c>
      <c r="F1063" s="4" t="s">
        <v>3555</v>
      </c>
      <c r="G1063" s="4">
        <v>0</v>
      </c>
      <c r="H1063">
        <v>0</v>
      </c>
      <c r="I1063">
        <v>347470</v>
      </c>
      <c r="J1063" s="6">
        <v>7.8541999999999996</v>
      </c>
      <c r="K1063" s="4" t="str">
        <f t="shared" si="16"/>
        <v>Low</v>
      </c>
      <c r="L1063" t="s">
        <v>3561</v>
      </c>
      <c r="M1063" s="4" t="s">
        <v>3561</v>
      </c>
      <c r="N1063" t="s">
        <v>457</v>
      </c>
      <c r="O1063">
        <v>13</v>
      </c>
      <c r="P1063" s="4" t="s">
        <v>3573</v>
      </c>
      <c r="Q1063" t="s">
        <v>3573</v>
      </c>
    </row>
    <row r="1064" spans="1:18">
      <c r="A1064" t="s">
        <v>838</v>
      </c>
      <c r="B1064" t="s">
        <v>840</v>
      </c>
      <c r="C1064" t="s">
        <v>3306</v>
      </c>
      <c r="D1064" t="s">
        <v>3552</v>
      </c>
      <c r="E1064">
        <v>21</v>
      </c>
      <c r="F1064" s="4" t="s">
        <v>3555</v>
      </c>
      <c r="G1064" s="4">
        <v>0</v>
      </c>
      <c r="H1064">
        <v>0</v>
      </c>
      <c r="I1064">
        <v>350410</v>
      </c>
      <c r="J1064" s="6">
        <v>7.8541999999999996</v>
      </c>
      <c r="K1064" s="4" t="str">
        <f t="shared" si="16"/>
        <v>Low</v>
      </c>
      <c r="L1064" t="s">
        <v>3561</v>
      </c>
      <c r="M1064" s="4" t="s">
        <v>3561</v>
      </c>
      <c r="N1064" t="s">
        <v>457</v>
      </c>
      <c r="O1064" t="s">
        <v>3569</v>
      </c>
      <c r="P1064" s="4" t="s">
        <v>3573</v>
      </c>
      <c r="Q1064" t="s">
        <v>3573</v>
      </c>
    </row>
    <row r="1065" spans="1:18">
      <c r="A1065" t="s">
        <v>838</v>
      </c>
      <c r="B1065" t="s">
        <v>840</v>
      </c>
      <c r="C1065" t="s">
        <v>3307</v>
      </c>
      <c r="D1065" t="s">
        <v>3552</v>
      </c>
      <c r="E1065">
        <v>41</v>
      </c>
      <c r="F1065" s="4" t="s">
        <v>3557</v>
      </c>
      <c r="G1065" s="4">
        <v>0</v>
      </c>
      <c r="H1065">
        <v>0</v>
      </c>
      <c r="I1065" t="s">
        <v>786</v>
      </c>
      <c r="J1065" s="6">
        <v>7.125</v>
      </c>
      <c r="K1065" s="4" t="str">
        <f t="shared" si="16"/>
        <v>Low</v>
      </c>
      <c r="L1065" t="s">
        <v>3561</v>
      </c>
      <c r="M1065" s="4" t="s">
        <v>3561</v>
      </c>
      <c r="N1065" t="s">
        <v>457</v>
      </c>
      <c r="O1065" t="s">
        <v>3569</v>
      </c>
      <c r="P1065" s="4" t="s">
        <v>3573</v>
      </c>
      <c r="Q1065" t="s">
        <v>3573</v>
      </c>
      <c r="R1065" t="s">
        <v>787</v>
      </c>
    </row>
    <row r="1066" spans="1:18">
      <c r="A1066" t="s">
        <v>838</v>
      </c>
      <c r="B1066" t="s">
        <v>9</v>
      </c>
      <c r="C1066" t="s">
        <v>3308</v>
      </c>
      <c r="D1066" t="s">
        <v>3552</v>
      </c>
      <c r="E1066">
        <v>39</v>
      </c>
      <c r="F1066" s="4" t="s">
        <v>3557</v>
      </c>
      <c r="G1066" s="4">
        <v>0</v>
      </c>
      <c r="H1066">
        <v>0</v>
      </c>
      <c r="I1066" t="s">
        <v>788</v>
      </c>
      <c r="J1066" s="6">
        <v>7.9249999999999998</v>
      </c>
      <c r="K1066" s="4" t="str">
        <f t="shared" si="16"/>
        <v>Low</v>
      </c>
      <c r="L1066" t="s">
        <v>3561</v>
      </c>
      <c r="M1066" s="4" t="s">
        <v>3561</v>
      </c>
      <c r="N1066" t="s">
        <v>457</v>
      </c>
      <c r="O1066">
        <v>9</v>
      </c>
      <c r="P1066" s="4" t="s">
        <v>3573</v>
      </c>
      <c r="Q1066" t="s">
        <v>3573</v>
      </c>
    </row>
    <row r="1067" spans="1:18">
      <c r="A1067" t="s">
        <v>838</v>
      </c>
      <c r="B1067" t="s">
        <v>840</v>
      </c>
      <c r="C1067" t="s">
        <v>3309</v>
      </c>
      <c r="D1067" t="s">
        <v>3552</v>
      </c>
      <c r="E1067">
        <v>21</v>
      </c>
      <c r="F1067" s="4" t="s">
        <v>3555</v>
      </c>
      <c r="G1067" s="4">
        <v>0</v>
      </c>
      <c r="H1067">
        <v>0</v>
      </c>
      <c r="I1067" t="s">
        <v>789</v>
      </c>
      <c r="J1067" s="6">
        <v>7.8</v>
      </c>
      <c r="K1067" s="4" t="str">
        <f t="shared" si="16"/>
        <v>Low</v>
      </c>
      <c r="L1067" t="s">
        <v>3561</v>
      </c>
      <c r="M1067" s="4" t="s">
        <v>3561</v>
      </c>
      <c r="N1067" t="s">
        <v>457</v>
      </c>
      <c r="O1067" t="s">
        <v>3569</v>
      </c>
      <c r="P1067" s="4" t="s">
        <v>3573</v>
      </c>
      <c r="Q1067" t="s">
        <v>3573</v>
      </c>
    </row>
    <row r="1068" spans="1:18">
      <c r="A1068" t="s">
        <v>838</v>
      </c>
      <c r="B1068" t="s">
        <v>840</v>
      </c>
      <c r="C1068" t="s">
        <v>3310</v>
      </c>
      <c r="D1068" t="s">
        <v>3552</v>
      </c>
      <c r="E1068">
        <v>29</v>
      </c>
      <c r="F1068" s="4" t="s">
        <v>3555</v>
      </c>
      <c r="G1068" s="4">
        <v>0</v>
      </c>
      <c r="H1068">
        <v>0</v>
      </c>
      <c r="I1068">
        <v>2697</v>
      </c>
      <c r="J1068" s="6">
        <v>7.2291999999999996</v>
      </c>
      <c r="K1068" s="4" t="str">
        <f t="shared" si="16"/>
        <v>Low</v>
      </c>
      <c r="L1068" t="s">
        <v>3561</v>
      </c>
      <c r="M1068" s="4" t="s">
        <v>3561</v>
      </c>
      <c r="N1068" t="s">
        <v>3566</v>
      </c>
      <c r="O1068" t="s">
        <v>3569</v>
      </c>
      <c r="P1068" s="4">
        <v>181</v>
      </c>
      <c r="Q1068" t="s">
        <v>3574</v>
      </c>
    </row>
    <row r="1069" spans="1:18">
      <c r="A1069" t="s">
        <v>838</v>
      </c>
      <c r="B1069" t="s">
        <v>9</v>
      </c>
      <c r="C1069" t="s">
        <v>3311</v>
      </c>
      <c r="D1069" t="s">
        <v>3551</v>
      </c>
      <c r="E1069">
        <v>22</v>
      </c>
      <c r="F1069" s="4" t="s">
        <v>3555</v>
      </c>
      <c r="G1069" s="4">
        <v>0</v>
      </c>
      <c r="H1069">
        <v>0</v>
      </c>
      <c r="I1069">
        <v>347081</v>
      </c>
      <c r="J1069" s="6">
        <v>7.75</v>
      </c>
      <c r="K1069" s="4" t="str">
        <f t="shared" si="16"/>
        <v>Low</v>
      </c>
      <c r="L1069" t="s">
        <v>3561</v>
      </c>
      <c r="M1069" s="4" t="s">
        <v>3561</v>
      </c>
      <c r="N1069" t="s">
        <v>457</v>
      </c>
      <c r="O1069">
        <v>13</v>
      </c>
      <c r="P1069" s="4" t="s">
        <v>3573</v>
      </c>
      <c r="Q1069" t="s">
        <v>3573</v>
      </c>
    </row>
    <row r="1070" spans="1:18">
      <c r="A1070" t="s">
        <v>838</v>
      </c>
      <c r="B1070" t="s">
        <v>840</v>
      </c>
      <c r="C1070" t="s">
        <v>3312</v>
      </c>
      <c r="D1070" t="s">
        <v>3552</v>
      </c>
      <c r="E1070">
        <v>61</v>
      </c>
      <c r="F1070" s="4" t="s">
        <v>3559</v>
      </c>
      <c r="G1070" s="4">
        <v>0</v>
      </c>
      <c r="H1070">
        <v>0</v>
      </c>
      <c r="I1070">
        <v>345364</v>
      </c>
      <c r="J1070" s="6">
        <v>6.2374999999999998</v>
      </c>
      <c r="K1070" s="4" t="str">
        <f t="shared" si="16"/>
        <v>Low</v>
      </c>
      <c r="L1070" t="s">
        <v>3561</v>
      </c>
      <c r="M1070" s="4" t="s">
        <v>3561</v>
      </c>
      <c r="N1070" t="s">
        <v>457</v>
      </c>
      <c r="O1070" t="s">
        <v>3569</v>
      </c>
      <c r="P1070" s="4" t="s">
        <v>3573</v>
      </c>
      <c r="Q1070" t="s">
        <v>3573</v>
      </c>
    </row>
    <row r="1071" spans="1:18">
      <c r="A1071" t="s">
        <v>838</v>
      </c>
      <c r="B1071" t="s">
        <v>840</v>
      </c>
      <c r="C1071" t="s">
        <v>3313</v>
      </c>
      <c r="D1071" t="s">
        <v>3552</v>
      </c>
      <c r="E1071">
        <v>28</v>
      </c>
      <c r="F1071" s="4" t="s">
        <v>3555</v>
      </c>
      <c r="G1071" s="4">
        <v>0</v>
      </c>
      <c r="H1071">
        <v>1</v>
      </c>
      <c r="I1071">
        <v>370365</v>
      </c>
      <c r="J1071" s="6">
        <v>15.5</v>
      </c>
      <c r="K1071" s="4" t="str">
        <f t="shared" si="16"/>
        <v>Mid</v>
      </c>
      <c r="L1071" t="s">
        <v>3561</v>
      </c>
      <c r="M1071" s="4" t="s">
        <v>3561</v>
      </c>
      <c r="N1071" t="s">
        <v>3567</v>
      </c>
      <c r="O1071" t="s">
        <v>3569</v>
      </c>
      <c r="P1071" s="4" t="s">
        <v>3573</v>
      </c>
      <c r="Q1071" t="s">
        <v>3573</v>
      </c>
    </row>
    <row r="1072" spans="1:18">
      <c r="A1072" t="s">
        <v>838</v>
      </c>
      <c r="B1072" t="s">
        <v>840</v>
      </c>
      <c r="C1072" t="s">
        <v>3314</v>
      </c>
      <c r="D1072" t="s">
        <v>3552</v>
      </c>
      <c r="E1072">
        <v>28</v>
      </c>
      <c r="F1072" s="4" t="s">
        <v>3555</v>
      </c>
      <c r="G1072" s="4">
        <v>0</v>
      </c>
      <c r="H1072">
        <v>0</v>
      </c>
      <c r="I1072">
        <v>330979</v>
      </c>
      <c r="J1072" s="6">
        <v>7.8292000000000002</v>
      </c>
      <c r="K1072" s="4" t="str">
        <f t="shared" si="16"/>
        <v>Low</v>
      </c>
      <c r="L1072" t="s">
        <v>3561</v>
      </c>
      <c r="M1072" s="4" t="s">
        <v>3561</v>
      </c>
      <c r="N1072" t="s">
        <v>3567</v>
      </c>
      <c r="O1072" t="s">
        <v>3569</v>
      </c>
      <c r="P1072" s="4" t="s">
        <v>3573</v>
      </c>
      <c r="Q1072" t="s">
        <v>3573</v>
      </c>
    </row>
    <row r="1073" spans="1:17">
      <c r="A1073" t="s">
        <v>838</v>
      </c>
      <c r="B1073" t="s">
        <v>9</v>
      </c>
      <c r="C1073" t="s">
        <v>3315</v>
      </c>
      <c r="D1073" t="s">
        <v>3551</v>
      </c>
      <c r="E1073">
        <v>28</v>
      </c>
      <c r="F1073" s="4" t="s">
        <v>3555</v>
      </c>
      <c r="G1073" s="4">
        <v>0</v>
      </c>
      <c r="H1073">
        <v>1</v>
      </c>
      <c r="I1073">
        <v>370365</v>
      </c>
      <c r="J1073" s="6">
        <v>15.5</v>
      </c>
      <c r="K1073" s="4" t="str">
        <f t="shared" si="16"/>
        <v>Mid</v>
      </c>
      <c r="L1073" t="s">
        <v>3561</v>
      </c>
      <c r="M1073" s="4" t="s">
        <v>3561</v>
      </c>
      <c r="N1073" t="s">
        <v>3567</v>
      </c>
      <c r="O1073" t="s">
        <v>3569</v>
      </c>
      <c r="P1073" s="4" t="s">
        <v>3573</v>
      </c>
      <c r="Q1073" t="s">
        <v>3573</v>
      </c>
    </row>
    <row r="1074" spans="1:17">
      <c r="A1074" t="s">
        <v>838</v>
      </c>
      <c r="B1074" t="s">
        <v>840</v>
      </c>
      <c r="C1074" t="s">
        <v>3316</v>
      </c>
      <c r="D1074" t="s">
        <v>3552</v>
      </c>
      <c r="E1074">
        <v>28</v>
      </c>
      <c r="F1074" s="4" t="s">
        <v>3555</v>
      </c>
      <c r="G1074" s="4">
        <v>0</v>
      </c>
      <c r="H1074">
        <v>0</v>
      </c>
      <c r="I1074">
        <v>334912</v>
      </c>
      <c r="J1074" s="6">
        <v>7.7332999999999998</v>
      </c>
      <c r="K1074" s="4" t="str">
        <f t="shared" si="16"/>
        <v>Low</v>
      </c>
      <c r="L1074" t="s">
        <v>3561</v>
      </c>
      <c r="M1074" s="4" t="s">
        <v>3561</v>
      </c>
      <c r="N1074" t="s">
        <v>3567</v>
      </c>
      <c r="O1074" t="s">
        <v>3569</v>
      </c>
      <c r="P1074" s="4" t="s">
        <v>3573</v>
      </c>
      <c r="Q1074" t="s">
        <v>3573</v>
      </c>
    </row>
    <row r="1075" spans="1:17">
      <c r="A1075" t="s">
        <v>838</v>
      </c>
      <c r="B1075" t="s">
        <v>840</v>
      </c>
      <c r="C1075" t="s">
        <v>3317</v>
      </c>
      <c r="D1075" t="s">
        <v>3552</v>
      </c>
      <c r="E1075">
        <v>28</v>
      </c>
      <c r="F1075" s="4" t="s">
        <v>3555</v>
      </c>
      <c r="G1075" s="4">
        <v>0</v>
      </c>
      <c r="H1075">
        <v>0</v>
      </c>
      <c r="I1075">
        <v>371060</v>
      </c>
      <c r="J1075" s="6">
        <v>7.75</v>
      </c>
      <c r="K1075" s="4" t="str">
        <f t="shared" si="16"/>
        <v>Low</v>
      </c>
      <c r="L1075" t="s">
        <v>3561</v>
      </c>
      <c r="M1075" s="4" t="s">
        <v>3561</v>
      </c>
      <c r="N1075" t="s">
        <v>3567</v>
      </c>
      <c r="O1075" t="s">
        <v>3569</v>
      </c>
      <c r="P1075" s="4" t="s">
        <v>3573</v>
      </c>
      <c r="Q1075" t="s">
        <v>3573</v>
      </c>
    </row>
    <row r="1076" spans="1:17">
      <c r="A1076" t="s">
        <v>838</v>
      </c>
      <c r="B1076" t="s">
        <v>840</v>
      </c>
      <c r="C1076" t="s">
        <v>3318</v>
      </c>
      <c r="D1076" t="s">
        <v>3552</v>
      </c>
      <c r="E1076">
        <v>28</v>
      </c>
      <c r="F1076" s="4" t="s">
        <v>3555</v>
      </c>
      <c r="G1076" s="4">
        <v>0</v>
      </c>
      <c r="H1076">
        <v>0</v>
      </c>
      <c r="I1076">
        <v>366713</v>
      </c>
      <c r="J1076" s="6">
        <v>7.75</v>
      </c>
      <c r="K1076" s="4" t="str">
        <f t="shared" si="16"/>
        <v>Low</v>
      </c>
      <c r="L1076" t="s">
        <v>3561</v>
      </c>
      <c r="M1076" s="4" t="s">
        <v>3561</v>
      </c>
      <c r="N1076" t="s">
        <v>3567</v>
      </c>
      <c r="O1076" t="s">
        <v>3569</v>
      </c>
      <c r="P1076" s="4" t="s">
        <v>3573</v>
      </c>
      <c r="Q1076" t="s">
        <v>3573</v>
      </c>
    </row>
    <row r="1077" spans="1:17">
      <c r="A1077" t="s">
        <v>838</v>
      </c>
      <c r="B1077" t="s">
        <v>840</v>
      </c>
      <c r="C1077" t="s">
        <v>3319</v>
      </c>
      <c r="D1077" t="s">
        <v>3552</v>
      </c>
      <c r="E1077">
        <v>23</v>
      </c>
      <c r="F1077" s="4" t="s">
        <v>3555</v>
      </c>
      <c r="G1077" s="4">
        <v>0</v>
      </c>
      <c r="H1077">
        <v>0</v>
      </c>
      <c r="I1077">
        <v>7267</v>
      </c>
      <c r="J1077" s="6">
        <v>9.2249999999999996</v>
      </c>
      <c r="K1077" s="4" t="str">
        <f t="shared" si="16"/>
        <v>Low</v>
      </c>
      <c r="L1077" t="s">
        <v>3561</v>
      </c>
      <c r="M1077" s="4" t="s">
        <v>3561</v>
      </c>
      <c r="N1077" t="s">
        <v>457</v>
      </c>
      <c r="O1077" t="s">
        <v>3569</v>
      </c>
      <c r="P1077" s="4" t="s">
        <v>3573</v>
      </c>
      <c r="Q1077" t="s">
        <v>3573</v>
      </c>
    </row>
    <row r="1078" spans="1:17">
      <c r="A1078" t="s">
        <v>838</v>
      </c>
      <c r="B1078" t="s">
        <v>840</v>
      </c>
      <c r="C1078" t="s">
        <v>3320</v>
      </c>
      <c r="D1078" t="s">
        <v>3551</v>
      </c>
      <c r="E1078">
        <v>28</v>
      </c>
      <c r="F1078" s="4" t="s">
        <v>3555</v>
      </c>
      <c r="G1078" s="4">
        <v>0</v>
      </c>
      <c r="H1078">
        <v>0</v>
      </c>
      <c r="I1078">
        <v>364856</v>
      </c>
      <c r="J1078" s="6">
        <v>7.75</v>
      </c>
      <c r="K1078" s="4" t="str">
        <f t="shared" si="16"/>
        <v>Low</v>
      </c>
      <c r="L1078" t="s">
        <v>3561</v>
      </c>
      <c r="M1078" s="4" t="s">
        <v>3561</v>
      </c>
      <c r="N1078" t="s">
        <v>3567</v>
      </c>
      <c r="O1078" t="s">
        <v>3569</v>
      </c>
      <c r="P1078" s="4" t="s">
        <v>3573</v>
      </c>
      <c r="Q1078" t="s">
        <v>3573</v>
      </c>
    </row>
    <row r="1079" spans="1:17">
      <c r="A1079" t="s">
        <v>838</v>
      </c>
      <c r="B1079" t="s">
        <v>9</v>
      </c>
      <c r="C1079" t="s">
        <v>3321</v>
      </c>
      <c r="D1079" t="s">
        <v>3551</v>
      </c>
      <c r="E1079">
        <v>28</v>
      </c>
      <c r="F1079" s="4" t="s">
        <v>3555</v>
      </c>
      <c r="G1079" s="4">
        <v>0</v>
      </c>
      <c r="H1079">
        <v>0</v>
      </c>
      <c r="I1079">
        <v>14311</v>
      </c>
      <c r="J1079" s="6">
        <v>7.75</v>
      </c>
      <c r="K1079" s="4" t="str">
        <f t="shared" si="16"/>
        <v>Low</v>
      </c>
      <c r="L1079" t="s">
        <v>3561</v>
      </c>
      <c r="M1079" s="4" t="s">
        <v>3561</v>
      </c>
      <c r="N1079" t="s">
        <v>3567</v>
      </c>
      <c r="O1079" t="s">
        <v>59</v>
      </c>
      <c r="P1079" s="4" t="s">
        <v>3573</v>
      </c>
      <c r="Q1079" t="s">
        <v>3573</v>
      </c>
    </row>
    <row r="1080" spans="1:17">
      <c r="A1080" t="s">
        <v>838</v>
      </c>
      <c r="B1080" t="s">
        <v>9</v>
      </c>
      <c r="C1080" t="s">
        <v>3322</v>
      </c>
      <c r="D1080" t="s">
        <v>3551</v>
      </c>
      <c r="E1080">
        <v>28</v>
      </c>
      <c r="F1080" s="4" t="s">
        <v>3555</v>
      </c>
      <c r="G1080" s="4">
        <v>0</v>
      </c>
      <c r="H1080">
        <v>0</v>
      </c>
      <c r="I1080">
        <v>330959</v>
      </c>
      <c r="J1080" s="6">
        <v>7.8792</v>
      </c>
      <c r="K1080" s="4" t="str">
        <f t="shared" si="16"/>
        <v>Low</v>
      </c>
      <c r="L1080" t="s">
        <v>3561</v>
      </c>
      <c r="M1080" s="4" t="s">
        <v>3561</v>
      </c>
      <c r="N1080" t="s">
        <v>3567</v>
      </c>
      <c r="O1080" t="s">
        <v>3569</v>
      </c>
      <c r="P1080" s="4" t="s">
        <v>3573</v>
      </c>
      <c r="Q1080" t="s">
        <v>3573</v>
      </c>
    </row>
    <row r="1081" spans="1:17">
      <c r="A1081" t="s">
        <v>838</v>
      </c>
      <c r="B1081" t="s">
        <v>9</v>
      </c>
      <c r="C1081" t="s">
        <v>3323</v>
      </c>
      <c r="D1081" t="s">
        <v>3551</v>
      </c>
      <c r="E1081">
        <v>22</v>
      </c>
      <c r="F1081" s="4" t="s">
        <v>3555</v>
      </c>
      <c r="G1081" s="4">
        <v>0</v>
      </c>
      <c r="H1081">
        <v>0</v>
      </c>
      <c r="I1081">
        <v>347085</v>
      </c>
      <c r="J1081" s="6">
        <v>7.7750000000000004</v>
      </c>
      <c r="K1081" s="4" t="str">
        <f t="shared" si="16"/>
        <v>Low</v>
      </c>
      <c r="L1081" t="s">
        <v>3561</v>
      </c>
      <c r="M1081" s="4" t="s">
        <v>3561</v>
      </c>
      <c r="N1081" t="s">
        <v>457</v>
      </c>
      <c r="O1081" t="s">
        <v>62</v>
      </c>
      <c r="P1081" s="4" t="s">
        <v>3573</v>
      </c>
      <c r="Q1081" t="s">
        <v>3573</v>
      </c>
    </row>
    <row r="1082" spans="1:17">
      <c r="A1082" t="s">
        <v>838</v>
      </c>
      <c r="B1082" t="s">
        <v>9</v>
      </c>
      <c r="C1082" t="s">
        <v>3324</v>
      </c>
      <c r="D1082" t="s">
        <v>3552</v>
      </c>
      <c r="E1082">
        <v>28</v>
      </c>
      <c r="F1082" s="4" t="s">
        <v>3555</v>
      </c>
      <c r="G1082" s="4">
        <v>0</v>
      </c>
      <c r="H1082">
        <v>0</v>
      </c>
      <c r="I1082">
        <v>368402</v>
      </c>
      <c r="J1082" s="6">
        <v>7.75</v>
      </c>
      <c r="K1082" s="4" t="str">
        <f t="shared" si="16"/>
        <v>Low</v>
      </c>
      <c r="L1082" t="s">
        <v>3561</v>
      </c>
      <c r="M1082" s="4" t="s">
        <v>3561</v>
      </c>
      <c r="N1082" t="s">
        <v>3567</v>
      </c>
      <c r="O1082" t="s">
        <v>70</v>
      </c>
      <c r="P1082" s="4" t="s">
        <v>3573</v>
      </c>
      <c r="Q1082" t="s">
        <v>3573</v>
      </c>
    </row>
    <row r="1083" spans="1:17">
      <c r="A1083" t="s">
        <v>838</v>
      </c>
      <c r="B1083" t="s">
        <v>9</v>
      </c>
      <c r="C1083" t="s">
        <v>3325</v>
      </c>
      <c r="D1083" t="s">
        <v>3551</v>
      </c>
      <c r="E1083">
        <v>28</v>
      </c>
      <c r="F1083" s="4" t="s">
        <v>3555</v>
      </c>
      <c r="G1083" s="4">
        <v>0</v>
      </c>
      <c r="H1083">
        <v>0</v>
      </c>
      <c r="I1083">
        <v>330919</v>
      </c>
      <c r="J1083" s="6">
        <v>7.8292000000000002</v>
      </c>
      <c r="K1083" s="4" t="str">
        <f t="shared" si="16"/>
        <v>Low</v>
      </c>
      <c r="L1083" t="s">
        <v>3561</v>
      </c>
      <c r="M1083" s="4" t="s">
        <v>3561</v>
      </c>
      <c r="N1083" t="s">
        <v>3567</v>
      </c>
      <c r="O1083">
        <v>13</v>
      </c>
      <c r="P1083" s="4" t="s">
        <v>3573</v>
      </c>
      <c r="Q1083" t="s">
        <v>3573</v>
      </c>
    </row>
    <row r="1084" spans="1:17">
      <c r="A1084" t="s">
        <v>838</v>
      </c>
      <c r="B1084" t="s">
        <v>9</v>
      </c>
      <c r="C1084" t="s">
        <v>3326</v>
      </c>
      <c r="D1084" t="s">
        <v>3552</v>
      </c>
      <c r="E1084">
        <v>9</v>
      </c>
      <c r="F1084" s="4" t="s">
        <v>3556</v>
      </c>
      <c r="G1084" s="4">
        <v>1</v>
      </c>
      <c r="H1084">
        <v>0</v>
      </c>
      <c r="I1084" t="s">
        <v>790</v>
      </c>
      <c r="J1084" s="6">
        <v>3.1707999999999998</v>
      </c>
      <c r="K1084" s="4" t="str">
        <f t="shared" si="16"/>
        <v>Low</v>
      </c>
      <c r="L1084" t="s">
        <v>3561</v>
      </c>
      <c r="M1084" s="4" t="s">
        <v>3561</v>
      </c>
      <c r="N1084" t="s">
        <v>457</v>
      </c>
      <c r="O1084">
        <v>13</v>
      </c>
      <c r="P1084" s="4" t="s">
        <v>3573</v>
      </c>
      <c r="Q1084" t="s">
        <v>3573</v>
      </c>
    </row>
    <row r="1085" spans="1:17">
      <c r="A1085" t="s">
        <v>838</v>
      </c>
      <c r="B1085" t="s">
        <v>840</v>
      </c>
      <c r="C1085" t="s">
        <v>3327</v>
      </c>
      <c r="D1085" t="s">
        <v>3552</v>
      </c>
      <c r="E1085">
        <v>28</v>
      </c>
      <c r="F1085" s="4" t="s">
        <v>3555</v>
      </c>
      <c r="G1085" s="4">
        <v>0</v>
      </c>
      <c r="H1085">
        <v>0</v>
      </c>
      <c r="I1085" t="s">
        <v>628</v>
      </c>
      <c r="J1085" s="6">
        <v>22.524999999999999</v>
      </c>
      <c r="K1085" s="4" t="str">
        <f t="shared" si="16"/>
        <v>Mid</v>
      </c>
      <c r="L1085" t="s">
        <v>3561</v>
      </c>
      <c r="M1085" s="4" t="s">
        <v>3561</v>
      </c>
      <c r="N1085" t="s">
        <v>457</v>
      </c>
      <c r="O1085" t="s">
        <v>3569</v>
      </c>
      <c r="P1085" s="4">
        <v>173</v>
      </c>
      <c r="Q1085" t="s">
        <v>3574</v>
      </c>
    </row>
    <row r="1086" spans="1:17">
      <c r="A1086" t="s">
        <v>838</v>
      </c>
      <c r="B1086" t="s">
        <v>840</v>
      </c>
      <c r="C1086" t="s">
        <v>3328</v>
      </c>
      <c r="D1086" t="s">
        <v>3552</v>
      </c>
      <c r="E1086">
        <v>42</v>
      </c>
      <c r="F1086" s="4" t="s">
        <v>3557</v>
      </c>
      <c r="G1086" s="4">
        <v>1</v>
      </c>
      <c r="H1086">
        <v>0</v>
      </c>
      <c r="I1086">
        <v>4579</v>
      </c>
      <c r="J1086" s="6">
        <v>8.4041999999999994</v>
      </c>
      <c r="K1086" s="4" t="str">
        <f t="shared" si="16"/>
        <v>Low</v>
      </c>
      <c r="L1086" t="s">
        <v>3561</v>
      </c>
      <c r="M1086" s="4" t="s">
        <v>3561</v>
      </c>
      <c r="N1086" t="s">
        <v>457</v>
      </c>
      <c r="O1086" t="s">
        <v>3569</v>
      </c>
      <c r="P1086" s="4" t="s">
        <v>3573</v>
      </c>
      <c r="Q1086" t="s">
        <v>3573</v>
      </c>
    </row>
    <row r="1087" spans="1:17">
      <c r="A1087" t="s">
        <v>838</v>
      </c>
      <c r="B1087" t="s">
        <v>840</v>
      </c>
      <c r="C1087" t="s">
        <v>3329</v>
      </c>
      <c r="D1087" t="s">
        <v>3552</v>
      </c>
      <c r="E1087">
        <v>28</v>
      </c>
      <c r="F1087" s="4" t="s">
        <v>3555</v>
      </c>
      <c r="G1087" s="4">
        <v>0</v>
      </c>
      <c r="H1087">
        <v>0</v>
      </c>
      <c r="I1087" t="s">
        <v>791</v>
      </c>
      <c r="J1087" s="6">
        <v>7.3125</v>
      </c>
      <c r="K1087" s="4" t="str">
        <f t="shared" si="16"/>
        <v>Low</v>
      </c>
      <c r="L1087" t="s">
        <v>3561</v>
      </c>
      <c r="M1087" s="4" t="s">
        <v>3561</v>
      </c>
      <c r="N1087" t="s">
        <v>457</v>
      </c>
      <c r="O1087" t="s">
        <v>3569</v>
      </c>
      <c r="P1087" s="4" t="s">
        <v>3573</v>
      </c>
      <c r="Q1087" t="s">
        <v>3573</v>
      </c>
    </row>
    <row r="1088" spans="1:17">
      <c r="A1088" t="s">
        <v>838</v>
      </c>
      <c r="B1088" t="s">
        <v>840</v>
      </c>
      <c r="C1088" t="s">
        <v>3330</v>
      </c>
      <c r="D1088" t="s">
        <v>3551</v>
      </c>
      <c r="E1088">
        <v>31</v>
      </c>
      <c r="F1088" s="4" t="s">
        <v>3557</v>
      </c>
      <c r="G1088" s="4">
        <v>0</v>
      </c>
      <c r="H1088">
        <v>0</v>
      </c>
      <c r="I1088">
        <v>350407</v>
      </c>
      <c r="J1088" s="6">
        <v>7.8541999999999996</v>
      </c>
      <c r="K1088" s="4" t="str">
        <f t="shared" si="16"/>
        <v>Low</v>
      </c>
      <c r="L1088" t="s">
        <v>3561</v>
      </c>
      <c r="M1088" s="4" t="s">
        <v>3561</v>
      </c>
      <c r="N1088" t="s">
        <v>457</v>
      </c>
      <c r="O1088" t="s">
        <v>3569</v>
      </c>
      <c r="P1088" s="4" t="s">
        <v>3573</v>
      </c>
      <c r="Q1088" t="s">
        <v>3573</v>
      </c>
    </row>
    <row r="1089" spans="1:18">
      <c r="A1089" t="s">
        <v>838</v>
      </c>
      <c r="B1089" t="s">
        <v>840</v>
      </c>
      <c r="C1089" t="s">
        <v>3331</v>
      </c>
      <c r="D1089" t="s">
        <v>3552</v>
      </c>
      <c r="E1089">
        <v>28</v>
      </c>
      <c r="F1089" s="4" t="s">
        <v>3555</v>
      </c>
      <c r="G1089" s="4">
        <v>0</v>
      </c>
      <c r="H1089">
        <v>0</v>
      </c>
      <c r="I1089">
        <v>347464</v>
      </c>
      <c r="J1089" s="6">
        <v>7.8541999999999996</v>
      </c>
      <c r="K1089" s="4" t="str">
        <f t="shared" si="16"/>
        <v>Low</v>
      </c>
      <c r="L1089" t="s">
        <v>3561</v>
      </c>
      <c r="M1089" s="4" t="s">
        <v>3561</v>
      </c>
      <c r="N1089" t="s">
        <v>457</v>
      </c>
      <c r="O1089" t="s">
        <v>3569</v>
      </c>
      <c r="P1089" s="4" t="s">
        <v>3573</v>
      </c>
      <c r="Q1089" t="s">
        <v>3573</v>
      </c>
    </row>
    <row r="1090" spans="1:18">
      <c r="A1090" t="s">
        <v>838</v>
      </c>
      <c r="B1090" t="s">
        <v>9</v>
      </c>
      <c r="C1090" t="s">
        <v>3332</v>
      </c>
      <c r="D1090" t="s">
        <v>3552</v>
      </c>
      <c r="E1090">
        <v>32</v>
      </c>
      <c r="F1090" s="4" t="s">
        <v>3557</v>
      </c>
      <c r="G1090" s="4">
        <v>0</v>
      </c>
      <c r="H1090">
        <v>0</v>
      </c>
      <c r="I1090">
        <v>347079</v>
      </c>
      <c r="J1090" s="6">
        <v>7.7750000000000004</v>
      </c>
      <c r="K1090" s="4" t="str">
        <f t="shared" si="16"/>
        <v>Low</v>
      </c>
      <c r="L1090" t="s">
        <v>3561</v>
      </c>
      <c r="M1090" s="4" t="s">
        <v>3561</v>
      </c>
      <c r="N1090" t="s">
        <v>457</v>
      </c>
      <c r="O1090" t="s">
        <v>78</v>
      </c>
      <c r="P1090" s="4" t="s">
        <v>3573</v>
      </c>
      <c r="Q1090" t="s">
        <v>3573</v>
      </c>
    </row>
    <row r="1091" spans="1:18">
      <c r="A1091" t="s">
        <v>838</v>
      </c>
      <c r="B1091" t="s">
        <v>840</v>
      </c>
      <c r="C1091" t="s">
        <v>3333</v>
      </c>
      <c r="D1091" t="s">
        <v>3552</v>
      </c>
      <c r="E1091">
        <v>20</v>
      </c>
      <c r="F1091" s="4" t="s">
        <v>3555</v>
      </c>
      <c r="G1091" s="4">
        <v>0</v>
      </c>
      <c r="H1091">
        <v>0</v>
      </c>
      <c r="I1091">
        <v>6563</v>
      </c>
      <c r="J1091" s="6">
        <v>9.2249999999999996</v>
      </c>
      <c r="K1091" s="4" t="str">
        <f t="shared" ref="K1091:K1154" si="17">IF(J1091&lt;=10,"Low",IF(J1091&lt;=50,"Mid","High"))</f>
        <v>Low</v>
      </c>
      <c r="L1091" t="s">
        <v>3561</v>
      </c>
      <c r="M1091" s="4" t="s">
        <v>3561</v>
      </c>
      <c r="N1091" t="s">
        <v>457</v>
      </c>
      <c r="O1091" t="s">
        <v>3569</v>
      </c>
      <c r="P1091" s="4">
        <v>89</v>
      </c>
      <c r="Q1091" t="s">
        <v>3574</v>
      </c>
      <c r="R1091" t="s">
        <v>792</v>
      </c>
    </row>
    <row r="1092" spans="1:18">
      <c r="A1092" t="s">
        <v>838</v>
      </c>
      <c r="B1092" t="s">
        <v>840</v>
      </c>
      <c r="C1092" t="s">
        <v>3334</v>
      </c>
      <c r="D1092" t="s">
        <v>3551</v>
      </c>
      <c r="E1092">
        <v>23</v>
      </c>
      <c r="F1092" s="4" t="s">
        <v>3555</v>
      </c>
      <c r="G1092" s="4">
        <v>0</v>
      </c>
      <c r="H1092">
        <v>0</v>
      </c>
      <c r="I1092">
        <v>315085</v>
      </c>
      <c r="J1092" s="6">
        <v>8.6624999999999996</v>
      </c>
      <c r="K1092" s="4" t="str">
        <f t="shared" si="17"/>
        <v>Low</v>
      </c>
      <c r="L1092" t="s">
        <v>3561</v>
      </c>
      <c r="M1092" s="4" t="s">
        <v>3561</v>
      </c>
      <c r="N1092" t="s">
        <v>457</v>
      </c>
      <c r="O1092" t="s">
        <v>3569</v>
      </c>
      <c r="P1092" s="4" t="s">
        <v>3573</v>
      </c>
      <c r="Q1092" t="s">
        <v>3573</v>
      </c>
    </row>
    <row r="1093" spans="1:18">
      <c r="A1093" t="s">
        <v>838</v>
      </c>
      <c r="B1093" t="s">
        <v>840</v>
      </c>
      <c r="C1093" t="s">
        <v>3335</v>
      </c>
      <c r="D1093" t="s">
        <v>3551</v>
      </c>
      <c r="E1093">
        <v>20</v>
      </c>
      <c r="F1093" s="4" t="s">
        <v>3555</v>
      </c>
      <c r="G1093" s="4">
        <v>0</v>
      </c>
      <c r="H1093">
        <v>0</v>
      </c>
      <c r="I1093">
        <v>315096</v>
      </c>
      <c r="J1093" s="6">
        <v>8.6624999999999996</v>
      </c>
      <c r="K1093" s="4" t="str">
        <f t="shared" si="17"/>
        <v>Low</v>
      </c>
      <c r="L1093" t="s">
        <v>3561</v>
      </c>
      <c r="M1093" s="4" t="s">
        <v>3561</v>
      </c>
      <c r="N1093" t="s">
        <v>457</v>
      </c>
      <c r="O1093" t="s">
        <v>3569</v>
      </c>
      <c r="P1093" s="4" t="s">
        <v>3573</v>
      </c>
      <c r="Q1093" t="s">
        <v>3573</v>
      </c>
    </row>
    <row r="1094" spans="1:18">
      <c r="A1094" t="s">
        <v>838</v>
      </c>
      <c r="B1094" t="s">
        <v>840</v>
      </c>
      <c r="C1094" t="s">
        <v>3336</v>
      </c>
      <c r="D1094" t="s">
        <v>3552</v>
      </c>
      <c r="E1094">
        <v>20</v>
      </c>
      <c r="F1094" s="4" t="s">
        <v>3555</v>
      </c>
      <c r="G1094" s="4">
        <v>0</v>
      </c>
      <c r="H1094">
        <v>0</v>
      </c>
      <c r="I1094">
        <v>315094</v>
      </c>
      <c r="J1094" s="6">
        <v>8.6624999999999996</v>
      </c>
      <c r="K1094" s="4" t="str">
        <f t="shared" si="17"/>
        <v>Low</v>
      </c>
      <c r="L1094" t="s">
        <v>3561</v>
      </c>
      <c r="M1094" s="4" t="s">
        <v>3561</v>
      </c>
      <c r="N1094" t="s">
        <v>457</v>
      </c>
      <c r="O1094" t="s">
        <v>3569</v>
      </c>
      <c r="P1094" s="4" t="s">
        <v>3573</v>
      </c>
      <c r="Q1094" t="s">
        <v>3573</v>
      </c>
    </row>
    <row r="1095" spans="1:18">
      <c r="A1095" t="s">
        <v>838</v>
      </c>
      <c r="B1095" t="s">
        <v>840</v>
      </c>
      <c r="C1095" t="s">
        <v>3337</v>
      </c>
      <c r="D1095" t="s">
        <v>3552</v>
      </c>
      <c r="E1095">
        <v>16</v>
      </c>
      <c r="F1095" s="4" t="s">
        <v>3560</v>
      </c>
      <c r="G1095" s="4">
        <v>0</v>
      </c>
      <c r="H1095">
        <v>0</v>
      </c>
      <c r="I1095">
        <v>7534</v>
      </c>
      <c r="J1095" s="6">
        <v>9.2166999999999994</v>
      </c>
      <c r="K1095" s="4" t="str">
        <f t="shared" si="17"/>
        <v>Low</v>
      </c>
      <c r="L1095" t="s">
        <v>3561</v>
      </c>
      <c r="M1095" s="4" t="s">
        <v>3561</v>
      </c>
      <c r="N1095" t="s">
        <v>457</v>
      </c>
      <c r="O1095" t="s">
        <v>3569</v>
      </c>
      <c r="P1095" s="4" t="s">
        <v>3573</v>
      </c>
      <c r="Q1095" t="s">
        <v>3573</v>
      </c>
    </row>
    <row r="1096" spans="1:18">
      <c r="A1096" t="s">
        <v>838</v>
      </c>
      <c r="B1096" t="s">
        <v>9</v>
      </c>
      <c r="C1096" t="s">
        <v>3338</v>
      </c>
      <c r="D1096" t="s">
        <v>3551</v>
      </c>
      <c r="E1096">
        <v>31</v>
      </c>
      <c r="F1096" s="4" t="s">
        <v>3557</v>
      </c>
      <c r="G1096" s="4">
        <v>0</v>
      </c>
      <c r="H1096">
        <v>0</v>
      </c>
      <c r="I1096">
        <v>349244</v>
      </c>
      <c r="J1096" s="6">
        <v>8.6832999999999991</v>
      </c>
      <c r="K1096" s="4" t="str">
        <f t="shared" si="17"/>
        <v>Low</v>
      </c>
      <c r="L1096" t="s">
        <v>3561</v>
      </c>
      <c r="M1096" s="4" t="s">
        <v>3561</v>
      </c>
      <c r="N1096" t="s">
        <v>457</v>
      </c>
      <c r="O1096" t="s">
        <v>3569</v>
      </c>
      <c r="P1096" s="4" t="s">
        <v>3573</v>
      </c>
      <c r="Q1096" t="s">
        <v>3573</v>
      </c>
    </row>
    <row r="1097" spans="1:18">
      <c r="A1097" t="s">
        <v>838</v>
      </c>
      <c r="B1097" t="s">
        <v>840</v>
      </c>
      <c r="C1097" t="s">
        <v>3339</v>
      </c>
      <c r="D1097" t="s">
        <v>3551</v>
      </c>
      <c r="E1097">
        <v>28</v>
      </c>
      <c r="F1097" s="4" t="s">
        <v>3555</v>
      </c>
      <c r="G1097" s="4">
        <v>0</v>
      </c>
      <c r="H1097">
        <v>0</v>
      </c>
      <c r="I1097">
        <v>330909</v>
      </c>
      <c r="J1097" s="6">
        <v>7.6292</v>
      </c>
      <c r="K1097" s="4" t="str">
        <f t="shared" si="17"/>
        <v>Low</v>
      </c>
      <c r="L1097" t="s">
        <v>3561</v>
      </c>
      <c r="M1097" s="4" t="s">
        <v>3561</v>
      </c>
      <c r="N1097" t="s">
        <v>3567</v>
      </c>
      <c r="O1097" t="s">
        <v>3569</v>
      </c>
      <c r="P1097" s="4" t="s">
        <v>3573</v>
      </c>
      <c r="Q1097" t="s">
        <v>3573</v>
      </c>
    </row>
    <row r="1098" spans="1:18">
      <c r="A1098" t="s">
        <v>838</v>
      </c>
      <c r="B1098" t="s">
        <v>840</v>
      </c>
      <c r="C1098" t="s">
        <v>3340</v>
      </c>
      <c r="D1098" t="s">
        <v>3552</v>
      </c>
      <c r="E1098">
        <v>2</v>
      </c>
      <c r="F1098" s="4" t="s">
        <v>3556</v>
      </c>
      <c r="G1098" s="4">
        <v>1</v>
      </c>
      <c r="H1098">
        <v>3</v>
      </c>
      <c r="I1098">
        <v>349909</v>
      </c>
      <c r="J1098" s="6">
        <v>21.074999999999999</v>
      </c>
      <c r="K1098" s="4" t="str">
        <f t="shared" si="17"/>
        <v>Mid</v>
      </c>
      <c r="L1098" t="s">
        <v>3561</v>
      </c>
      <c r="M1098" s="4" t="s">
        <v>3561</v>
      </c>
      <c r="N1098" t="s">
        <v>457</v>
      </c>
      <c r="O1098" t="s">
        <v>3569</v>
      </c>
      <c r="P1098" s="4">
        <v>4</v>
      </c>
      <c r="Q1098" t="s">
        <v>3574</v>
      </c>
    </row>
    <row r="1099" spans="1:18">
      <c r="A1099" t="s">
        <v>838</v>
      </c>
      <c r="B1099" t="s">
        <v>840</v>
      </c>
      <c r="C1099" t="s">
        <v>3341</v>
      </c>
      <c r="D1099" t="s">
        <v>3552</v>
      </c>
      <c r="E1099">
        <v>6</v>
      </c>
      <c r="F1099" s="4" t="s">
        <v>3556</v>
      </c>
      <c r="G1099" s="4">
        <v>1</v>
      </c>
      <c r="H1099">
        <v>3</v>
      </c>
      <c r="I1099">
        <v>349909</v>
      </c>
      <c r="J1099" s="6">
        <v>21.074999999999999</v>
      </c>
      <c r="K1099" s="4" t="str">
        <f t="shared" si="17"/>
        <v>Mid</v>
      </c>
      <c r="L1099" t="s">
        <v>3561</v>
      </c>
      <c r="M1099" s="4" t="s">
        <v>3561</v>
      </c>
      <c r="N1099" t="s">
        <v>457</v>
      </c>
      <c r="O1099" t="s">
        <v>3569</v>
      </c>
      <c r="P1099" s="4" t="s">
        <v>3573</v>
      </c>
      <c r="Q1099" t="s">
        <v>3573</v>
      </c>
    </row>
    <row r="1100" spans="1:18">
      <c r="A1100" t="s">
        <v>838</v>
      </c>
      <c r="B1100" t="s">
        <v>840</v>
      </c>
      <c r="C1100" t="s">
        <v>3342</v>
      </c>
      <c r="D1100" t="s">
        <v>3551</v>
      </c>
      <c r="E1100">
        <v>3</v>
      </c>
      <c r="F1100" s="4" t="s">
        <v>3556</v>
      </c>
      <c r="G1100" s="4">
        <v>1</v>
      </c>
      <c r="H1100">
        <v>3</v>
      </c>
      <c r="I1100">
        <v>349909</v>
      </c>
      <c r="J1100" s="6">
        <v>21.074999999999999</v>
      </c>
      <c r="K1100" s="4" t="str">
        <f t="shared" si="17"/>
        <v>Mid</v>
      </c>
      <c r="L1100" t="s">
        <v>3561</v>
      </c>
      <c r="M1100" s="4" t="s">
        <v>3561</v>
      </c>
      <c r="N1100" t="s">
        <v>457</v>
      </c>
      <c r="O1100" t="s">
        <v>3569</v>
      </c>
      <c r="P1100" s="4" t="s">
        <v>3573</v>
      </c>
      <c r="Q1100" t="s">
        <v>3573</v>
      </c>
    </row>
    <row r="1101" spans="1:18">
      <c r="A1101" t="s">
        <v>838</v>
      </c>
      <c r="B1101" t="s">
        <v>840</v>
      </c>
      <c r="C1101" t="s">
        <v>3343</v>
      </c>
      <c r="D1101" t="s">
        <v>3551</v>
      </c>
      <c r="E1101">
        <v>8</v>
      </c>
      <c r="F1101" s="4" t="s">
        <v>3556</v>
      </c>
      <c r="G1101" s="4">
        <v>1</v>
      </c>
      <c r="H1101">
        <v>3</v>
      </c>
      <c r="I1101">
        <v>349909</v>
      </c>
      <c r="J1101" s="6">
        <v>21.074999999999999</v>
      </c>
      <c r="K1101" s="4" t="str">
        <f t="shared" si="17"/>
        <v>Mid</v>
      </c>
      <c r="L1101" t="s">
        <v>3561</v>
      </c>
      <c r="M1101" s="4" t="s">
        <v>3561</v>
      </c>
      <c r="N1101" t="s">
        <v>457</v>
      </c>
      <c r="O1101" t="s">
        <v>3569</v>
      </c>
      <c r="P1101" s="4" t="s">
        <v>3573</v>
      </c>
      <c r="Q1101" t="s">
        <v>3573</v>
      </c>
    </row>
    <row r="1102" spans="1:18">
      <c r="A1102" t="s">
        <v>838</v>
      </c>
      <c r="B1102" t="s">
        <v>840</v>
      </c>
      <c r="C1102" t="s">
        <v>3344</v>
      </c>
      <c r="D1102" t="s">
        <v>3551</v>
      </c>
      <c r="E1102">
        <v>29</v>
      </c>
      <c r="F1102" s="4" t="s">
        <v>3555</v>
      </c>
      <c r="G1102" s="4">
        <v>4</v>
      </c>
      <c r="H1102">
        <v>0</v>
      </c>
      <c r="I1102">
        <v>349909</v>
      </c>
      <c r="J1102" s="6">
        <v>21.074999999999999</v>
      </c>
      <c r="K1102" s="4" t="str">
        <f t="shared" si="17"/>
        <v>Mid</v>
      </c>
      <c r="L1102" t="s">
        <v>3561</v>
      </c>
      <c r="M1102" s="4" t="s">
        <v>3561</v>
      </c>
      <c r="N1102" t="s">
        <v>457</v>
      </c>
      <c r="O1102" t="s">
        <v>3569</v>
      </c>
      <c r="P1102" s="4">
        <v>206</v>
      </c>
      <c r="Q1102" t="s">
        <v>3574</v>
      </c>
    </row>
    <row r="1103" spans="1:18">
      <c r="A1103" t="s">
        <v>838</v>
      </c>
      <c r="B1103" t="s">
        <v>840</v>
      </c>
      <c r="C1103" t="s">
        <v>3345</v>
      </c>
      <c r="D1103" t="s">
        <v>3552</v>
      </c>
      <c r="E1103">
        <v>1</v>
      </c>
      <c r="F1103" s="4" t="s">
        <v>3556</v>
      </c>
      <c r="G1103" s="4">
        <v>1</v>
      </c>
      <c r="H1103">
        <v>4</v>
      </c>
      <c r="I1103">
        <v>3101295</v>
      </c>
      <c r="J1103" s="6">
        <v>39.6875</v>
      </c>
      <c r="K1103" s="4" t="str">
        <f t="shared" si="17"/>
        <v>Mid</v>
      </c>
      <c r="L1103" t="s">
        <v>3561</v>
      </c>
      <c r="M1103" s="4" t="s">
        <v>3561</v>
      </c>
      <c r="N1103" t="s">
        <v>457</v>
      </c>
      <c r="O1103" t="s">
        <v>3569</v>
      </c>
      <c r="P1103" s="4" t="s">
        <v>3573</v>
      </c>
      <c r="Q1103" t="s">
        <v>3573</v>
      </c>
    </row>
    <row r="1104" spans="1:18">
      <c r="A1104" t="s">
        <v>838</v>
      </c>
      <c r="B1104" t="s">
        <v>840</v>
      </c>
      <c r="C1104" t="s">
        <v>3346</v>
      </c>
      <c r="D1104" t="s">
        <v>3552</v>
      </c>
      <c r="E1104">
        <v>7</v>
      </c>
      <c r="F1104" s="4" t="s">
        <v>3556</v>
      </c>
      <c r="G1104" s="4">
        <v>1</v>
      </c>
      <c r="H1104">
        <v>4</v>
      </c>
      <c r="I1104">
        <v>3101295</v>
      </c>
      <c r="J1104" s="6">
        <v>39.6875</v>
      </c>
      <c r="K1104" s="4" t="str">
        <f t="shared" si="17"/>
        <v>Mid</v>
      </c>
      <c r="L1104" t="s">
        <v>3561</v>
      </c>
      <c r="M1104" s="4" t="s">
        <v>3561</v>
      </c>
      <c r="N1104" t="s">
        <v>457</v>
      </c>
      <c r="O1104" t="s">
        <v>3569</v>
      </c>
      <c r="P1104" s="4" t="s">
        <v>3573</v>
      </c>
      <c r="Q1104" t="s">
        <v>3573</v>
      </c>
    </row>
    <row r="1105" spans="1:17">
      <c r="A1105" t="s">
        <v>838</v>
      </c>
      <c r="B1105" t="s">
        <v>840</v>
      </c>
      <c r="C1105" t="s">
        <v>3347</v>
      </c>
      <c r="D1105" t="s">
        <v>3552</v>
      </c>
      <c r="E1105">
        <v>2</v>
      </c>
      <c r="F1105" s="4" t="s">
        <v>3556</v>
      </c>
      <c r="G1105" s="4">
        <v>1</v>
      </c>
      <c r="H1105">
        <v>4</v>
      </c>
      <c r="I1105">
        <v>3101295</v>
      </c>
      <c r="J1105" s="6">
        <v>39.6875</v>
      </c>
      <c r="K1105" s="4" t="str">
        <f t="shared" si="17"/>
        <v>Mid</v>
      </c>
      <c r="L1105" t="s">
        <v>3561</v>
      </c>
      <c r="M1105" s="4" t="s">
        <v>3561</v>
      </c>
      <c r="N1105" t="s">
        <v>457</v>
      </c>
      <c r="O1105" t="s">
        <v>3569</v>
      </c>
      <c r="P1105" s="4" t="s">
        <v>3573</v>
      </c>
      <c r="Q1105" t="s">
        <v>3573</v>
      </c>
    </row>
    <row r="1106" spans="1:17">
      <c r="A1106" t="s">
        <v>838</v>
      </c>
      <c r="B1106" t="s">
        <v>840</v>
      </c>
      <c r="C1106" t="s">
        <v>3348</v>
      </c>
      <c r="D1106" t="s">
        <v>3552</v>
      </c>
      <c r="E1106">
        <v>16</v>
      </c>
      <c r="F1106" s="4" t="s">
        <v>3560</v>
      </c>
      <c r="G1106" s="4">
        <v>1</v>
      </c>
      <c r="H1106">
        <v>4</v>
      </c>
      <c r="I1106">
        <v>3101295</v>
      </c>
      <c r="J1106" s="6">
        <v>39.6875</v>
      </c>
      <c r="K1106" s="4" t="str">
        <f t="shared" si="17"/>
        <v>Mid</v>
      </c>
      <c r="L1106" t="s">
        <v>3561</v>
      </c>
      <c r="M1106" s="4" t="s">
        <v>3561</v>
      </c>
      <c r="N1106" t="s">
        <v>457</v>
      </c>
      <c r="O1106" t="s">
        <v>3569</v>
      </c>
      <c r="P1106" s="4" t="s">
        <v>3573</v>
      </c>
      <c r="Q1106" t="s">
        <v>3573</v>
      </c>
    </row>
    <row r="1107" spans="1:17">
      <c r="A1107" t="s">
        <v>838</v>
      </c>
      <c r="B1107" t="s">
        <v>840</v>
      </c>
      <c r="C1107" t="s">
        <v>3349</v>
      </c>
      <c r="D1107" t="s">
        <v>3552</v>
      </c>
      <c r="E1107">
        <v>14</v>
      </c>
      <c r="F1107" s="4" t="s">
        <v>3560</v>
      </c>
      <c r="G1107" s="4">
        <v>1</v>
      </c>
      <c r="H1107">
        <v>4</v>
      </c>
      <c r="I1107">
        <v>3101295</v>
      </c>
      <c r="J1107" s="6">
        <v>39.6875</v>
      </c>
      <c r="K1107" s="4" t="str">
        <f t="shared" si="17"/>
        <v>Mid</v>
      </c>
      <c r="L1107" t="s">
        <v>3561</v>
      </c>
      <c r="M1107" s="4" t="s">
        <v>3561</v>
      </c>
      <c r="N1107" t="s">
        <v>457</v>
      </c>
      <c r="O1107" t="s">
        <v>3569</v>
      </c>
      <c r="P1107" s="4" t="s">
        <v>3573</v>
      </c>
      <c r="Q1107" t="s">
        <v>3573</v>
      </c>
    </row>
    <row r="1108" spans="1:17">
      <c r="A1108" t="s">
        <v>838</v>
      </c>
      <c r="B1108" t="s">
        <v>840</v>
      </c>
      <c r="C1108" t="s">
        <v>3350</v>
      </c>
      <c r="D1108" t="s">
        <v>3551</v>
      </c>
      <c r="E1108">
        <v>41</v>
      </c>
      <c r="F1108" s="4" t="s">
        <v>3557</v>
      </c>
      <c r="G1108" s="4">
        <v>5</v>
      </c>
      <c r="H1108">
        <v>0</v>
      </c>
      <c r="I1108">
        <v>3101295</v>
      </c>
      <c r="J1108" s="6">
        <v>39.6875</v>
      </c>
      <c r="K1108" s="4" t="str">
        <f t="shared" si="17"/>
        <v>Mid</v>
      </c>
      <c r="L1108" t="s">
        <v>3561</v>
      </c>
      <c r="M1108" s="4" t="s">
        <v>3561</v>
      </c>
      <c r="N1108" t="s">
        <v>457</v>
      </c>
      <c r="O1108" t="s">
        <v>3569</v>
      </c>
      <c r="P1108" s="4" t="s">
        <v>3573</v>
      </c>
      <c r="Q1108" t="s">
        <v>3573</v>
      </c>
    </row>
    <row r="1109" spans="1:17">
      <c r="A1109" t="s">
        <v>838</v>
      </c>
      <c r="B1109" t="s">
        <v>840</v>
      </c>
      <c r="C1109" t="s">
        <v>3351</v>
      </c>
      <c r="D1109" t="s">
        <v>3552</v>
      </c>
      <c r="E1109">
        <v>21</v>
      </c>
      <c r="F1109" s="4" t="s">
        <v>3555</v>
      </c>
      <c r="G1109" s="4">
        <v>0</v>
      </c>
      <c r="H1109">
        <v>0</v>
      </c>
      <c r="I1109">
        <v>315097</v>
      </c>
      <c r="J1109" s="6">
        <v>8.6624999999999996</v>
      </c>
      <c r="K1109" s="4" t="str">
        <f t="shared" si="17"/>
        <v>Low</v>
      </c>
      <c r="L1109" t="s">
        <v>3561</v>
      </c>
      <c r="M1109" s="4" t="s">
        <v>3561</v>
      </c>
      <c r="N1109" t="s">
        <v>457</v>
      </c>
      <c r="O1109" t="s">
        <v>3569</v>
      </c>
      <c r="P1109" s="4" t="s">
        <v>3573</v>
      </c>
      <c r="Q1109" t="s">
        <v>3573</v>
      </c>
    </row>
    <row r="1110" spans="1:17">
      <c r="A1110" t="s">
        <v>838</v>
      </c>
      <c r="B1110" t="s">
        <v>840</v>
      </c>
      <c r="C1110" t="s">
        <v>3352</v>
      </c>
      <c r="D1110" t="s">
        <v>3552</v>
      </c>
      <c r="E1110">
        <v>19</v>
      </c>
      <c r="F1110" s="4" t="s">
        <v>3555</v>
      </c>
      <c r="G1110" s="4">
        <v>0</v>
      </c>
      <c r="H1110">
        <v>0</v>
      </c>
      <c r="I1110">
        <v>358585</v>
      </c>
      <c r="J1110" s="6">
        <v>14.5</v>
      </c>
      <c r="K1110" s="4" t="str">
        <f t="shared" si="17"/>
        <v>Mid</v>
      </c>
      <c r="L1110" t="s">
        <v>3561</v>
      </c>
      <c r="M1110" s="4" t="s">
        <v>3561</v>
      </c>
      <c r="N1110" t="s">
        <v>457</v>
      </c>
      <c r="O1110" t="s">
        <v>3569</v>
      </c>
      <c r="P1110" s="4" t="s">
        <v>3573</v>
      </c>
      <c r="Q1110" t="s">
        <v>3573</v>
      </c>
    </row>
    <row r="1111" spans="1:17">
      <c r="A1111" t="s">
        <v>838</v>
      </c>
      <c r="B1111" t="s">
        <v>840</v>
      </c>
      <c r="C1111" t="s">
        <v>3353</v>
      </c>
      <c r="D1111" t="s">
        <v>3552</v>
      </c>
      <c r="E1111">
        <v>28</v>
      </c>
      <c r="F1111" s="4" t="s">
        <v>3555</v>
      </c>
      <c r="G1111" s="4">
        <v>0</v>
      </c>
      <c r="H1111">
        <v>0</v>
      </c>
      <c r="I1111">
        <v>3411</v>
      </c>
      <c r="J1111" s="6">
        <v>8.7125000000000004</v>
      </c>
      <c r="K1111" s="4" t="str">
        <f t="shared" si="17"/>
        <v>Low</v>
      </c>
      <c r="L1111" t="s">
        <v>3561</v>
      </c>
      <c r="M1111" s="4" t="s">
        <v>3561</v>
      </c>
      <c r="N1111" t="s">
        <v>3566</v>
      </c>
      <c r="O1111" t="s">
        <v>3569</v>
      </c>
      <c r="P1111" s="4" t="s">
        <v>3573</v>
      </c>
      <c r="Q1111" t="s">
        <v>3573</v>
      </c>
    </row>
    <row r="1112" spans="1:17">
      <c r="A1112" t="s">
        <v>838</v>
      </c>
      <c r="B1112" t="s">
        <v>840</v>
      </c>
      <c r="C1112" t="s">
        <v>3354</v>
      </c>
      <c r="D1112" t="s">
        <v>3552</v>
      </c>
      <c r="E1112">
        <v>32</v>
      </c>
      <c r="F1112" s="4" t="s">
        <v>3557</v>
      </c>
      <c r="G1112" s="4">
        <v>0</v>
      </c>
      <c r="H1112">
        <v>0</v>
      </c>
      <c r="I1112">
        <v>349242</v>
      </c>
      <c r="J1112" s="6">
        <v>7.8958000000000004</v>
      </c>
      <c r="K1112" s="4" t="str">
        <f t="shared" si="17"/>
        <v>Low</v>
      </c>
      <c r="L1112" t="s">
        <v>3561</v>
      </c>
      <c r="M1112" s="4" t="s">
        <v>3561</v>
      </c>
      <c r="N1112" t="s">
        <v>457</v>
      </c>
      <c r="O1112" t="s">
        <v>3569</v>
      </c>
      <c r="P1112" s="4" t="s">
        <v>3573</v>
      </c>
      <c r="Q1112" t="s">
        <v>3573</v>
      </c>
    </row>
    <row r="1113" spans="1:17">
      <c r="A1113" t="s">
        <v>838</v>
      </c>
      <c r="B1113" t="s">
        <v>840</v>
      </c>
      <c r="C1113" t="s">
        <v>3355</v>
      </c>
      <c r="D1113" t="s">
        <v>3552</v>
      </c>
      <c r="E1113">
        <v>1</v>
      </c>
      <c r="F1113" s="4" t="s">
        <v>3556</v>
      </c>
      <c r="G1113" s="4">
        <v>1</v>
      </c>
      <c r="H1113">
        <v>1</v>
      </c>
      <c r="I1113" t="s">
        <v>793</v>
      </c>
      <c r="J1113" s="6">
        <v>13.775</v>
      </c>
      <c r="K1113" s="4" t="str">
        <f t="shared" si="17"/>
        <v>Mid</v>
      </c>
      <c r="L1113" t="s">
        <v>3561</v>
      </c>
      <c r="M1113" s="4" t="s">
        <v>3561</v>
      </c>
      <c r="N1113" t="s">
        <v>457</v>
      </c>
      <c r="O1113" t="s">
        <v>3569</v>
      </c>
      <c r="P1113" s="4" t="s">
        <v>3573</v>
      </c>
      <c r="Q1113" t="s">
        <v>3573</v>
      </c>
    </row>
    <row r="1114" spans="1:17">
      <c r="A1114" t="s">
        <v>838</v>
      </c>
      <c r="B1114" t="s">
        <v>840</v>
      </c>
      <c r="C1114" t="s">
        <v>3356</v>
      </c>
      <c r="D1114" t="s">
        <v>3551</v>
      </c>
      <c r="E1114">
        <v>3</v>
      </c>
      <c r="F1114" s="4" t="s">
        <v>3556</v>
      </c>
      <c r="G1114" s="4">
        <v>1</v>
      </c>
      <c r="H1114">
        <v>1</v>
      </c>
      <c r="I1114" t="s">
        <v>793</v>
      </c>
      <c r="J1114" s="6">
        <v>13.775</v>
      </c>
      <c r="K1114" s="4" t="str">
        <f t="shared" si="17"/>
        <v>Mid</v>
      </c>
      <c r="L1114" t="s">
        <v>3561</v>
      </c>
      <c r="M1114" s="4" t="s">
        <v>3561</v>
      </c>
      <c r="N1114" t="s">
        <v>457</v>
      </c>
      <c r="O1114" t="s">
        <v>3569</v>
      </c>
      <c r="P1114" s="4" t="s">
        <v>3573</v>
      </c>
      <c r="Q1114" t="s">
        <v>3573</v>
      </c>
    </row>
    <row r="1115" spans="1:17">
      <c r="A1115" t="s">
        <v>838</v>
      </c>
      <c r="B1115" t="s">
        <v>840</v>
      </c>
      <c r="C1115" t="s">
        <v>3357</v>
      </c>
      <c r="D1115" t="s">
        <v>3551</v>
      </c>
      <c r="E1115">
        <v>26</v>
      </c>
      <c r="F1115" s="4" t="s">
        <v>3555</v>
      </c>
      <c r="G1115" s="4">
        <v>2</v>
      </c>
      <c r="H1115">
        <v>0</v>
      </c>
      <c r="I1115" t="s">
        <v>793</v>
      </c>
      <c r="J1115" s="6">
        <v>13.775</v>
      </c>
      <c r="K1115" s="4" t="str">
        <f t="shared" si="17"/>
        <v>Mid</v>
      </c>
      <c r="L1115" t="s">
        <v>3561</v>
      </c>
      <c r="M1115" s="4" t="s">
        <v>3561</v>
      </c>
      <c r="N1115" t="s">
        <v>457</v>
      </c>
      <c r="O1115" t="s">
        <v>3569</v>
      </c>
      <c r="P1115" s="4" t="s">
        <v>3573</v>
      </c>
      <c r="Q1115" t="s">
        <v>3573</v>
      </c>
    </row>
    <row r="1116" spans="1:17">
      <c r="A1116" t="s">
        <v>838</v>
      </c>
      <c r="B1116" t="s">
        <v>840</v>
      </c>
      <c r="C1116" t="s">
        <v>3358</v>
      </c>
      <c r="D1116" t="s">
        <v>3552</v>
      </c>
      <c r="E1116">
        <v>28</v>
      </c>
      <c r="F1116" s="4" t="s">
        <v>3555</v>
      </c>
      <c r="G1116" s="4">
        <v>0</v>
      </c>
      <c r="H1116">
        <v>0</v>
      </c>
      <c r="I1116">
        <v>343271</v>
      </c>
      <c r="J1116" s="6">
        <v>7</v>
      </c>
      <c r="K1116" s="4" t="str">
        <f t="shared" si="17"/>
        <v>Low</v>
      </c>
      <c r="L1116" t="s">
        <v>3561</v>
      </c>
      <c r="M1116" s="4" t="s">
        <v>3561</v>
      </c>
      <c r="N1116" t="s">
        <v>457</v>
      </c>
      <c r="O1116" t="s">
        <v>3569</v>
      </c>
      <c r="P1116" s="4" t="s">
        <v>3573</v>
      </c>
      <c r="Q1116" t="s">
        <v>3573</v>
      </c>
    </row>
    <row r="1117" spans="1:17">
      <c r="A1117" t="s">
        <v>838</v>
      </c>
      <c r="B1117" t="s">
        <v>840</v>
      </c>
      <c r="C1117" t="s">
        <v>3359</v>
      </c>
      <c r="D1117" t="s">
        <v>3552</v>
      </c>
      <c r="E1117">
        <v>28</v>
      </c>
      <c r="F1117" s="4" t="s">
        <v>3555</v>
      </c>
      <c r="G1117" s="4">
        <v>0</v>
      </c>
      <c r="H1117">
        <v>0</v>
      </c>
      <c r="I1117">
        <v>345498</v>
      </c>
      <c r="J1117" s="6">
        <v>7.7750000000000004</v>
      </c>
      <c r="K1117" s="4" t="str">
        <f t="shared" si="17"/>
        <v>Low</v>
      </c>
      <c r="L1117" t="s">
        <v>3561</v>
      </c>
      <c r="M1117" s="4" t="s">
        <v>3561</v>
      </c>
      <c r="N1117" t="s">
        <v>457</v>
      </c>
      <c r="O1117" t="s">
        <v>3569</v>
      </c>
      <c r="P1117" s="4" t="s">
        <v>3573</v>
      </c>
      <c r="Q1117" t="s">
        <v>3573</v>
      </c>
    </row>
    <row r="1118" spans="1:17">
      <c r="A1118" t="s">
        <v>838</v>
      </c>
      <c r="B1118" t="s">
        <v>840</v>
      </c>
      <c r="C1118" t="s">
        <v>3360</v>
      </c>
      <c r="D1118" t="s">
        <v>3552</v>
      </c>
      <c r="E1118">
        <v>28</v>
      </c>
      <c r="F1118" s="4" t="s">
        <v>3555</v>
      </c>
      <c r="G1118" s="4">
        <v>0</v>
      </c>
      <c r="H1118">
        <v>0</v>
      </c>
      <c r="I1118" t="s">
        <v>794</v>
      </c>
      <c r="J1118" s="6">
        <v>8.0500000000000007</v>
      </c>
      <c r="K1118" s="4" t="str">
        <f t="shared" si="17"/>
        <v>Low</v>
      </c>
      <c r="L1118" t="s">
        <v>3561</v>
      </c>
      <c r="M1118" s="4" t="s">
        <v>3561</v>
      </c>
      <c r="N1118" t="s">
        <v>457</v>
      </c>
      <c r="O1118" t="s">
        <v>3569</v>
      </c>
      <c r="P1118" s="4" t="s">
        <v>3573</v>
      </c>
      <c r="Q1118" t="s">
        <v>3573</v>
      </c>
    </row>
    <row r="1119" spans="1:17">
      <c r="A1119" t="s">
        <v>838</v>
      </c>
      <c r="B1119" t="s">
        <v>840</v>
      </c>
      <c r="C1119" t="s">
        <v>3361</v>
      </c>
      <c r="D1119" t="s">
        <v>3552</v>
      </c>
      <c r="E1119">
        <v>21</v>
      </c>
      <c r="F1119" s="4" t="s">
        <v>3555</v>
      </c>
      <c r="G1119" s="4">
        <v>0</v>
      </c>
      <c r="H1119">
        <v>0</v>
      </c>
      <c r="I1119" t="s">
        <v>795</v>
      </c>
      <c r="J1119" s="6">
        <v>7.9249999999999998</v>
      </c>
      <c r="K1119" s="4" t="str">
        <f t="shared" si="17"/>
        <v>Low</v>
      </c>
      <c r="L1119" t="s">
        <v>3561</v>
      </c>
      <c r="M1119" s="4" t="s">
        <v>3561</v>
      </c>
      <c r="N1119" t="s">
        <v>457</v>
      </c>
      <c r="O1119" t="s">
        <v>3569</v>
      </c>
      <c r="P1119" s="4" t="s">
        <v>3573</v>
      </c>
      <c r="Q1119" t="s">
        <v>3573</v>
      </c>
    </row>
    <row r="1120" spans="1:17">
      <c r="A1120" t="s">
        <v>838</v>
      </c>
      <c r="B1120" t="s">
        <v>840</v>
      </c>
      <c r="C1120" t="s">
        <v>3362</v>
      </c>
      <c r="D1120" t="s">
        <v>3552</v>
      </c>
      <c r="E1120">
        <v>25</v>
      </c>
      <c r="F1120" s="4" t="s">
        <v>3555</v>
      </c>
      <c r="G1120" s="4">
        <v>0</v>
      </c>
      <c r="H1120">
        <v>0</v>
      </c>
      <c r="I1120" t="s">
        <v>796</v>
      </c>
      <c r="J1120" s="6">
        <v>7.9249999999999998</v>
      </c>
      <c r="K1120" s="4" t="str">
        <f t="shared" si="17"/>
        <v>Low</v>
      </c>
      <c r="L1120" t="s">
        <v>3561</v>
      </c>
      <c r="M1120" s="4" t="s">
        <v>3561</v>
      </c>
      <c r="N1120" t="s">
        <v>457</v>
      </c>
      <c r="O1120" t="s">
        <v>3569</v>
      </c>
      <c r="P1120" s="4" t="s">
        <v>3573</v>
      </c>
      <c r="Q1120" t="s">
        <v>3573</v>
      </c>
    </row>
    <row r="1121" spans="1:17">
      <c r="A1121" t="s">
        <v>838</v>
      </c>
      <c r="B1121" t="s">
        <v>840</v>
      </c>
      <c r="C1121" t="s">
        <v>3363</v>
      </c>
      <c r="D1121" t="s">
        <v>3552</v>
      </c>
      <c r="E1121">
        <v>22</v>
      </c>
      <c r="F1121" s="4" t="s">
        <v>3555</v>
      </c>
      <c r="G1121" s="4">
        <v>0</v>
      </c>
      <c r="H1121">
        <v>0</v>
      </c>
      <c r="I1121" t="s">
        <v>797</v>
      </c>
      <c r="J1121" s="6">
        <v>7.25</v>
      </c>
      <c r="K1121" s="4" t="str">
        <f t="shared" si="17"/>
        <v>Low</v>
      </c>
      <c r="L1121" t="s">
        <v>3561</v>
      </c>
      <c r="M1121" s="4" t="s">
        <v>3561</v>
      </c>
      <c r="N1121" t="s">
        <v>457</v>
      </c>
      <c r="O1121" t="s">
        <v>3569</v>
      </c>
      <c r="P1121" s="4" t="s">
        <v>3573</v>
      </c>
      <c r="Q1121" t="s">
        <v>3573</v>
      </c>
    </row>
    <row r="1122" spans="1:17">
      <c r="A1122" t="s">
        <v>838</v>
      </c>
      <c r="B1122" t="s">
        <v>9</v>
      </c>
      <c r="C1122" t="s">
        <v>3364</v>
      </c>
      <c r="D1122" t="s">
        <v>3552</v>
      </c>
      <c r="E1122">
        <v>25</v>
      </c>
      <c r="F1122" s="4" t="s">
        <v>3555</v>
      </c>
      <c r="G1122" s="4">
        <v>0</v>
      </c>
      <c r="H1122">
        <v>1</v>
      </c>
      <c r="I1122">
        <v>347083</v>
      </c>
      <c r="J1122" s="6">
        <v>7.7750000000000004</v>
      </c>
      <c r="K1122" s="4" t="str">
        <f t="shared" si="17"/>
        <v>Low</v>
      </c>
      <c r="L1122" t="s">
        <v>3561</v>
      </c>
      <c r="M1122" s="4" t="s">
        <v>3561</v>
      </c>
      <c r="N1122" t="s">
        <v>457</v>
      </c>
      <c r="O1122">
        <v>15</v>
      </c>
      <c r="P1122" s="4" t="s">
        <v>3573</v>
      </c>
      <c r="Q1122" t="s">
        <v>3573</v>
      </c>
    </row>
    <row r="1123" spans="1:17">
      <c r="A1123" t="s">
        <v>838</v>
      </c>
      <c r="B1123" t="s">
        <v>9</v>
      </c>
      <c r="C1123" t="s">
        <v>3365</v>
      </c>
      <c r="D1123" t="s">
        <v>3552</v>
      </c>
      <c r="E1123">
        <v>28</v>
      </c>
      <c r="F1123" s="4" t="s">
        <v>3555</v>
      </c>
      <c r="G1123" s="4">
        <v>1</v>
      </c>
      <c r="H1123">
        <v>1</v>
      </c>
      <c r="I1123">
        <v>2668</v>
      </c>
      <c r="J1123" s="6">
        <v>22.3583</v>
      </c>
      <c r="K1123" s="4" t="str">
        <f t="shared" si="17"/>
        <v>Mid</v>
      </c>
      <c r="L1123" t="s">
        <v>3561</v>
      </c>
      <c r="M1123" s="4" t="s">
        <v>3561</v>
      </c>
      <c r="N1123" t="s">
        <v>3566</v>
      </c>
      <c r="O1123" t="s">
        <v>62</v>
      </c>
      <c r="P1123" s="4" t="s">
        <v>3573</v>
      </c>
      <c r="Q1123" t="s">
        <v>3573</v>
      </c>
    </row>
    <row r="1124" spans="1:17">
      <c r="A1124" t="s">
        <v>838</v>
      </c>
      <c r="B1124" t="s">
        <v>9</v>
      </c>
      <c r="C1124" t="s">
        <v>3366</v>
      </c>
      <c r="D1124" t="s">
        <v>3551</v>
      </c>
      <c r="E1124">
        <v>28</v>
      </c>
      <c r="F1124" s="4" t="s">
        <v>3555</v>
      </c>
      <c r="G1124" s="4">
        <v>1</v>
      </c>
      <c r="H1124">
        <v>1</v>
      </c>
      <c r="I1124">
        <v>2668</v>
      </c>
      <c r="J1124" s="6">
        <v>22.3583</v>
      </c>
      <c r="K1124" s="4" t="str">
        <f t="shared" si="17"/>
        <v>Mid</v>
      </c>
      <c r="L1124" t="s">
        <v>798</v>
      </c>
      <c r="M1124" s="4" t="s">
        <v>586</v>
      </c>
      <c r="N1124" t="s">
        <v>3566</v>
      </c>
      <c r="O1124" t="s">
        <v>59</v>
      </c>
      <c r="P1124" s="4" t="s">
        <v>3573</v>
      </c>
      <c r="Q1124" t="s">
        <v>3573</v>
      </c>
    </row>
    <row r="1125" spans="1:17">
      <c r="A1125" t="s">
        <v>838</v>
      </c>
      <c r="B1125" t="s">
        <v>9</v>
      </c>
      <c r="C1125" t="s">
        <v>3367</v>
      </c>
      <c r="D1125" t="s">
        <v>3551</v>
      </c>
      <c r="E1125">
        <v>28</v>
      </c>
      <c r="F1125" s="4" t="s">
        <v>3555</v>
      </c>
      <c r="G1125" s="4">
        <v>2</v>
      </c>
      <c r="H1125">
        <v>0</v>
      </c>
      <c r="I1125">
        <v>2668</v>
      </c>
      <c r="J1125" s="6">
        <v>22.3583</v>
      </c>
      <c r="K1125" s="4" t="str">
        <f t="shared" si="17"/>
        <v>Mid</v>
      </c>
      <c r="L1125" t="s">
        <v>3561</v>
      </c>
      <c r="M1125" s="4" t="s">
        <v>3561</v>
      </c>
      <c r="N1125" t="s">
        <v>3566</v>
      </c>
      <c r="O1125" t="s">
        <v>59</v>
      </c>
      <c r="P1125" s="4" t="s">
        <v>3573</v>
      </c>
      <c r="Q1125" t="s">
        <v>3573</v>
      </c>
    </row>
    <row r="1126" spans="1:17">
      <c r="A1126" t="s">
        <v>838</v>
      </c>
      <c r="B1126" t="s">
        <v>840</v>
      </c>
      <c r="C1126" t="s">
        <v>3368</v>
      </c>
      <c r="D1126" t="s">
        <v>3551</v>
      </c>
      <c r="E1126">
        <v>28</v>
      </c>
      <c r="F1126" s="4" t="s">
        <v>3555</v>
      </c>
      <c r="G1126" s="4">
        <v>0</v>
      </c>
      <c r="H1126">
        <v>0</v>
      </c>
      <c r="I1126">
        <v>330935</v>
      </c>
      <c r="J1126" s="6">
        <v>8.1374999999999993</v>
      </c>
      <c r="K1126" s="4" t="str">
        <f t="shared" si="17"/>
        <v>Low</v>
      </c>
      <c r="L1126" t="s">
        <v>3561</v>
      </c>
      <c r="M1126" s="4" t="s">
        <v>3561</v>
      </c>
      <c r="N1126" t="s">
        <v>3567</v>
      </c>
      <c r="O1126" t="s">
        <v>3569</v>
      </c>
      <c r="P1126" s="4" t="s">
        <v>3573</v>
      </c>
      <c r="Q1126" t="s">
        <v>3573</v>
      </c>
    </row>
    <row r="1127" spans="1:17">
      <c r="A1127" t="s">
        <v>838</v>
      </c>
      <c r="B1127" t="s">
        <v>840</v>
      </c>
      <c r="C1127" t="s">
        <v>3369</v>
      </c>
      <c r="D1127" t="s">
        <v>3552</v>
      </c>
      <c r="E1127">
        <v>24</v>
      </c>
      <c r="F1127" s="4" t="s">
        <v>3555</v>
      </c>
      <c r="G1127" s="4">
        <v>0</v>
      </c>
      <c r="H1127">
        <v>0</v>
      </c>
      <c r="I1127">
        <v>342441</v>
      </c>
      <c r="J1127" s="6">
        <v>8.0500000000000007</v>
      </c>
      <c r="K1127" s="4" t="str">
        <f t="shared" si="17"/>
        <v>Low</v>
      </c>
      <c r="L1127" t="s">
        <v>3561</v>
      </c>
      <c r="M1127" s="4" t="s">
        <v>3561</v>
      </c>
      <c r="N1127" t="s">
        <v>457</v>
      </c>
      <c r="O1127" t="s">
        <v>3569</v>
      </c>
      <c r="P1127" s="4" t="s">
        <v>3573</v>
      </c>
      <c r="Q1127" t="s">
        <v>3573</v>
      </c>
    </row>
    <row r="1128" spans="1:17">
      <c r="A1128" t="s">
        <v>838</v>
      </c>
      <c r="B1128" t="s">
        <v>840</v>
      </c>
      <c r="C1128" t="s">
        <v>3370</v>
      </c>
      <c r="D1128" t="s">
        <v>3551</v>
      </c>
      <c r="E1128">
        <v>28</v>
      </c>
      <c r="F1128" s="4" t="s">
        <v>3555</v>
      </c>
      <c r="G1128" s="4">
        <v>0</v>
      </c>
      <c r="H1128">
        <v>0</v>
      </c>
      <c r="I1128">
        <v>349245</v>
      </c>
      <c r="J1128" s="6">
        <v>7.8958000000000004</v>
      </c>
      <c r="K1128" s="4" t="str">
        <f t="shared" si="17"/>
        <v>Low</v>
      </c>
      <c r="L1128" t="s">
        <v>3561</v>
      </c>
      <c r="M1128" s="4" t="s">
        <v>3561</v>
      </c>
      <c r="N1128" t="s">
        <v>457</v>
      </c>
      <c r="O1128" t="s">
        <v>3569</v>
      </c>
      <c r="P1128" s="4" t="s">
        <v>3573</v>
      </c>
      <c r="Q1128" t="s">
        <v>3573</v>
      </c>
    </row>
    <row r="1129" spans="1:17">
      <c r="A1129" t="s">
        <v>838</v>
      </c>
      <c r="B1129" t="s">
        <v>840</v>
      </c>
      <c r="C1129" t="s">
        <v>3371</v>
      </c>
      <c r="D1129" t="s">
        <v>3552</v>
      </c>
      <c r="E1129">
        <v>19</v>
      </c>
      <c r="F1129" s="4" t="s">
        <v>3555</v>
      </c>
      <c r="G1129" s="4">
        <v>0</v>
      </c>
      <c r="H1129">
        <v>0</v>
      </c>
      <c r="I1129">
        <v>349212</v>
      </c>
      <c r="J1129" s="6">
        <v>7.8958000000000004</v>
      </c>
      <c r="K1129" s="4" t="str">
        <f t="shared" si="17"/>
        <v>Low</v>
      </c>
      <c r="L1129" t="s">
        <v>3561</v>
      </c>
      <c r="M1129" s="4" t="s">
        <v>3561</v>
      </c>
      <c r="N1129" t="s">
        <v>457</v>
      </c>
      <c r="O1129" t="s">
        <v>3569</v>
      </c>
      <c r="P1129" s="4" t="s">
        <v>3573</v>
      </c>
      <c r="Q1129" t="s">
        <v>3573</v>
      </c>
    </row>
    <row r="1130" spans="1:17">
      <c r="A1130" t="s">
        <v>838</v>
      </c>
      <c r="B1130" t="s">
        <v>840</v>
      </c>
      <c r="C1130" t="s">
        <v>3372</v>
      </c>
      <c r="D1130" t="s">
        <v>3552</v>
      </c>
      <c r="E1130">
        <v>28</v>
      </c>
      <c r="F1130" s="4" t="s">
        <v>3555</v>
      </c>
      <c r="G1130" s="4">
        <v>0</v>
      </c>
      <c r="H1130">
        <v>0</v>
      </c>
      <c r="I1130">
        <v>349215</v>
      </c>
      <c r="J1130" s="6">
        <v>7.8958000000000004</v>
      </c>
      <c r="K1130" s="4" t="str">
        <f t="shared" si="17"/>
        <v>Low</v>
      </c>
      <c r="L1130" t="s">
        <v>3561</v>
      </c>
      <c r="M1130" s="4" t="s">
        <v>3561</v>
      </c>
      <c r="N1130" t="s">
        <v>457</v>
      </c>
      <c r="O1130" t="s">
        <v>3569</v>
      </c>
      <c r="P1130" s="4" t="s">
        <v>3573</v>
      </c>
      <c r="Q1130" t="s">
        <v>3573</v>
      </c>
    </row>
    <row r="1131" spans="1:17">
      <c r="A1131" t="s">
        <v>838</v>
      </c>
      <c r="B1131" t="s">
        <v>840</v>
      </c>
      <c r="C1131" t="s">
        <v>3373</v>
      </c>
      <c r="D1131" t="s">
        <v>3552</v>
      </c>
      <c r="E1131">
        <v>25</v>
      </c>
      <c r="F1131" s="4" t="s">
        <v>3555</v>
      </c>
      <c r="G1131" s="4">
        <v>0</v>
      </c>
      <c r="H1131">
        <v>1</v>
      </c>
      <c r="I1131">
        <v>347076</v>
      </c>
      <c r="J1131" s="6">
        <v>7.7750000000000004</v>
      </c>
      <c r="K1131" s="4" t="str">
        <f t="shared" si="17"/>
        <v>Low</v>
      </c>
      <c r="L1131" t="s">
        <v>3561</v>
      </c>
      <c r="M1131" s="4" t="s">
        <v>3561</v>
      </c>
      <c r="N1131" t="s">
        <v>457</v>
      </c>
      <c r="O1131" t="s">
        <v>3569</v>
      </c>
      <c r="P1131" s="4" t="s">
        <v>3573</v>
      </c>
      <c r="Q1131" t="s">
        <v>3573</v>
      </c>
    </row>
    <row r="1132" spans="1:17">
      <c r="A1132" t="s">
        <v>838</v>
      </c>
      <c r="B1132" t="s">
        <v>840</v>
      </c>
      <c r="C1132" t="s">
        <v>3374</v>
      </c>
      <c r="D1132" t="s">
        <v>3551</v>
      </c>
      <c r="E1132">
        <v>18</v>
      </c>
      <c r="F1132" s="4" t="s">
        <v>3555</v>
      </c>
      <c r="G1132" s="4">
        <v>0</v>
      </c>
      <c r="H1132">
        <v>0</v>
      </c>
      <c r="I1132">
        <v>347087</v>
      </c>
      <c r="J1132" s="6">
        <v>7.7750000000000004</v>
      </c>
      <c r="K1132" s="4" t="str">
        <f t="shared" si="17"/>
        <v>Low</v>
      </c>
      <c r="L1132" t="s">
        <v>3561</v>
      </c>
      <c r="M1132" s="4" t="s">
        <v>3561</v>
      </c>
      <c r="N1132" t="s">
        <v>457</v>
      </c>
      <c r="O1132" t="s">
        <v>3569</v>
      </c>
      <c r="P1132" s="4" t="s">
        <v>3573</v>
      </c>
      <c r="Q1132" t="s">
        <v>3573</v>
      </c>
    </row>
    <row r="1133" spans="1:17">
      <c r="A1133" t="s">
        <v>838</v>
      </c>
      <c r="B1133" t="s">
        <v>9</v>
      </c>
      <c r="C1133" t="s">
        <v>3375</v>
      </c>
      <c r="D1133" t="s">
        <v>3552</v>
      </c>
      <c r="E1133">
        <v>32</v>
      </c>
      <c r="F1133" s="4" t="s">
        <v>3557</v>
      </c>
      <c r="G1133" s="4">
        <v>0</v>
      </c>
      <c r="H1133">
        <v>0</v>
      </c>
      <c r="I1133" t="s">
        <v>799</v>
      </c>
      <c r="J1133" s="6">
        <v>8.0500000000000007</v>
      </c>
      <c r="K1133" s="4" t="str">
        <f t="shared" si="17"/>
        <v>Low</v>
      </c>
      <c r="L1133" t="s">
        <v>800</v>
      </c>
      <c r="M1133" s="4" t="s">
        <v>3564</v>
      </c>
      <c r="N1133" t="s">
        <v>457</v>
      </c>
      <c r="O1133">
        <v>9</v>
      </c>
      <c r="P1133" s="4" t="s">
        <v>3573</v>
      </c>
      <c r="Q1133" t="s">
        <v>3573</v>
      </c>
    </row>
    <row r="1134" spans="1:17">
      <c r="A1134" t="s">
        <v>838</v>
      </c>
      <c r="B1134" t="s">
        <v>840</v>
      </c>
      <c r="C1134" t="s">
        <v>3376</v>
      </c>
      <c r="D1134" t="s">
        <v>3552</v>
      </c>
      <c r="E1134">
        <v>28</v>
      </c>
      <c r="F1134" s="4" t="s">
        <v>3555</v>
      </c>
      <c r="G1134" s="4">
        <v>0</v>
      </c>
      <c r="H1134">
        <v>0</v>
      </c>
      <c r="I1134">
        <v>349227</v>
      </c>
      <c r="J1134" s="6">
        <v>7.8958000000000004</v>
      </c>
      <c r="K1134" s="4" t="str">
        <f t="shared" si="17"/>
        <v>Low</v>
      </c>
      <c r="L1134" t="s">
        <v>3561</v>
      </c>
      <c r="M1134" s="4" t="s">
        <v>3561</v>
      </c>
      <c r="N1134" t="s">
        <v>457</v>
      </c>
      <c r="O1134" t="s">
        <v>3569</v>
      </c>
      <c r="P1134" s="4" t="s">
        <v>3573</v>
      </c>
      <c r="Q1134" t="s">
        <v>3573</v>
      </c>
    </row>
    <row r="1135" spans="1:17">
      <c r="A1135" t="s">
        <v>838</v>
      </c>
      <c r="B1135" t="s">
        <v>840</v>
      </c>
      <c r="C1135" t="s">
        <v>3377</v>
      </c>
      <c r="D1135" t="s">
        <v>3552</v>
      </c>
      <c r="E1135">
        <v>17</v>
      </c>
      <c r="F1135" s="4" t="s">
        <v>3560</v>
      </c>
      <c r="G1135" s="4">
        <v>0</v>
      </c>
      <c r="H1135">
        <v>0</v>
      </c>
      <c r="I1135">
        <v>315095</v>
      </c>
      <c r="J1135" s="6">
        <v>8.6624999999999996</v>
      </c>
      <c r="K1135" s="4" t="str">
        <f t="shared" si="17"/>
        <v>Low</v>
      </c>
      <c r="L1135" t="s">
        <v>3561</v>
      </c>
      <c r="M1135" s="4" t="s">
        <v>3561</v>
      </c>
      <c r="N1135" t="s">
        <v>457</v>
      </c>
      <c r="O1135" t="s">
        <v>3569</v>
      </c>
      <c r="P1135" s="4" t="s">
        <v>3573</v>
      </c>
      <c r="Q1135" t="s">
        <v>3573</v>
      </c>
    </row>
    <row r="1136" spans="1:17">
      <c r="A1136" t="s">
        <v>838</v>
      </c>
      <c r="B1136" t="s">
        <v>840</v>
      </c>
      <c r="C1136" t="s">
        <v>3378</v>
      </c>
      <c r="D1136" t="s">
        <v>3552</v>
      </c>
      <c r="E1136">
        <v>24</v>
      </c>
      <c r="F1136" s="4" t="s">
        <v>3555</v>
      </c>
      <c r="G1136" s="4">
        <v>0</v>
      </c>
      <c r="H1136">
        <v>0</v>
      </c>
      <c r="I1136">
        <v>315092</v>
      </c>
      <c r="J1136" s="6">
        <v>8.6624999999999996</v>
      </c>
      <c r="K1136" s="4" t="str">
        <f t="shared" si="17"/>
        <v>Low</v>
      </c>
      <c r="L1136" t="s">
        <v>3561</v>
      </c>
      <c r="M1136" s="4" t="s">
        <v>3561</v>
      </c>
      <c r="N1136" t="s">
        <v>457</v>
      </c>
      <c r="O1136" t="s">
        <v>3569</v>
      </c>
      <c r="P1136" s="4" t="s">
        <v>3573</v>
      </c>
      <c r="Q1136" t="s">
        <v>3573</v>
      </c>
    </row>
    <row r="1137" spans="1:17">
      <c r="A1137" t="s">
        <v>838</v>
      </c>
      <c r="B1137" t="s">
        <v>840</v>
      </c>
      <c r="C1137" t="s">
        <v>3379</v>
      </c>
      <c r="D1137" t="s">
        <v>3552</v>
      </c>
      <c r="E1137">
        <v>28</v>
      </c>
      <c r="F1137" s="4" t="s">
        <v>3555</v>
      </c>
      <c r="G1137" s="4">
        <v>0</v>
      </c>
      <c r="H1137">
        <v>0</v>
      </c>
      <c r="I1137">
        <v>349223</v>
      </c>
      <c r="J1137" s="6">
        <v>7.8958000000000004</v>
      </c>
      <c r="K1137" s="4" t="str">
        <f t="shared" si="17"/>
        <v>Low</v>
      </c>
      <c r="L1137" t="s">
        <v>3561</v>
      </c>
      <c r="M1137" s="4" t="s">
        <v>3561</v>
      </c>
      <c r="N1137" t="s">
        <v>457</v>
      </c>
      <c r="O1137" t="s">
        <v>3569</v>
      </c>
      <c r="P1137" s="4" t="s">
        <v>3573</v>
      </c>
      <c r="Q1137" t="s">
        <v>3573</v>
      </c>
    </row>
    <row r="1138" spans="1:17">
      <c r="A1138" t="s">
        <v>838</v>
      </c>
      <c r="B1138" t="s">
        <v>840</v>
      </c>
      <c r="C1138" t="s">
        <v>3380</v>
      </c>
      <c r="D1138" t="s">
        <v>3551</v>
      </c>
      <c r="E1138">
        <v>28</v>
      </c>
      <c r="F1138" s="4" t="s">
        <v>3555</v>
      </c>
      <c r="G1138" s="4">
        <v>0</v>
      </c>
      <c r="H1138">
        <v>0</v>
      </c>
      <c r="I1138">
        <v>65305</v>
      </c>
      <c r="J1138" s="6">
        <v>8.1125000000000007</v>
      </c>
      <c r="K1138" s="4" t="str">
        <f t="shared" si="17"/>
        <v>Low</v>
      </c>
      <c r="L1138" t="s">
        <v>3561</v>
      </c>
      <c r="M1138" s="4" t="s">
        <v>3561</v>
      </c>
      <c r="N1138" t="s">
        <v>457</v>
      </c>
      <c r="O1138" t="s">
        <v>3569</v>
      </c>
      <c r="P1138" s="4" t="s">
        <v>3573</v>
      </c>
      <c r="Q1138" t="s">
        <v>3573</v>
      </c>
    </row>
    <row r="1139" spans="1:17">
      <c r="A1139" t="s">
        <v>838</v>
      </c>
      <c r="B1139" t="s">
        <v>840</v>
      </c>
      <c r="C1139" t="s">
        <v>3381</v>
      </c>
      <c r="D1139" t="s">
        <v>3552</v>
      </c>
      <c r="E1139">
        <v>28</v>
      </c>
      <c r="F1139" s="4" t="s">
        <v>3555</v>
      </c>
      <c r="G1139" s="4">
        <v>0</v>
      </c>
      <c r="H1139">
        <v>0</v>
      </c>
      <c r="I1139">
        <v>2629</v>
      </c>
      <c r="J1139" s="6">
        <v>7.2291999999999996</v>
      </c>
      <c r="K1139" s="4" t="str">
        <f t="shared" si="17"/>
        <v>Low</v>
      </c>
      <c r="L1139" t="s">
        <v>3561</v>
      </c>
      <c r="M1139" s="4" t="s">
        <v>3561</v>
      </c>
      <c r="N1139" t="s">
        <v>3566</v>
      </c>
      <c r="O1139" t="s">
        <v>3569</v>
      </c>
      <c r="P1139" s="4" t="s">
        <v>3573</v>
      </c>
      <c r="Q1139" t="s">
        <v>3573</v>
      </c>
    </row>
    <row r="1140" spans="1:17">
      <c r="A1140" t="s">
        <v>838</v>
      </c>
      <c r="B1140" t="s">
        <v>840</v>
      </c>
      <c r="C1140" t="s">
        <v>3382</v>
      </c>
      <c r="D1140" t="s">
        <v>3552</v>
      </c>
      <c r="E1140">
        <v>28</v>
      </c>
      <c r="F1140" s="4" t="s">
        <v>3555</v>
      </c>
      <c r="G1140" s="4">
        <v>0</v>
      </c>
      <c r="H1140">
        <v>0</v>
      </c>
      <c r="I1140">
        <v>362316</v>
      </c>
      <c r="J1140" s="6">
        <v>7.25</v>
      </c>
      <c r="K1140" s="4" t="str">
        <f t="shared" si="17"/>
        <v>Low</v>
      </c>
      <c r="L1140" t="s">
        <v>3561</v>
      </c>
      <c r="M1140" s="4" t="s">
        <v>3561</v>
      </c>
      <c r="N1140" t="s">
        <v>457</v>
      </c>
      <c r="O1140" t="s">
        <v>3569</v>
      </c>
      <c r="P1140" s="4" t="s">
        <v>3573</v>
      </c>
      <c r="Q1140" t="s">
        <v>3573</v>
      </c>
    </row>
    <row r="1141" spans="1:17">
      <c r="A1141" t="s">
        <v>838</v>
      </c>
      <c r="B1141" t="s">
        <v>840</v>
      </c>
      <c r="C1141" t="s">
        <v>3383</v>
      </c>
      <c r="D1141" t="s">
        <v>3552</v>
      </c>
      <c r="E1141">
        <v>38</v>
      </c>
      <c r="F1141" s="4" t="s">
        <v>3557</v>
      </c>
      <c r="G1141" s="4">
        <v>0</v>
      </c>
      <c r="H1141">
        <v>0</v>
      </c>
      <c r="I1141">
        <v>349249</v>
      </c>
      <c r="J1141" s="6">
        <v>7.8958000000000004</v>
      </c>
      <c r="K1141" s="4" t="str">
        <f t="shared" si="17"/>
        <v>Low</v>
      </c>
      <c r="L1141" t="s">
        <v>3561</v>
      </c>
      <c r="M1141" s="4" t="s">
        <v>3561</v>
      </c>
      <c r="N1141" t="s">
        <v>457</v>
      </c>
      <c r="O1141" t="s">
        <v>3569</v>
      </c>
      <c r="P1141" s="4" t="s">
        <v>3573</v>
      </c>
      <c r="Q1141" t="s">
        <v>3573</v>
      </c>
    </row>
    <row r="1142" spans="1:17">
      <c r="A1142" t="s">
        <v>838</v>
      </c>
      <c r="B1142" t="s">
        <v>840</v>
      </c>
      <c r="C1142" t="s">
        <v>3384</v>
      </c>
      <c r="D1142" t="s">
        <v>3552</v>
      </c>
      <c r="E1142">
        <v>21</v>
      </c>
      <c r="F1142" s="4" t="s">
        <v>3555</v>
      </c>
      <c r="G1142" s="4">
        <v>0</v>
      </c>
      <c r="H1142">
        <v>0</v>
      </c>
      <c r="I1142">
        <v>342684</v>
      </c>
      <c r="J1142" s="6">
        <v>8.0500000000000007</v>
      </c>
      <c r="K1142" s="4" t="str">
        <f t="shared" si="17"/>
        <v>Low</v>
      </c>
      <c r="L1142" t="s">
        <v>3561</v>
      </c>
      <c r="M1142" s="4" t="s">
        <v>3561</v>
      </c>
      <c r="N1142" t="s">
        <v>457</v>
      </c>
      <c r="O1142" t="s">
        <v>3569</v>
      </c>
      <c r="P1142" s="4" t="s">
        <v>3573</v>
      </c>
      <c r="Q1142" t="s">
        <v>3573</v>
      </c>
    </row>
    <row r="1143" spans="1:17">
      <c r="A1143" t="s">
        <v>838</v>
      </c>
      <c r="B1143" t="s">
        <v>840</v>
      </c>
      <c r="C1143" t="s">
        <v>3385</v>
      </c>
      <c r="D1143" t="s">
        <v>3552</v>
      </c>
      <c r="E1143">
        <v>10</v>
      </c>
      <c r="F1143" s="4" t="s">
        <v>3560</v>
      </c>
      <c r="G1143" s="4">
        <v>1</v>
      </c>
      <c r="H1143">
        <v>4</v>
      </c>
      <c r="I1143">
        <v>382652</v>
      </c>
      <c r="J1143" s="6">
        <v>29.125</v>
      </c>
      <c r="K1143" s="4" t="str">
        <f t="shared" si="17"/>
        <v>Mid</v>
      </c>
      <c r="L1143" t="s">
        <v>3561</v>
      </c>
      <c r="M1143" s="4" t="s">
        <v>3561</v>
      </c>
      <c r="N1143" t="s">
        <v>3567</v>
      </c>
      <c r="O1143" t="s">
        <v>3569</v>
      </c>
      <c r="P1143" s="4" t="s">
        <v>3573</v>
      </c>
      <c r="Q1143" t="s">
        <v>3573</v>
      </c>
    </row>
    <row r="1144" spans="1:17">
      <c r="A1144" t="s">
        <v>838</v>
      </c>
      <c r="B1144" t="s">
        <v>840</v>
      </c>
      <c r="C1144" t="s">
        <v>3386</v>
      </c>
      <c r="D1144" t="s">
        <v>3552</v>
      </c>
      <c r="E1144">
        <v>4</v>
      </c>
      <c r="F1144" s="4" t="s">
        <v>3556</v>
      </c>
      <c r="G1144" s="4">
        <v>1</v>
      </c>
      <c r="H1144">
        <v>4</v>
      </c>
      <c r="I1144">
        <v>382652</v>
      </c>
      <c r="J1144" s="6">
        <v>29.125</v>
      </c>
      <c r="K1144" s="4" t="str">
        <f t="shared" si="17"/>
        <v>Mid</v>
      </c>
      <c r="L1144" t="s">
        <v>3561</v>
      </c>
      <c r="M1144" s="4" t="s">
        <v>3561</v>
      </c>
      <c r="N1144" t="s">
        <v>3567</v>
      </c>
      <c r="O1144" t="s">
        <v>3569</v>
      </c>
      <c r="P1144" s="4" t="s">
        <v>3573</v>
      </c>
      <c r="Q1144" t="s">
        <v>3573</v>
      </c>
    </row>
    <row r="1145" spans="1:17">
      <c r="A1145" t="s">
        <v>838</v>
      </c>
      <c r="B1145" t="s">
        <v>840</v>
      </c>
      <c r="C1145" t="s">
        <v>3387</v>
      </c>
      <c r="D1145" t="s">
        <v>3552</v>
      </c>
      <c r="E1145">
        <v>7</v>
      </c>
      <c r="F1145" s="4" t="s">
        <v>3556</v>
      </c>
      <c r="G1145" s="4">
        <v>1</v>
      </c>
      <c r="H1145">
        <v>4</v>
      </c>
      <c r="I1145">
        <v>382652</v>
      </c>
      <c r="J1145" s="6">
        <v>29.125</v>
      </c>
      <c r="K1145" s="4" t="str">
        <f t="shared" si="17"/>
        <v>Mid</v>
      </c>
      <c r="L1145" t="s">
        <v>3561</v>
      </c>
      <c r="M1145" s="4" t="s">
        <v>3561</v>
      </c>
      <c r="N1145" t="s">
        <v>3567</v>
      </c>
      <c r="O1145" t="s">
        <v>3569</v>
      </c>
      <c r="P1145" s="4" t="s">
        <v>3573</v>
      </c>
      <c r="Q1145" t="s">
        <v>3573</v>
      </c>
    </row>
    <row r="1146" spans="1:17">
      <c r="A1146" t="s">
        <v>838</v>
      </c>
      <c r="B1146" t="s">
        <v>840</v>
      </c>
      <c r="C1146" t="s">
        <v>3388</v>
      </c>
      <c r="D1146" t="s">
        <v>3552</v>
      </c>
      <c r="E1146">
        <v>2</v>
      </c>
      <c r="F1146" s="4" t="s">
        <v>3556</v>
      </c>
      <c r="G1146" s="4">
        <v>1</v>
      </c>
      <c r="H1146">
        <v>4</v>
      </c>
      <c r="I1146">
        <v>382652</v>
      </c>
      <c r="J1146" s="6">
        <v>29.125</v>
      </c>
      <c r="K1146" s="4" t="str">
        <f t="shared" si="17"/>
        <v>Mid</v>
      </c>
      <c r="L1146" t="s">
        <v>3561</v>
      </c>
      <c r="M1146" s="4" t="s">
        <v>3561</v>
      </c>
      <c r="N1146" t="s">
        <v>3567</v>
      </c>
      <c r="O1146" t="s">
        <v>3569</v>
      </c>
      <c r="P1146" s="4" t="s">
        <v>3573</v>
      </c>
      <c r="Q1146" t="s">
        <v>3573</v>
      </c>
    </row>
    <row r="1147" spans="1:17">
      <c r="A1147" t="s">
        <v>838</v>
      </c>
      <c r="B1147" t="s">
        <v>840</v>
      </c>
      <c r="C1147" t="s">
        <v>3389</v>
      </c>
      <c r="D1147" t="s">
        <v>3552</v>
      </c>
      <c r="E1147">
        <v>8</v>
      </c>
      <c r="F1147" s="4" t="s">
        <v>3556</v>
      </c>
      <c r="G1147" s="4">
        <v>1</v>
      </c>
      <c r="H1147">
        <v>4</v>
      </c>
      <c r="I1147">
        <v>382652</v>
      </c>
      <c r="J1147" s="6">
        <v>29.125</v>
      </c>
      <c r="K1147" s="4" t="str">
        <f t="shared" si="17"/>
        <v>Mid</v>
      </c>
      <c r="L1147" t="s">
        <v>3561</v>
      </c>
      <c r="M1147" s="4" t="s">
        <v>3561</v>
      </c>
      <c r="N1147" t="s">
        <v>3567</v>
      </c>
      <c r="O1147" t="s">
        <v>3569</v>
      </c>
      <c r="P1147" s="4" t="s">
        <v>3573</v>
      </c>
      <c r="Q1147" t="s">
        <v>3573</v>
      </c>
    </row>
    <row r="1148" spans="1:17">
      <c r="A1148" t="s">
        <v>838</v>
      </c>
      <c r="B1148" t="s">
        <v>840</v>
      </c>
      <c r="C1148" t="s">
        <v>3390</v>
      </c>
      <c r="D1148" t="s">
        <v>3551</v>
      </c>
      <c r="E1148">
        <v>39</v>
      </c>
      <c r="F1148" s="4" t="s">
        <v>3557</v>
      </c>
      <c r="G1148" s="4">
        <v>5</v>
      </c>
      <c r="H1148">
        <v>0</v>
      </c>
      <c r="I1148">
        <v>382652</v>
      </c>
      <c r="J1148" s="6">
        <v>29.125</v>
      </c>
      <c r="K1148" s="4" t="str">
        <f t="shared" si="17"/>
        <v>Mid</v>
      </c>
      <c r="L1148" t="s">
        <v>3561</v>
      </c>
      <c r="M1148" s="4" t="s">
        <v>3561</v>
      </c>
      <c r="N1148" t="s">
        <v>3567</v>
      </c>
      <c r="O1148" t="s">
        <v>3569</v>
      </c>
      <c r="P1148" s="4">
        <v>327</v>
      </c>
      <c r="Q1148" t="s">
        <v>3574</v>
      </c>
    </row>
    <row r="1149" spans="1:17">
      <c r="A1149" t="s">
        <v>838</v>
      </c>
      <c r="B1149" t="s">
        <v>840</v>
      </c>
      <c r="C1149" t="s">
        <v>3391</v>
      </c>
      <c r="D1149" t="s">
        <v>3551</v>
      </c>
      <c r="E1149">
        <v>22</v>
      </c>
      <c r="F1149" s="4" t="s">
        <v>3555</v>
      </c>
      <c r="G1149" s="4">
        <v>0</v>
      </c>
      <c r="H1149">
        <v>0</v>
      </c>
      <c r="I1149">
        <v>3101295</v>
      </c>
      <c r="J1149" s="6">
        <v>39.6875</v>
      </c>
      <c r="K1149" s="4" t="str">
        <f t="shared" si="17"/>
        <v>Mid</v>
      </c>
      <c r="L1149" t="s">
        <v>3561</v>
      </c>
      <c r="M1149" s="4" t="s">
        <v>3561</v>
      </c>
      <c r="N1149" t="s">
        <v>457</v>
      </c>
      <c r="O1149" t="s">
        <v>3569</v>
      </c>
      <c r="P1149" s="4" t="s">
        <v>3573</v>
      </c>
      <c r="Q1149" t="s">
        <v>3573</v>
      </c>
    </row>
    <row r="1150" spans="1:17">
      <c r="A1150" t="s">
        <v>838</v>
      </c>
      <c r="B1150" t="s">
        <v>840</v>
      </c>
      <c r="C1150" t="s">
        <v>3392</v>
      </c>
      <c r="D1150" t="s">
        <v>3552</v>
      </c>
      <c r="E1150">
        <v>35</v>
      </c>
      <c r="F1150" s="4" t="s">
        <v>3557</v>
      </c>
      <c r="G1150" s="4">
        <v>0</v>
      </c>
      <c r="H1150">
        <v>0</v>
      </c>
      <c r="I1150" t="s">
        <v>801</v>
      </c>
      <c r="J1150" s="6">
        <v>7.125</v>
      </c>
      <c r="K1150" s="4" t="str">
        <f t="shared" si="17"/>
        <v>Low</v>
      </c>
      <c r="L1150" t="s">
        <v>3561</v>
      </c>
      <c r="M1150" s="4" t="s">
        <v>3561</v>
      </c>
      <c r="N1150" t="s">
        <v>457</v>
      </c>
      <c r="O1150" t="s">
        <v>3569</v>
      </c>
      <c r="P1150" s="4" t="s">
        <v>3573</v>
      </c>
      <c r="Q1150" t="s">
        <v>3573</v>
      </c>
    </row>
    <row r="1151" spans="1:17">
      <c r="A1151" t="s">
        <v>838</v>
      </c>
      <c r="B1151" t="s">
        <v>9</v>
      </c>
      <c r="C1151" t="s">
        <v>3393</v>
      </c>
      <c r="D1151" t="s">
        <v>3551</v>
      </c>
      <c r="E1151">
        <v>28</v>
      </c>
      <c r="F1151" s="4" t="s">
        <v>3555</v>
      </c>
      <c r="G1151" s="4">
        <v>0</v>
      </c>
      <c r="H1151">
        <v>0</v>
      </c>
      <c r="I1151">
        <v>334915</v>
      </c>
      <c r="J1151" s="6">
        <v>7.7207999999999997</v>
      </c>
      <c r="K1151" s="4" t="str">
        <f t="shared" si="17"/>
        <v>Low</v>
      </c>
      <c r="L1151" t="s">
        <v>3561</v>
      </c>
      <c r="M1151" s="4" t="s">
        <v>3561</v>
      </c>
      <c r="N1151" t="s">
        <v>3567</v>
      </c>
      <c r="O1151">
        <v>13</v>
      </c>
      <c r="P1151" s="4" t="s">
        <v>3573</v>
      </c>
      <c r="Q1151" t="s">
        <v>3573</v>
      </c>
    </row>
    <row r="1152" spans="1:17">
      <c r="A1152" t="s">
        <v>838</v>
      </c>
      <c r="B1152" t="s">
        <v>840</v>
      </c>
      <c r="C1152" t="s">
        <v>3394</v>
      </c>
      <c r="D1152" t="s">
        <v>3552</v>
      </c>
      <c r="E1152">
        <v>28</v>
      </c>
      <c r="F1152" s="4" t="s">
        <v>3555</v>
      </c>
      <c r="G1152" s="4">
        <v>0</v>
      </c>
      <c r="H1152">
        <v>0</v>
      </c>
      <c r="I1152">
        <v>364498</v>
      </c>
      <c r="J1152" s="6">
        <v>14.5</v>
      </c>
      <c r="K1152" s="4" t="str">
        <f t="shared" si="17"/>
        <v>Mid</v>
      </c>
      <c r="L1152" t="s">
        <v>3561</v>
      </c>
      <c r="M1152" s="4" t="s">
        <v>3561</v>
      </c>
      <c r="N1152" t="s">
        <v>457</v>
      </c>
      <c r="O1152" t="s">
        <v>3569</v>
      </c>
      <c r="P1152" s="4" t="s">
        <v>3573</v>
      </c>
      <c r="Q1152" t="s">
        <v>3573</v>
      </c>
    </row>
    <row r="1153" spans="1:17">
      <c r="A1153" t="s">
        <v>838</v>
      </c>
      <c r="B1153" t="s">
        <v>840</v>
      </c>
      <c r="C1153" t="s">
        <v>3395</v>
      </c>
      <c r="D1153" t="s">
        <v>3551</v>
      </c>
      <c r="E1153">
        <v>28</v>
      </c>
      <c r="F1153" s="4" t="s">
        <v>3555</v>
      </c>
      <c r="G1153" s="4">
        <v>0</v>
      </c>
      <c r="H1153">
        <v>0</v>
      </c>
      <c r="I1153">
        <v>364498</v>
      </c>
      <c r="J1153" s="6">
        <v>14.5</v>
      </c>
      <c r="K1153" s="4" t="str">
        <f t="shared" si="17"/>
        <v>Mid</v>
      </c>
      <c r="L1153" t="s">
        <v>3561</v>
      </c>
      <c r="M1153" s="4" t="s">
        <v>3561</v>
      </c>
      <c r="N1153" t="s">
        <v>457</v>
      </c>
      <c r="O1153" t="s">
        <v>3569</v>
      </c>
      <c r="P1153" s="4" t="s">
        <v>3573</v>
      </c>
      <c r="Q1153" t="s">
        <v>3573</v>
      </c>
    </row>
    <row r="1154" spans="1:17">
      <c r="A1154" t="s">
        <v>838</v>
      </c>
      <c r="B1154" t="s">
        <v>840</v>
      </c>
      <c r="C1154" t="s">
        <v>3396</v>
      </c>
      <c r="D1154" t="s">
        <v>3552</v>
      </c>
      <c r="E1154">
        <v>50</v>
      </c>
      <c r="F1154" s="4" t="s">
        <v>3557</v>
      </c>
      <c r="G1154" s="4">
        <v>0</v>
      </c>
      <c r="H1154">
        <v>1</v>
      </c>
      <c r="I1154" t="s">
        <v>802</v>
      </c>
      <c r="J1154" s="6">
        <v>14.5</v>
      </c>
      <c r="K1154" s="4" t="str">
        <f t="shared" si="17"/>
        <v>Mid</v>
      </c>
      <c r="L1154" t="s">
        <v>3561</v>
      </c>
      <c r="M1154" s="4" t="s">
        <v>3561</v>
      </c>
      <c r="N1154" t="s">
        <v>457</v>
      </c>
      <c r="O1154" t="s">
        <v>3569</v>
      </c>
      <c r="P1154" s="4">
        <v>119</v>
      </c>
      <c r="Q1154" t="s">
        <v>3574</v>
      </c>
    </row>
    <row r="1155" spans="1:17">
      <c r="A1155" t="s">
        <v>838</v>
      </c>
      <c r="B1155" t="s">
        <v>840</v>
      </c>
      <c r="C1155" t="s">
        <v>3397</v>
      </c>
      <c r="D1155" t="s">
        <v>3551</v>
      </c>
      <c r="E1155">
        <v>47</v>
      </c>
      <c r="F1155" s="4" t="s">
        <v>3557</v>
      </c>
      <c r="G1155" s="4">
        <v>0</v>
      </c>
      <c r="H1155">
        <v>1</v>
      </c>
      <c r="I1155" t="s">
        <v>802</v>
      </c>
      <c r="J1155" s="6">
        <v>14.5</v>
      </c>
      <c r="K1155" s="4" t="str">
        <f t="shared" ref="K1155:K1218" si="18">IF(J1155&lt;=10,"Low",IF(J1155&lt;=50,"Mid","High"))</f>
        <v>Mid</v>
      </c>
      <c r="L1155" t="s">
        <v>3561</v>
      </c>
      <c r="M1155" s="4" t="s">
        <v>3561</v>
      </c>
      <c r="N1155" t="s">
        <v>457</v>
      </c>
      <c r="O1155" t="s">
        <v>3569</v>
      </c>
      <c r="P1155" s="4">
        <v>7</v>
      </c>
      <c r="Q1155" t="s">
        <v>3574</v>
      </c>
    </row>
    <row r="1156" spans="1:17">
      <c r="A1156" t="s">
        <v>838</v>
      </c>
      <c r="B1156" t="s">
        <v>840</v>
      </c>
      <c r="C1156" t="s">
        <v>3398</v>
      </c>
      <c r="D1156" t="s">
        <v>3552</v>
      </c>
      <c r="E1156">
        <v>28</v>
      </c>
      <c r="F1156" s="4" t="s">
        <v>3555</v>
      </c>
      <c r="G1156" s="4">
        <v>0</v>
      </c>
      <c r="H1156">
        <v>0</v>
      </c>
      <c r="I1156" t="s">
        <v>803</v>
      </c>
      <c r="J1156" s="6">
        <v>8.0500000000000007</v>
      </c>
      <c r="K1156" s="4" t="str">
        <f t="shared" si="18"/>
        <v>Low</v>
      </c>
      <c r="L1156" t="s">
        <v>3561</v>
      </c>
      <c r="M1156" s="4" t="s">
        <v>3561</v>
      </c>
      <c r="N1156" t="s">
        <v>457</v>
      </c>
      <c r="O1156" t="s">
        <v>3569</v>
      </c>
      <c r="P1156" s="4" t="s">
        <v>3573</v>
      </c>
      <c r="Q1156" t="s">
        <v>3573</v>
      </c>
    </row>
    <row r="1157" spans="1:17">
      <c r="A1157" t="s">
        <v>838</v>
      </c>
      <c r="B1157" t="s">
        <v>840</v>
      </c>
      <c r="C1157" t="s">
        <v>3399</v>
      </c>
      <c r="D1157" t="s">
        <v>3552</v>
      </c>
      <c r="E1157">
        <v>28</v>
      </c>
      <c r="F1157" s="4" t="s">
        <v>3555</v>
      </c>
      <c r="G1157" s="4">
        <v>0</v>
      </c>
      <c r="H1157">
        <v>0</v>
      </c>
      <c r="I1157">
        <v>312993</v>
      </c>
      <c r="J1157" s="6">
        <v>7.7750000000000004</v>
      </c>
      <c r="K1157" s="4" t="str">
        <f t="shared" si="18"/>
        <v>Low</v>
      </c>
      <c r="L1157" t="s">
        <v>3561</v>
      </c>
      <c r="M1157" s="4" t="s">
        <v>3561</v>
      </c>
      <c r="N1157" t="s">
        <v>457</v>
      </c>
      <c r="O1157" t="s">
        <v>3569</v>
      </c>
      <c r="P1157" s="4" t="s">
        <v>3573</v>
      </c>
      <c r="Q1157" t="s">
        <v>3573</v>
      </c>
    </row>
    <row r="1158" spans="1:17">
      <c r="A1158" t="s">
        <v>838</v>
      </c>
      <c r="B1158" t="s">
        <v>840</v>
      </c>
      <c r="C1158" t="s">
        <v>3400</v>
      </c>
      <c r="D1158" t="s">
        <v>3551</v>
      </c>
      <c r="E1158">
        <v>2</v>
      </c>
      <c r="F1158" s="4" t="s">
        <v>3556</v>
      </c>
      <c r="G1158" s="4">
        <v>1</v>
      </c>
      <c r="H1158">
        <v>1</v>
      </c>
      <c r="I1158">
        <v>370129</v>
      </c>
      <c r="J1158" s="6">
        <v>20.212499999999999</v>
      </c>
      <c r="K1158" s="4" t="str">
        <f t="shared" si="18"/>
        <v>Mid</v>
      </c>
      <c r="L1158" t="s">
        <v>3561</v>
      </c>
      <c r="M1158" s="4" t="s">
        <v>3561</v>
      </c>
      <c r="N1158" t="s">
        <v>457</v>
      </c>
      <c r="O1158" t="s">
        <v>3569</v>
      </c>
      <c r="P1158" s="4" t="s">
        <v>3573</v>
      </c>
      <c r="Q1158" t="s">
        <v>3573</v>
      </c>
    </row>
    <row r="1159" spans="1:17">
      <c r="A1159" t="s">
        <v>838</v>
      </c>
      <c r="B1159" t="s">
        <v>840</v>
      </c>
      <c r="C1159" t="s">
        <v>3401</v>
      </c>
      <c r="D1159" t="s">
        <v>3552</v>
      </c>
      <c r="E1159">
        <v>18</v>
      </c>
      <c r="F1159" s="4" t="s">
        <v>3555</v>
      </c>
      <c r="G1159" s="4">
        <v>1</v>
      </c>
      <c r="H1159">
        <v>1</v>
      </c>
      <c r="I1159">
        <v>370129</v>
      </c>
      <c r="J1159" s="6">
        <v>20.212499999999999</v>
      </c>
      <c r="K1159" s="4" t="str">
        <f t="shared" si="18"/>
        <v>Mid</v>
      </c>
      <c r="L1159" t="s">
        <v>3561</v>
      </c>
      <c r="M1159" s="4" t="s">
        <v>3561</v>
      </c>
      <c r="N1159" t="s">
        <v>457</v>
      </c>
      <c r="O1159" t="s">
        <v>3569</v>
      </c>
      <c r="P1159" s="4" t="s">
        <v>3573</v>
      </c>
      <c r="Q1159" t="s">
        <v>3573</v>
      </c>
    </row>
    <row r="1160" spans="1:17">
      <c r="A1160" t="s">
        <v>838</v>
      </c>
      <c r="B1160" t="s">
        <v>840</v>
      </c>
      <c r="C1160" t="s">
        <v>3402</v>
      </c>
      <c r="D1160" t="s">
        <v>3551</v>
      </c>
      <c r="E1160">
        <v>41</v>
      </c>
      <c r="F1160" s="4" t="s">
        <v>3557</v>
      </c>
      <c r="G1160" s="4">
        <v>2</v>
      </c>
      <c r="H1160">
        <v>0</v>
      </c>
      <c r="I1160">
        <v>370129</v>
      </c>
      <c r="J1160" s="6">
        <v>20.212499999999999</v>
      </c>
      <c r="K1160" s="4" t="str">
        <f t="shared" si="18"/>
        <v>Mid</v>
      </c>
      <c r="L1160" t="s">
        <v>3561</v>
      </c>
      <c r="M1160" s="4" t="s">
        <v>3561</v>
      </c>
      <c r="N1160" t="s">
        <v>457</v>
      </c>
      <c r="O1160" t="s">
        <v>3569</v>
      </c>
      <c r="P1160" s="4" t="s">
        <v>3573</v>
      </c>
      <c r="Q1160" t="s">
        <v>3573</v>
      </c>
    </row>
    <row r="1161" spans="1:17">
      <c r="A1161" t="s">
        <v>838</v>
      </c>
      <c r="B1161" t="s">
        <v>9</v>
      </c>
      <c r="C1161" t="s">
        <v>3403</v>
      </c>
      <c r="D1161" t="s">
        <v>3551</v>
      </c>
      <c r="E1161">
        <v>28</v>
      </c>
      <c r="F1161" s="4" t="s">
        <v>3555</v>
      </c>
      <c r="G1161" s="4">
        <v>0</v>
      </c>
      <c r="H1161">
        <v>0</v>
      </c>
      <c r="I1161">
        <v>342712</v>
      </c>
      <c r="J1161" s="6">
        <v>8.0500000000000007</v>
      </c>
      <c r="K1161" s="4" t="str">
        <f t="shared" si="18"/>
        <v>Low</v>
      </c>
      <c r="L1161" t="s">
        <v>3561</v>
      </c>
      <c r="M1161" s="4" t="s">
        <v>3561</v>
      </c>
      <c r="N1161" t="s">
        <v>457</v>
      </c>
      <c r="O1161" t="s">
        <v>62</v>
      </c>
      <c r="P1161" s="4" t="s">
        <v>3573</v>
      </c>
      <c r="Q1161" t="s">
        <v>3573</v>
      </c>
    </row>
    <row r="1162" spans="1:17">
      <c r="A1162" t="s">
        <v>838</v>
      </c>
      <c r="B1162" t="s">
        <v>840</v>
      </c>
      <c r="C1162" t="s">
        <v>3404</v>
      </c>
      <c r="D1162" t="s">
        <v>3552</v>
      </c>
      <c r="E1162">
        <v>50</v>
      </c>
      <c r="F1162" s="4" t="s">
        <v>3557</v>
      </c>
      <c r="G1162" s="4">
        <v>0</v>
      </c>
      <c r="H1162">
        <v>0</v>
      </c>
      <c r="I1162" t="s">
        <v>804</v>
      </c>
      <c r="J1162" s="6">
        <v>8.0500000000000007</v>
      </c>
      <c r="K1162" s="4" t="str">
        <f t="shared" si="18"/>
        <v>Low</v>
      </c>
      <c r="L1162" t="s">
        <v>3561</v>
      </c>
      <c r="M1162" s="4" t="s">
        <v>3561</v>
      </c>
      <c r="N1162" t="s">
        <v>457</v>
      </c>
      <c r="O1162" t="s">
        <v>3569</v>
      </c>
      <c r="P1162" s="4" t="s">
        <v>3573</v>
      </c>
      <c r="Q1162" t="s">
        <v>3573</v>
      </c>
    </row>
    <row r="1163" spans="1:17">
      <c r="A1163" t="s">
        <v>838</v>
      </c>
      <c r="B1163" t="s">
        <v>840</v>
      </c>
      <c r="C1163" t="s">
        <v>3405</v>
      </c>
      <c r="D1163" t="s">
        <v>3552</v>
      </c>
      <c r="E1163">
        <v>16</v>
      </c>
      <c r="F1163" s="4" t="s">
        <v>3560</v>
      </c>
      <c r="G1163" s="4">
        <v>0</v>
      </c>
      <c r="H1163">
        <v>0</v>
      </c>
      <c r="I1163" t="s">
        <v>805</v>
      </c>
      <c r="J1163" s="6">
        <v>8.0500000000000007</v>
      </c>
      <c r="K1163" s="4" t="str">
        <f t="shared" si="18"/>
        <v>Low</v>
      </c>
      <c r="L1163" t="s">
        <v>3561</v>
      </c>
      <c r="M1163" s="4" t="s">
        <v>3561</v>
      </c>
      <c r="N1163" t="s">
        <v>457</v>
      </c>
      <c r="O1163" t="s">
        <v>3569</v>
      </c>
      <c r="P1163" s="4" t="s">
        <v>3573</v>
      </c>
      <c r="Q1163" t="s">
        <v>3573</v>
      </c>
    </row>
    <row r="1164" spans="1:17">
      <c r="A1164" t="s">
        <v>838</v>
      </c>
      <c r="B1164" t="s">
        <v>9</v>
      </c>
      <c r="C1164" t="s">
        <v>3406</v>
      </c>
      <c r="D1164" t="s">
        <v>3552</v>
      </c>
      <c r="E1164">
        <v>28</v>
      </c>
      <c r="F1164" s="4" t="s">
        <v>3555</v>
      </c>
      <c r="G1164" s="4">
        <v>0</v>
      </c>
      <c r="H1164">
        <v>0</v>
      </c>
      <c r="I1164">
        <v>383162</v>
      </c>
      <c r="J1164" s="6">
        <v>7.75</v>
      </c>
      <c r="K1164" s="4" t="str">
        <f t="shared" si="18"/>
        <v>Low</v>
      </c>
      <c r="L1164" t="s">
        <v>3561</v>
      </c>
      <c r="M1164" s="4" t="s">
        <v>3561</v>
      </c>
      <c r="N1164" t="s">
        <v>3567</v>
      </c>
      <c r="O1164">
        <v>14</v>
      </c>
      <c r="P1164" s="4" t="s">
        <v>3573</v>
      </c>
      <c r="Q1164" t="s">
        <v>3573</v>
      </c>
    </row>
    <row r="1165" spans="1:17">
      <c r="A1165" t="s">
        <v>838</v>
      </c>
      <c r="B1165" t="s">
        <v>840</v>
      </c>
      <c r="C1165" t="s">
        <v>3407</v>
      </c>
      <c r="D1165" t="s">
        <v>3552</v>
      </c>
      <c r="E1165">
        <v>28</v>
      </c>
      <c r="F1165" s="4" t="s">
        <v>3555</v>
      </c>
      <c r="G1165" s="4">
        <v>0</v>
      </c>
      <c r="H1165">
        <v>0</v>
      </c>
      <c r="I1165">
        <v>371110</v>
      </c>
      <c r="J1165" s="6">
        <v>24.15</v>
      </c>
      <c r="K1165" s="4" t="str">
        <f t="shared" si="18"/>
        <v>Mid</v>
      </c>
      <c r="L1165" t="s">
        <v>3561</v>
      </c>
      <c r="M1165" s="4" t="s">
        <v>3561</v>
      </c>
      <c r="N1165" t="s">
        <v>3567</v>
      </c>
      <c r="O1165" t="s">
        <v>3569</v>
      </c>
      <c r="P1165" s="4" t="s">
        <v>3573</v>
      </c>
      <c r="Q1165" t="s">
        <v>3573</v>
      </c>
    </row>
    <row r="1166" spans="1:17">
      <c r="A1166" t="s">
        <v>838</v>
      </c>
      <c r="B1166" t="s">
        <v>840</v>
      </c>
      <c r="C1166" t="s">
        <v>3408</v>
      </c>
      <c r="D1166" t="s">
        <v>3552</v>
      </c>
      <c r="E1166">
        <v>28</v>
      </c>
      <c r="F1166" s="4" t="s">
        <v>3555</v>
      </c>
      <c r="G1166" s="4">
        <v>0</v>
      </c>
      <c r="H1166">
        <v>0</v>
      </c>
      <c r="I1166">
        <v>2671</v>
      </c>
      <c r="J1166" s="6">
        <v>7.2291999999999996</v>
      </c>
      <c r="K1166" s="4" t="str">
        <f t="shared" si="18"/>
        <v>Low</v>
      </c>
      <c r="L1166" t="s">
        <v>3561</v>
      </c>
      <c r="M1166" s="4" t="s">
        <v>3561</v>
      </c>
      <c r="N1166" t="s">
        <v>3566</v>
      </c>
      <c r="O1166" t="s">
        <v>3569</v>
      </c>
      <c r="P1166" s="4" t="s">
        <v>3573</v>
      </c>
      <c r="Q1166" t="s">
        <v>3573</v>
      </c>
    </row>
    <row r="1167" spans="1:17">
      <c r="A1167" t="s">
        <v>838</v>
      </c>
      <c r="B1167" t="s">
        <v>840</v>
      </c>
      <c r="C1167" t="s">
        <v>3409</v>
      </c>
      <c r="D1167" t="s">
        <v>3552</v>
      </c>
      <c r="E1167">
        <v>25</v>
      </c>
      <c r="F1167" s="4" t="s">
        <v>3555</v>
      </c>
      <c r="G1167" s="4">
        <v>0</v>
      </c>
      <c r="H1167">
        <v>0</v>
      </c>
      <c r="I1167">
        <v>2672</v>
      </c>
      <c r="J1167" s="6">
        <v>7.2249999999999996</v>
      </c>
      <c r="K1167" s="4" t="str">
        <f t="shared" si="18"/>
        <v>Low</v>
      </c>
      <c r="L1167" t="s">
        <v>3561</v>
      </c>
      <c r="M1167" s="4" t="s">
        <v>3561</v>
      </c>
      <c r="N1167" t="s">
        <v>3566</v>
      </c>
      <c r="O1167" t="s">
        <v>3569</v>
      </c>
      <c r="P1167" s="4" t="s">
        <v>3573</v>
      </c>
      <c r="Q1167" t="s">
        <v>3573</v>
      </c>
    </row>
    <row r="1168" spans="1:17">
      <c r="A1168" t="s">
        <v>838</v>
      </c>
      <c r="B1168" t="s">
        <v>840</v>
      </c>
      <c r="C1168" t="s">
        <v>3410</v>
      </c>
      <c r="D1168" t="s">
        <v>3552</v>
      </c>
      <c r="E1168">
        <v>28</v>
      </c>
      <c r="F1168" s="4" t="s">
        <v>3555</v>
      </c>
      <c r="G1168" s="4">
        <v>0</v>
      </c>
      <c r="H1168">
        <v>0</v>
      </c>
      <c r="I1168">
        <v>2676</v>
      </c>
      <c r="J1168" s="6">
        <v>7.2249999999999996</v>
      </c>
      <c r="K1168" s="4" t="str">
        <f t="shared" si="18"/>
        <v>Low</v>
      </c>
      <c r="L1168" t="s">
        <v>3561</v>
      </c>
      <c r="M1168" s="4" t="s">
        <v>3561</v>
      </c>
      <c r="N1168" t="s">
        <v>3566</v>
      </c>
      <c r="O1168" t="s">
        <v>3569</v>
      </c>
      <c r="P1168" s="4" t="s">
        <v>3573</v>
      </c>
      <c r="Q1168" t="s">
        <v>3573</v>
      </c>
    </row>
    <row r="1169" spans="1:17">
      <c r="A1169" t="s">
        <v>838</v>
      </c>
      <c r="B1169" t="s">
        <v>840</v>
      </c>
      <c r="C1169" t="s">
        <v>3411</v>
      </c>
      <c r="D1169" t="s">
        <v>3552</v>
      </c>
      <c r="E1169">
        <v>28</v>
      </c>
      <c r="F1169" s="4" t="s">
        <v>3555</v>
      </c>
      <c r="G1169" s="4">
        <v>0</v>
      </c>
      <c r="H1169">
        <v>0</v>
      </c>
      <c r="I1169">
        <v>367655</v>
      </c>
      <c r="J1169" s="6">
        <v>7.7291999999999996</v>
      </c>
      <c r="K1169" s="4" t="str">
        <f t="shared" si="18"/>
        <v>Low</v>
      </c>
      <c r="L1169" t="s">
        <v>3561</v>
      </c>
      <c r="M1169" s="4" t="s">
        <v>3561</v>
      </c>
      <c r="N1169" t="s">
        <v>3567</v>
      </c>
      <c r="O1169" t="s">
        <v>3569</v>
      </c>
      <c r="P1169" s="4" t="s">
        <v>3573</v>
      </c>
      <c r="Q1169" t="s">
        <v>3573</v>
      </c>
    </row>
    <row r="1170" spans="1:17">
      <c r="A1170" t="s">
        <v>838</v>
      </c>
      <c r="B1170" t="s">
        <v>840</v>
      </c>
      <c r="C1170" t="s">
        <v>3412</v>
      </c>
      <c r="D1170" t="s">
        <v>3552</v>
      </c>
      <c r="E1170">
        <v>28</v>
      </c>
      <c r="F1170" s="4" t="s">
        <v>3555</v>
      </c>
      <c r="G1170" s="4">
        <v>0</v>
      </c>
      <c r="H1170">
        <v>0</v>
      </c>
      <c r="I1170" t="s">
        <v>806</v>
      </c>
      <c r="J1170" s="6">
        <v>7.5750000000000002</v>
      </c>
      <c r="K1170" s="4" t="str">
        <f t="shared" si="18"/>
        <v>Low</v>
      </c>
      <c r="L1170" t="s">
        <v>3561</v>
      </c>
      <c r="M1170" s="4" t="s">
        <v>3561</v>
      </c>
      <c r="N1170" t="s">
        <v>457</v>
      </c>
      <c r="O1170" t="s">
        <v>3569</v>
      </c>
      <c r="P1170" s="4" t="s">
        <v>3573</v>
      </c>
      <c r="Q1170" t="s">
        <v>3573</v>
      </c>
    </row>
    <row r="1171" spans="1:17">
      <c r="A1171" t="s">
        <v>838</v>
      </c>
      <c r="B1171" t="s">
        <v>840</v>
      </c>
      <c r="C1171" t="s">
        <v>3413</v>
      </c>
      <c r="D1171" t="s">
        <v>3552</v>
      </c>
      <c r="E1171">
        <v>39</v>
      </c>
      <c r="F1171" s="4" t="s">
        <v>3557</v>
      </c>
      <c r="G1171" s="4">
        <v>0</v>
      </c>
      <c r="H1171">
        <v>0</v>
      </c>
      <c r="I1171" t="s">
        <v>807</v>
      </c>
      <c r="J1171" s="6">
        <v>7.25</v>
      </c>
      <c r="K1171" s="4" t="str">
        <f t="shared" si="18"/>
        <v>Low</v>
      </c>
      <c r="L1171" t="s">
        <v>3561</v>
      </c>
      <c r="M1171" s="4" t="s">
        <v>3561</v>
      </c>
      <c r="N1171" t="s">
        <v>457</v>
      </c>
      <c r="O1171" t="s">
        <v>3569</v>
      </c>
      <c r="P1171" s="4">
        <v>32</v>
      </c>
      <c r="Q1171" t="s">
        <v>3574</v>
      </c>
    </row>
    <row r="1172" spans="1:17">
      <c r="A1172" t="s">
        <v>838</v>
      </c>
      <c r="B1172" t="s">
        <v>840</v>
      </c>
      <c r="C1172" t="s">
        <v>3414</v>
      </c>
      <c r="D1172" t="s">
        <v>3552</v>
      </c>
      <c r="E1172">
        <v>28</v>
      </c>
      <c r="F1172" s="4" t="s">
        <v>3555</v>
      </c>
      <c r="G1172" s="4">
        <v>2</v>
      </c>
      <c r="H1172">
        <v>8</v>
      </c>
      <c r="I1172" t="s">
        <v>808</v>
      </c>
      <c r="J1172" s="6">
        <v>69.55</v>
      </c>
      <c r="K1172" s="4" t="str">
        <f t="shared" si="18"/>
        <v>High</v>
      </c>
      <c r="L1172" t="s">
        <v>3561</v>
      </c>
      <c r="M1172" s="4" t="s">
        <v>3561</v>
      </c>
      <c r="N1172" t="s">
        <v>457</v>
      </c>
      <c r="O1172" t="s">
        <v>3569</v>
      </c>
      <c r="P1172" s="4" t="s">
        <v>3573</v>
      </c>
      <c r="Q1172" t="s">
        <v>3573</v>
      </c>
    </row>
    <row r="1173" spans="1:17">
      <c r="A1173" t="s">
        <v>838</v>
      </c>
      <c r="B1173" t="s">
        <v>840</v>
      </c>
      <c r="C1173" t="s">
        <v>3415</v>
      </c>
      <c r="D1173" t="s">
        <v>3552</v>
      </c>
      <c r="E1173">
        <v>15</v>
      </c>
      <c r="F1173" s="4" t="s">
        <v>3560</v>
      </c>
      <c r="G1173" s="4">
        <v>2</v>
      </c>
      <c r="H1173">
        <v>8</v>
      </c>
      <c r="I1173" t="s">
        <v>808</v>
      </c>
      <c r="J1173" s="6">
        <v>69.55</v>
      </c>
      <c r="K1173" s="4" t="str">
        <f t="shared" si="18"/>
        <v>High</v>
      </c>
      <c r="L1173" t="s">
        <v>3561</v>
      </c>
      <c r="M1173" s="4" t="s">
        <v>3561</v>
      </c>
      <c r="N1173" t="s">
        <v>457</v>
      </c>
      <c r="O1173" t="s">
        <v>3569</v>
      </c>
      <c r="P1173" s="4">
        <v>67</v>
      </c>
      <c r="Q1173" t="s">
        <v>3574</v>
      </c>
    </row>
    <row r="1174" spans="1:17">
      <c r="A1174" t="s">
        <v>838</v>
      </c>
      <c r="B1174" t="s">
        <v>840</v>
      </c>
      <c r="C1174" t="s">
        <v>3416</v>
      </c>
      <c r="D1174" t="s">
        <v>3551</v>
      </c>
      <c r="E1174">
        <v>28</v>
      </c>
      <c r="F1174" s="4" t="s">
        <v>3555</v>
      </c>
      <c r="G1174" s="4">
        <v>2</v>
      </c>
      <c r="H1174">
        <v>8</v>
      </c>
      <c r="I1174" t="s">
        <v>808</v>
      </c>
      <c r="J1174" s="6">
        <v>69.55</v>
      </c>
      <c r="K1174" s="4" t="str">
        <f t="shared" si="18"/>
        <v>High</v>
      </c>
      <c r="L1174" t="s">
        <v>3561</v>
      </c>
      <c r="M1174" s="4" t="s">
        <v>3561</v>
      </c>
      <c r="N1174" t="s">
        <v>457</v>
      </c>
      <c r="O1174" t="s">
        <v>3569</v>
      </c>
      <c r="P1174" s="4" t="s">
        <v>3573</v>
      </c>
      <c r="Q1174" t="s">
        <v>3573</v>
      </c>
    </row>
    <row r="1175" spans="1:17">
      <c r="A1175" t="s">
        <v>838</v>
      </c>
      <c r="B1175" t="s">
        <v>840</v>
      </c>
      <c r="C1175" t="s">
        <v>3417</v>
      </c>
      <c r="D1175" t="s">
        <v>3551</v>
      </c>
      <c r="E1175">
        <v>28</v>
      </c>
      <c r="F1175" s="4" t="s">
        <v>3555</v>
      </c>
      <c r="G1175" s="4">
        <v>2</v>
      </c>
      <c r="H1175">
        <v>8</v>
      </c>
      <c r="I1175" t="s">
        <v>808</v>
      </c>
      <c r="J1175" s="6">
        <v>69.55</v>
      </c>
      <c r="K1175" s="4" t="str">
        <f t="shared" si="18"/>
        <v>High</v>
      </c>
      <c r="L1175" t="s">
        <v>3561</v>
      </c>
      <c r="M1175" s="4" t="s">
        <v>3561</v>
      </c>
      <c r="N1175" t="s">
        <v>457</v>
      </c>
      <c r="O1175" t="s">
        <v>3569</v>
      </c>
      <c r="P1175" s="4" t="s">
        <v>3573</v>
      </c>
      <c r="Q1175" t="s">
        <v>3573</v>
      </c>
    </row>
    <row r="1176" spans="1:17">
      <c r="A1176" t="s">
        <v>838</v>
      </c>
      <c r="B1176" t="s">
        <v>840</v>
      </c>
      <c r="C1176" t="s">
        <v>3418</v>
      </c>
      <c r="D1176" t="s">
        <v>3551</v>
      </c>
      <c r="E1176">
        <v>28</v>
      </c>
      <c r="F1176" s="4" t="s">
        <v>3555</v>
      </c>
      <c r="G1176" s="4">
        <v>2</v>
      </c>
      <c r="H1176">
        <v>8</v>
      </c>
      <c r="I1176" t="s">
        <v>808</v>
      </c>
      <c r="J1176" s="6">
        <v>69.55</v>
      </c>
      <c r="K1176" s="4" t="str">
        <f t="shared" si="18"/>
        <v>High</v>
      </c>
      <c r="L1176" t="s">
        <v>3561</v>
      </c>
      <c r="M1176" s="4" t="s">
        <v>3561</v>
      </c>
      <c r="N1176" t="s">
        <v>457</v>
      </c>
      <c r="O1176" t="s">
        <v>3569</v>
      </c>
      <c r="P1176" s="4" t="s">
        <v>3573</v>
      </c>
      <c r="Q1176" t="s">
        <v>3573</v>
      </c>
    </row>
    <row r="1177" spans="1:17">
      <c r="A1177" t="s">
        <v>838</v>
      </c>
      <c r="B1177" t="s">
        <v>840</v>
      </c>
      <c r="C1177" t="s">
        <v>3419</v>
      </c>
      <c r="D1177" t="s">
        <v>3551</v>
      </c>
      <c r="E1177">
        <v>28</v>
      </c>
      <c r="F1177" s="4" t="s">
        <v>3555</v>
      </c>
      <c r="G1177" s="4">
        <v>2</v>
      </c>
      <c r="H1177">
        <v>8</v>
      </c>
      <c r="I1177" t="s">
        <v>808</v>
      </c>
      <c r="J1177" s="6">
        <v>69.55</v>
      </c>
      <c r="K1177" s="4" t="str">
        <f t="shared" si="18"/>
        <v>High</v>
      </c>
      <c r="L1177" t="s">
        <v>3561</v>
      </c>
      <c r="M1177" s="4" t="s">
        <v>3561</v>
      </c>
      <c r="N1177" t="s">
        <v>457</v>
      </c>
      <c r="O1177" t="s">
        <v>3569</v>
      </c>
      <c r="P1177" s="4" t="s">
        <v>3573</v>
      </c>
      <c r="Q1177" t="s">
        <v>3573</v>
      </c>
    </row>
    <row r="1178" spans="1:17">
      <c r="A1178" t="s">
        <v>838</v>
      </c>
      <c r="B1178" t="s">
        <v>840</v>
      </c>
      <c r="C1178" t="s">
        <v>3420</v>
      </c>
      <c r="D1178" t="s">
        <v>3552</v>
      </c>
      <c r="E1178">
        <v>28</v>
      </c>
      <c r="F1178" s="4" t="s">
        <v>3555</v>
      </c>
      <c r="G1178" s="4">
        <v>2</v>
      </c>
      <c r="H1178">
        <v>8</v>
      </c>
      <c r="I1178" t="s">
        <v>808</v>
      </c>
      <c r="J1178" s="6">
        <v>69.55</v>
      </c>
      <c r="K1178" s="4" t="str">
        <f t="shared" si="18"/>
        <v>High</v>
      </c>
      <c r="L1178" t="s">
        <v>3561</v>
      </c>
      <c r="M1178" s="4" t="s">
        <v>3561</v>
      </c>
      <c r="N1178" t="s">
        <v>457</v>
      </c>
      <c r="O1178" t="s">
        <v>3569</v>
      </c>
      <c r="P1178" s="4" t="s">
        <v>3573</v>
      </c>
      <c r="Q1178" t="s">
        <v>3573</v>
      </c>
    </row>
    <row r="1179" spans="1:17">
      <c r="A1179" t="s">
        <v>838</v>
      </c>
      <c r="B1179" t="s">
        <v>840</v>
      </c>
      <c r="C1179" t="s">
        <v>3421</v>
      </c>
      <c r="D1179" t="s">
        <v>3552</v>
      </c>
      <c r="E1179">
        <v>28</v>
      </c>
      <c r="F1179" s="4" t="s">
        <v>3555</v>
      </c>
      <c r="G1179" s="4">
        <v>2</v>
      </c>
      <c r="H1179">
        <v>8</v>
      </c>
      <c r="I1179" t="s">
        <v>808</v>
      </c>
      <c r="J1179" s="6">
        <v>69.55</v>
      </c>
      <c r="K1179" s="4" t="str">
        <f t="shared" si="18"/>
        <v>High</v>
      </c>
      <c r="L1179" t="s">
        <v>3561</v>
      </c>
      <c r="M1179" s="4" t="s">
        <v>3561</v>
      </c>
      <c r="N1179" t="s">
        <v>457</v>
      </c>
      <c r="O1179" t="s">
        <v>3569</v>
      </c>
      <c r="P1179" s="4" t="s">
        <v>3573</v>
      </c>
      <c r="Q1179" t="s">
        <v>3573</v>
      </c>
    </row>
    <row r="1180" spans="1:17">
      <c r="A1180" t="s">
        <v>838</v>
      </c>
      <c r="B1180" t="s">
        <v>840</v>
      </c>
      <c r="C1180" t="s">
        <v>3422</v>
      </c>
      <c r="D1180" t="s">
        <v>3552</v>
      </c>
      <c r="E1180">
        <v>28</v>
      </c>
      <c r="F1180" s="4" t="s">
        <v>3555</v>
      </c>
      <c r="G1180" s="4">
        <v>2</v>
      </c>
      <c r="H1180">
        <v>8</v>
      </c>
      <c r="I1180" t="s">
        <v>808</v>
      </c>
      <c r="J1180" s="6">
        <v>69.55</v>
      </c>
      <c r="K1180" s="4" t="str">
        <f t="shared" si="18"/>
        <v>High</v>
      </c>
      <c r="L1180" t="s">
        <v>3561</v>
      </c>
      <c r="M1180" s="4" t="s">
        <v>3561</v>
      </c>
      <c r="N1180" t="s">
        <v>457</v>
      </c>
      <c r="O1180" t="s">
        <v>3569</v>
      </c>
      <c r="P1180" s="4" t="s">
        <v>3573</v>
      </c>
      <c r="Q1180" t="s">
        <v>3573</v>
      </c>
    </row>
    <row r="1181" spans="1:17">
      <c r="A1181" t="s">
        <v>838</v>
      </c>
      <c r="B1181" t="s">
        <v>840</v>
      </c>
      <c r="C1181" t="s">
        <v>3423</v>
      </c>
      <c r="D1181" t="s">
        <v>3552</v>
      </c>
      <c r="E1181">
        <v>28</v>
      </c>
      <c r="F1181" s="4" t="s">
        <v>3555</v>
      </c>
      <c r="G1181" s="4">
        <v>9</v>
      </c>
      <c r="H1181">
        <v>1</v>
      </c>
      <c r="I1181" t="s">
        <v>808</v>
      </c>
      <c r="J1181" s="6">
        <v>69.55</v>
      </c>
      <c r="K1181" s="4" t="str">
        <f t="shared" si="18"/>
        <v>High</v>
      </c>
      <c r="L1181" t="s">
        <v>3561</v>
      </c>
      <c r="M1181" s="4" t="s">
        <v>3561</v>
      </c>
      <c r="N1181" t="s">
        <v>457</v>
      </c>
      <c r="O1181" t="s">
        <v>3569</v>
      </c>
      <c r="P1181" s="4" t="s">
        <v>3573</v>
      </c>
      <c r="Q1181" t="s">
        <v>3573</v>
      </c>
    </row>
    <row r="1182" spans="1:17">
      <c r="A1182" t="s">
        <v>838</v>
      </c>
      <c r="B1182" t="s">
        <v>840</v>
      </c>
      <c r="C1182" t="s">
        <v>3424</v>
      </c>
      <c r="D1182" t="s">
        <v>3551</v>
      </c>
      <c r="E1182">
        <v>28</v>
      </c>
      <c r="F1182" s="4" t="s">
        <v>3555</v>
      </c>
      <c r="G1182" s="4">
        <v>9</v>
      </c>
      <c r="H1182">
        <v>1</v>
      </c>
      <c r="I1182" t="s">
        <v>808</v>
      </c>
      <c r="J1182" s="6">
        <v>69.55</v>
      </c>
      <c r="K1182" s="4" t="str">
        <f t="shared" si="18"/>
        <v>High</v>
      </c>
      <c r="L1182" t="s">
        <v>3561</v>
      </c>
      <c r="M1182" s="4" t="s">
        <v>3561</v>
      </c>
      <c r="N1182" t="s">
        <v>457</v>
      </c>
      <c r="O1182" t="s">
        <v>3569</v>
      </c>
      <c r="P1182" s="4" t="s">
        <v>3573</v>
      </c>
      <c r="Q1182" t="s">
        <v>3573</v>
      </c>
    </row>
    <row r="1183" spans="1:17">
      <c r="A1183" t="s">
        <v>838</v>
      </c>
      <c r="B1183" t="s">
        <v>840</v>
      </c>
      <c r="C1183" t="s">
        <v>3425</v>
      </c>
      <c r="D1183" t="s">
        <v>3552</v>
      </c>
      <c r="E1183">
        <v>24</v>
      </c>
      <c r="F1183" s="4" t="s">
        <v>3555</v>
      </c>
      <c r="G1183" s="4">
        <v>0</v>
      </c>
      <c r="H1183">
        <v>0</v>
      </c>
      <c r="I1183">
        <v>7266</v>
      </c>
      <c r="J1183" s="6">
        <v>9.3249999999999993</v>
      </c>
      <c r="K1183" s="4" t="str">
        <f t="shared" si="18"/>
        <v>Low</v>
      </c>
      <c r="L1183" t="s">
        <v>3561</v>
      </c>
      <c r="M1183" s="4" t="s">
        <v>3561</v>
      </c>
      <c r="N1183" t="s">
        <v>457</v>
      </c>
      <c r="O1183" t="s">
        <v>3569</v>
      </c>
      <c r="P1183" s="4" t="s">
        <v>3573</v>
      </c>
      <c r="Q1183" t="s">
        <v>3573</v>
      </c>
    </row>
    <row r="1184" spans="1:17">
      <c r="A1184" t="s">
        <v>838</v>
      </c>
      <c r="B1184" t="s">
        <v>9</v>
      </c>
      <c r="C1184" t="s">
        <v>3426</v>
      </c>
      <c r="D1184" t="s">
        <v>3551</v>
      </c>
      <c r="E1184">
        <v>21</v>
      </c>
      <c r="F1184" s="4" t="s">
        <v>3555</v>
      </c>
      <c r="G1184" s="4">
        <v>0</v>
      </c>
      <c r="H1184">
        <v>0</v>
      </c>
      <c r="I1184">
        <v>343120</v>
      </c>
      <c r="J1184" s="6">
        <v>7.65</v>
      </c>
      <c r="K1184" s="4" t="str">
        <f t="shared" si="18"/>
        <v>Low</v>
      </c>
      <c r="L1184" t="s">
        <v>3561</v>
      </c>
      <c r="M1184" s="4" t="s">
        <v>3561</v>
      </c>
      <c r="N1184" t="s">
        <v>457</v>
      </c>
      <c r="O1184" t="s">
        <v>62</v>
      </c>
      <c r="P1184" s="4" t="s">
        <v>3573</v>
      </c>
      <c r="Q1184" t="s">
        <v>3573</v>
      </c>
    </row>
    <row r="1185" spans="1:17">
      <c r="A1185" t="s">
        <v>838</v>
      </c>
      <c r="B1185" t="s">
        <v>840</v>
      </c>
      <c r="C1185" t="s">
        <v>3427</v>
      </c>
      <c r="D1185" t="s">
        <v>3552</v>
      </c>
      <c r="E1185">
        <v>39</v>
      </c>
      <c r="F1185" s="4" t="s">
        <v>3557</v>
      </c>
      <c r="G1185" s="4">
        <v>0</v>
      </c>
      <c r="H1185">
        <v>0</v>
      </c>
      <c r="I1185">
        <v>3101296</v>
      </c>
      <c r="J1185" s="6">
        <v>7.9249999999999998</v>
      </c>
      <c r="K1185" s="4" t="str">
        <f t="shared" si="18"/>
        <v>Low</v>
      </c>
      <c r="L1185" t="s">
        <v>3561</v>
      </c>
      <c r="M1185" s="4" t="s">
        <v>3561</v>
      </c>
      <c r="N1185" t="s">
        <v>457</v>
      </c>
      <c r="O1185" t="s">
        <v>3569</v>
      </c>
      <c r="P1185" s="4" t="s">
        <v>3573</v>
      </c>
      <c r="Q1185" t="s">
        <v>3573</v>
      </c>
    </row>
    <row r="1186" spans="1:17">
      <c r="A1186" t="s">
        <v>838</v>
      </c>
      <c r="B1186" t="s">
        <v>840</v>
      </c>
      <c r="C1186" t="s">
        <v>3428</v>
      </c>
      <c r="D1186" t="s">
        <v>3552</v>
      </c>
      <c r="E1186">
        <v>28</v>
      </c>
      <c r="F1186" s="4" t="s">
        <v>3555</v>
      </c>
      <c r="G1186" s="4">
        <v>0</v>
      </c>
      <c r="H1186">
        <v>2</v>
      </c>
      <c r="I1186">
        <v>2662</v>
      </c>
      <c r="J1186" s="6">
        <v>21.679200000000002</v>
      </c>
      <c r="K1186" s="4" t="str">
        <f t="shared" si="18"/>
        <v>Mid</v>
      </c>
      <c r="L1186" t="s">
        <v>3561</v>
      </c>
      <c r="M1186" s="4" t="s">
        <v>3561</v>
      </c>
      <c r="N1186" t="s">
        <v>3566</v>
      </c>
      <c r="O1186" t="s">
        <v>3569</v>
      </c>
      <c r="P1186" s="4" t="s">
        <v>3573</v>
      </c>
      <c r="Q1186" t="s">
        <v>3573</v>
      </c>
    </row>
    <row r="1187" spans="1:17">
      <c r="A1187" t="s">
        <v>838</v>
      </c>
      <c r="B1187" t="s">
        <v>840</v>
      </c>
      <c r="C1187" t="s">
        <v>3429</v>
      </c>
      <c r="D1187" t="s">
        <v>3552</v>
      </c>
      <c r="E1187">
        <v>28</v>
      </c>
      <c r="F1187" s="4" t="s">
        <v>3555</v>
      </c>
      <c r="G1187" s="4">
        <v>0</v>
      </c>
      <c r="H1187">
        <v>2</v>
      </c>
      <c r="I1187">
        <v>2662</v>
      </c>
      <c r="J1187" s="6">
        <v>21.679200000000002</v>
      </c>
      <c r="K1187" s="4" t="str">
        <f t="shared" si="18"/>
        <v>Mid</v>
      </c>
      <c r="L1187" t="s">
        <v>3561</v>
      </c>
      <c r="M1187" s="4" t="s">
        <v>3561</v>
      </c>
      <c r="N1187" t="s">
        <v>3566</v>
      </c>
      <c r="O1187" t="s">
        <v>3569</v>
      </c>
      <c r="P1187" s="4" t="s">
        <v>3573</v>
      </c>
      <c r="Q1187" t="s">
        <v>3573</v>
      </c>
    </row>
    <row r="1188" spans="1:17">
      <c r="A1188" t="s">
        <v>838</v>
      </c>
      <c r="B1188" t="s">
        <v>840</v>
      </c>
      <c r="C1188" t="s">
        <v>3430</v>
      </c>
      <c r="D1188" t="s">
        <v>3552</v>
      </c>
      <c r="E1188">
        <v>28</v>
      </c>
      <c r="F1188" s="4" t="s">
        <v>3555</v>
      </c>
      <c r="G1188" s="4">
        <v>0</v>
      </c>
      <c r="H1188">
        <v>2</v>
      </c>
      <c r="I1188">
        <v>2662</v>
      </c>
      <c r="J1188" s="6">
        <v>21.679200000000002</v>
      </c>
      <c r="K1188" s="4" t="str">
        <f t="shared" si="18"/>
        <v>Mid</v>
      </c>
      <c r="L1188" t="s">
        <v>3561</v>
      </c>
      <c r="M1188" s="4" t="s">
        <v>3561</v>
      </c>
      <c r="N1188" t="s">
        <v>3566</v>
      </c>
      <c r="O1188" t="s">
        <v>3569</v>
      </c>
      <c r="P1188" s="4" t="s">
        <v>3573</v>
      </c>
      <c r="Q1188" t="s">
        <v>3573</v>
      </c>
    </row>
    <row r="1189" spans="1:17">
      <c r="A1189" t="s">
        <v>838</v>
      </c>
      <c r="B1189" t="s">
        <v>9</v>
      </c>
      <c r="C1189" t="s">
        <v>3431</v>
      </c>
      <c r="D1189" t="s">
        <v>3551</v>
      </c>
      <c r="E1189">
        <v>1</v>
      </c>
      <c r="F1189" s="4" t="s">
        <v>3556</v>
      </c>
      <c r="G1189" s="4">
        <v>1</v>
      </c>
      <c r="H1189">
        <v>1</v>
      </c>
      <c r="I1189" t="s">
        <v>809</v>
      </c>
      <c r="J1189" s="6">
        <v>16.7</v>
      </c>
      <c r="K1189" s="4" t="str">
        <f t="shared" si="18"/>
        <v>Mid</v>
      </c>
      <c r="L1189" t="s">
        <v>810</v>
      </c>
      <c r="M1189" s="4" t="s">
        <v>3565</v>
      </c>
      <c r="N1189" t="s">
        <v>457</v>
      </c>
      <c r="O1189">
        <v>13</v>
      </c>
      <c r="P1189" s="4" t="s">
        <v>3573</v>
      </c>
      <c r="Q1189" t="s">
        <v>3573</v>
      </c>
    </row>
    <row r="1190" spans="1:17">
      <c r="A1190" t="s">
        <v>838</v>
      </c>
      <c r="B1190" t="s">
        <v>9</v>
      </c>
      <c r="C1190" t="s">
        <v>3432</v>
      </c>
      <c r="D1190" t="s">
        <v>3551</v>
      </c>
      <c r="E1190">
        <v>24</v>
      </c>
      <c r="F1190" s="4" t="s">
        <v>3555</v>
      </c>
      <c r="G1190" s="4">
        <v>2</v>
      </c>
      <c r="H1190">
        <v>0</v>
      </c>
      <c r="I1190" t="s">
        <v>809</v>
      </c>
      <c r="J1190" s="6">
        <v>16.7</v>
      </c>
      <c r="K1190" s="4" t="str">
        <f t="shared" si="18"/>
        <v>Mid</v>
      </c>
      <c r="L1190" t="s">
        <v>810</v>
      </c>
      <c r="M1190" s="4" t="s">
        <v>3565</v>
      </c>
      <c r="N1190" t="s">
        <v>457</v>
      </c>
      <c r="O1190">
        <v>13</v>
      </c>
      <c r="P1190" s="4" t="s">
        <v>3573</v>
      </c>
      <c r="Q1190" t="s">
        <v>3573</v>
      </c>
    </row>
    <row r="1191" spans="1:17">
      <c r="A1191" t="s">
        <v>838</v>
      </c>
      <c r="B1191" t="s">
        <v>9</v>
      </c>
      <c r="C1191" t="s">
        <v>3433</v>
      </c>
      <c r="D1191" t="s">
        <v>3551</v>
      </c>
      <c r="E1191">
        <v>4</v>
      </c>
      <c r="F1191" s="4" t="s">
        <v>3556</v>
      </c>
      <c r="G1191" s="4">
        <v>1</v>
      </c>
      <c r="H1191">
        <v>1</v>
      </c>
      <c r="I1191" t="s">
        <v>809</v>
      </c>
      <c r="J1191" s="6">
        <v>16.7</v>
      </c>
      <c r="K1191" s="4" t="str">
        <f t="shared" si="18"/>
        <v>Mid</v>
      </c>
      <c r="L1191" t="s">
        <v>810</v>
      </c>
      <c r="M1191" s="4" t="s">
        <v>3565</v>
      </c>
      <c r="N1191" t="s">
        <v>457</v>
      </c>
      <c r="O1191">
        <v>13</v>
      </c>
      <c r="P1191" s="4" t="s">
        <v>3573</v>
      </c>
      <c r="Q1191" t="s">
        <v>3573</v>
      </c>
    </row>
    <row r="1192" spans="1:17">
      <c r="A1192" t="s">
        <v>838</v>
      </c>
      <c r="B1192" t="s">
        <v>9</v>
      </c>
      <c r="C1192" t="s">
        <v>3434</v>
      </c>
      <c r="D1192" t="s">
        <v>3552</v>
      </c>
      <c r="E1192">
        <v>25</v>
      </c>
      <c r="F1192" s="4" t="s">
        <v>3555</v>
      </c>
      <c r="G1192" s="4">
        <v>0</v>
      </c>
      <c r="H1192">
        <v>0</v>
      </c>
      <c r="I1192">
        <v>345768</v>
      </c>
      <c r="J1192" s="6">
        <v>9.5</v>
      </c>
      <c r="K1192" s="4" t="str">
        <f t="shared" si="18"/>
        <v>Low</v>
      </c>
      <c r="L1192" t="s">
        <v>3561</v>
      </c>
      <c r="M1192" s="4" t="s">
        <v>3561</v>
      </c>
      <c r="N1192" t="s">
        <v>457</v>
      </c>
      <c r="O1192">
        <v>11</v>
      </c>
      <c r="P1192" s="4" t="s">
        <v>3573</v>
      </c>
      <c r="Q1192" t="s">
        <v>3573</v>
      </c>
    </row>
    <row r="1193" spans="1:17">
      <c r="A1193" t="s">
        <v>838</v>
      </c>
      <c r="B1193" t="s">
        <v>840</v>
      </c>
      <c r="C1193" t="s">
        <v>3435</v>
      </c>
      <c r="D1193" t="s">
        <v>3552</v>
      </c>
      <c r="E1193">
        <v>20</v>
      </c>
      <c r="F1193" s="4" t="s">
        <v>3555</v>
      </c>
      <c r="G1193" s="4">
        <v>0</v>
      </c>
      <c r="H1193">
        <v>0</v>
      </c>
      <c r="I1193" t="s">
        <v>811</v>
      </c>
      <c r="J1193" s="6">
        <v>8.0500000000000007</v>
      </c>
      <c r="K1193" s="4" t="str">
        <f t="shared" si="18"/>
        <v>Low</v>
      </c>
      <c r="L1193" t="s">
        <v>3561</v>
      </c>
      <c r="M1193" s="4" t="s">
        <v>3561</v>
      </c>
      <c r="N1193" t="s">
        <v>457</v>
      </c>
      <c r="O1193" t="s">
        <v>3569</v>
      </c>
      <c r="P1193" s="4" t="s">
        <v>3573</v>
      </c>
      <c r="Q1193" t="s">
        <v>3573</v>
      </c>
    </row>
    <row r="1194" spans="1:17">
      <c r="A1194" t="s">
        <v>838</v>
      </c>
      <c r="B1194" t="s">
        <v>840</v>
      </c>
      <c r="C1194" t="s">
        <v>3436</v>
      </c>
      <c r="D1194" t="s">
        <v>3552</v>
      </c>
      <c r="E1194">
        <v>25</v>
      </c>
      <c r="F1194" s="4" t="s">
        <v>3555</v>
      </c>
      <c r="G1194" s="4">
        <v>0</v>
      </c>
      <c r="H1194">
        <v>0</v>
      </c>
      <c r="I1194">
        <v>342826</v>
      </c>
      <c r="J1194" s="6">
        <v>8.0500000000000007</v>
      </c>
      <c r="K1194" s="4" t="str">
        <f t="shared" si="18"/>
        <v>Low</v>
      </c>
      <c r="L1194" t="s">
        <v>3561</v>
      </c>
      <c r="M1194" s="4" t="s">
        <v>3561</v>
      </c>
      <c r="N1194" t="s">
        <v>457</v>
      </c>
      <c r="O1194" t="s">
        <v>3569</v>
      </c>
      <c r="P1194" s="4">
        <v>284</v>
      </c>
      <c r="Q1194" t="s">
        <v>3574</v>
      </c>
    </row>
    <row r="1195" spans="1:17">
      <c r="A1195" t="s">
        <v>838</v>
      </c>
      <c r="B1195" t="s">
        <v>840</v>
      </c>
      <c r="C1195" t="s">
        <v>3437</v>
      </c>
      <c r="D1195" t="s">
        <v>3552</v>
      </c>
      <c r="E1195">
        <v>28</v>
      </c>
      <c r="F1195" s="4" t="s">
        <v>3555</v>
      </c>
      <c r="G1195" s="4">
        <v>0</v>
      </c>
      <c r="H1195">
        <v>0</v>
      </c>
      <c r="I1195">
        <v>36209</v>
      </c>
      <c r="J1195" s="6">
        <v>7.7249999999999996</v>
      </c>
      <c r="K1195" s="4" t="str">
        <f t="shared" si="18"/>
        <v>Low</v>
      </c>
      <c r="L1195" t="s">
        <v>3561</v>
      </c>
      <c r="M1195" s="4" t="s">
        <v>3561</v>
      </c>
      <c r="N1195" t="s">
        <v>3567</v>
      </c>
      <c r="O1195" t="s">
        <v>3569</v>
      </c>
      <c r="P1195" s="4" t="s">
        <v>3573</v>
      </c>
      <c r="Q1195" t="s">
        <v>3573</v>
      </c>
    </row>
    <row r="1196" spans="1:17">
      <c r="A1196" t="s">
        <v>838</v>
      </c>
      <c r="B1196" t="s">
        <v>840</v>
      </c>
      <c r="C1196" t="s">
        <v>3438</v>
      </c>
      <c r="D1196" t="s">
        <v>3552</v>
      </c>
      <c r="E1196">
        <v>28</v>
      </c>
      <c r="F1196" s="4" t="s">
        <v>3555</v>
      </c>
      <c r="G1196" s="4">
        <v>0</v>
      </c>
      <c r="H1196">
        <v>0</v>
      </c>
      <c r="I1196">
        <v>349222</v>
      </c>
      <c r="J1196" s="6">
        <v>7.8958000000000004</v>
      </c>
      <c r="K1196" s="4" t="str">
        <f t="shared" si="18"/>
        <v>Low</v>
      </c>
      <c r="L1196" t="s">
        <v>3561</v>
      </c>
      <c r="M1196" s="4" t="s">
        <v>3561</v>
      </c>
      <c r="N1196" t="s">
        <v>457</v>
      </c>
      <c r="O1196" t="s">
        <v>3569</v>
      </c>
      <c r="P1196" s="4" t="s">
        <v>3573</v>
      </c>
      <c r="Q1196" t="s">
        <v>3573</v>
      </c>
    </row>
    <row r="1197" spans="1:17">
      <c r="A1197" t="s">
        <v>838</v>
      </c>
      <c r="B1197" t="s">
        <v>840</v>
      </c>
      <c r="C1197" t="s">
        <v>3439</v>
      </c>
      <c r="D1197" t="s">
        <v>3552</v>
      </c>
      <c r="E1197">
        <v>28</v>
      </c>
      <c r="F1197" s="4" t="s">
        <v>3555</v>
      </c>
      <c r="G1197" s="4">
        <v>0</v>
      </c>
      <c r="H1197">
        <v>0</v>
      </c>
      <c r="I1197">
        <v>370374</v>
      </c>
      <c r="J1197" s="6">
        <v>7.75</v>
      </c>
      <c r="K1197" s="4" t="str">
        <f t="shared" si="18"/>
        <v>Low</v>
      </c>
      <c r="L1197" t="s">
        <v>3561</v>
      </c>
      <c r="M1197" s="4" t="s">
        <v>3561</v>
      </c>
      <c r="N1197" t="s">
        <v>3567</v>
      </c>
      <c r="O1197" t="s">
        <v>3569</v>
      </c>
      <c r="P1197" s="4" t="s">
        <v>3573</v>
      </c>
      <c r="Q1197" t="s">
        <v>3573</v>
      </c>
    </row>
    <row r="1198" spans="1:17">
      <c r="A1198" t="s">
        <v>838</v>
      </c>
      <c r="B1198" t="s">
        <v>9</v>
      </c>
      <c r="C1198" t="s">
        <v>3440</v>
      </c>
      <c r="D1198" t="s">
        <v>3552</v>
      </c>
      <c r="E1198">
        <v>29</v>
      </c>
      <c r="F1198" s="4" t="s">
        <v>3555</v>
      </c>
      <c r="G1198" s="4">
        <v>0</v>
      </c>
      <c r="H1198">
        <v>0</v>
      </c>
      <c r="I1198">
        <v>345779</v>
      </c>
      <c r="J1198" s="6">
        <v>9.5</v>
      </c>
      <c r="K1198" s="4" t="str">
        <f t="shared" si="18"/>
        <v>Low</v>
      </c>
      <c r="L1198" t="s">
        <v>3561</v>
      </c>
      <c r="M1198" s="4" t="s">
        <v>3561</v>
      </c>
      <c r="N1198" t="s">
        <v>457</v>
      </c>
      <c r="O1198">
        <v>11</v>
      </c>
      <c r="P1198" s="4" t="s">
        <v>3573</v>
      </c>
      <c r="Q1198" t="s">
        <v>3573</v>
      </c>
    </row>
    <row r="1199" spans="1:17">
      <c r="A1199" t="s">
        <v>838</v>
      </c>
      <c r="B1199" t="s">
        <v>840</v>
      </c>
      <c r="C1199" t="s">
        <v>3441</v>
      </c>
      <c r="D1199" t="s">
        <v>3552</v>
      </c>
      <c r="E1199">
        <v>28</v>
      </c>
      <c r="F1199" s="4" t="s">
        <v>3555</v>
      </c>
      <c r="G1199" s="4">
        <v>0</v>
      </c>
      <c r="H1199">
        <v>0</v>
      </c>
      <c r="I1199" t="s">
        <v>729</v>
      </c>
      <c r="J1199" s="6">
        <v>15.1</v>
      </c>
      <c r="K1199" s="4" t="str">
        <f t="shared" si="18"/>
        <v>Mid</v>
      </c>
      <c r="L1199" t="s">
        <v>3561</v>
      </c>
      <c r="M1199" s="4" t="s">
        <v>3561</v>
      </c>
      <c r="N1199" t="s">
        <v>457</v>
      </c>
      <c r="O1199" t="s">
        <v>3569</v>
      </c>
      <c r="P1199" s="4" t="s">
        <v>3573</v>
      </c>
      <c r="Q1199" t="s">
        <v>3573</v>
      </c>
    </row>
    <row r="1200" spans="1:17">
      <c r="A1200" t="s">
        <v>838</v>
      </c>
      <c r="B1200" t="s">
        <v>9</v>
      </c>
      <c r="C1200" t="s">
        <v>3442</v>
      </c>
      <c r="D1200" t="s">
        <v>3551</v>
      </c>
      <c r="E1200">
        <v>28</v>
      </c>
      <c r="F1200" s="4" t="s">
        <v>3555</v>
      </c>
      <c r="G1200" s="4">
        <v>0</v>
      </c>
      <c r="H1200">
        <v>0</v>
      </c>
      <c r="I1200">
        <v>330968</v>
      </c>
      <c r="J1200" s="6">
        <v>7.7792000000000003</v>
      </c>
      <c r="K1200" s="4" t="str">
        <f t="shared" si="18"/>
        <v>Low</v>
      </c>
      <c r="L1200" t="s">
        <v>3561</v>
      </c>
      <c r="M1200" s="4" t="s">
        <v>3561</v>
      </c>
      <c r="N1200" t="s">
        <v>3567</v>
      </c>
      <c r="O1200" t="s">
        <v>3569</v>
      </c>
      <c r="P1200" s="4" t="s">
        <v>3573</v>
      </c>
      <c r="Q1200" t="s">
        <v>3573</v>
      </c>
    </row>
    <row r="1201" spans="1:17">
      <c r="A1201" t="s">
        <v>838</v>
      </c>
      <c r="B1201" t="s">
        <v>840</v>
      </c>
      <c r="C1201" t="s">
        <v>3443</v>
      </c>
      <c r="D1201" t="s">
        <v>3552</v>
      </c>
      <c r="E1201">
        <v>28</v>
      </c>
      <c r="F1201" s="4" t="s">
        <v>3555</v>
      </c>
      <c r="G1201" s="4">
        <v>0</v>
      </c>
      <c r="H1201">
        <v>0</v>
      </c>
      <c r="I1201">
        <v>374910</v>
      </c>
      <c r="J1201" s="6">
        <v>8.0500000000000007</v>
      </c>
      <c r="K1201" s="4" t="str">
        <f t="shared" si="18"/>
        <v>Low</v>
      </c>
      <c r="L1201" t="s">
        <v>3561</v>
      </c>
      <c r="M1201" s="4" t="s">
        <v>3561</v>
      </c>
      <c r="N1201" t="s">
        <v>457</v>
      </c>
      <c r="O1201" t="s">
        <v>3569</v>
      </c>
      <c r="P1201" s="4" t="s">
        <v>3573</v>
      </c>
      <c r="Q1201" t="s">
        <v>3573</v>
      </c>
    </row>
    <row r="1202" spans="1:17">
      <c r="A1202" t="s">
        <v>838</v>
      </c>
      <c r="B1202" t="s">
        <v>840</v>
      </c>
      <c r="C1202" t="s">
        <v>3444</v>
      </c>
      <c r="D1202" t="s">
        <v>3552</v>
      </c>
      <c r="E1202">
        <v>28</v>
      </c>
      <c r="F1202" s="4" t="s">
        <v>3555</v>
      </c>
      <c r="G1202" s="4">
        <v>0</v>
      </c>
      <c r="H1202">
        <v>0</v>
      </c>
      <c r="I1202" t="s">
        <v>812</v>
      </c>
      <c r="J1202" s="6">
        <v>8.0500000000000007</v>
      </c>
      <c r="K1202" s="4" t="str">
        <f t="shared" si="18"/>
        <v>Low</v>
      </c>
      <c r="L1202" t="s">
        <v>3561</v>
      </c>
      <c r="M1202" s="4" t="s">
        <v>3561</v>
      </c>
      <c r="N1202" t="s">
        <v>457</v>
      </c>
      <c r="O1202" t="s">
        <v>3569</v>
      </c>
      <c r="P1202" s="4" t="s">
        <v>3573</v>
      </c>
      <c r="Q1202" t="s">
        <v>3573</v>
      </c>
    </row>
    <row r="1203" spans="1:17">
      <c r="A1203" t="s">
        <v>838</v>
      </c>
      <c r="B1203" t="s">
        <v>840</v>
      </c>
      <c r="C1203" t="s">
        <v>3445</v>
      </c>
      <c r="D1203" t="s">
        <v>3552</v>
      </c>
      <c r="E1203">
        <v>22</v>
      </c>
      <c r="F1203" s="4" t="s">
        <v>3555</v>
      </c>
      <c r="G1203" s="4">
        <v>0</v>
      </c>
      <c r="H1203">
        <v>0</v>
      </c>
      <c r="I1203">
        <v>2669</v>
      </c>
      <c r="J1203" s="6">
        <v>7.2291999999999996</v>
      </c>
      <c r="K1203" s="4" t="str">
        <f t="shared" si="18"/>
        <v>Low</v>
      </c>
      <c r="L1203" t="s">
        <v>3561</v>
      </c>
      <c r="M1203" s="4" t="s">
        <v>3561</v>
      </c>
      <c r="N1203" t="s">
        <v>3566</v>
      </c>
      <c r="O1203" t="s">
        <v>3569</v>
      </c>
      <c r="P1203" s="4" t="s">
        <v>3573</v>
      </c>
      <c r="Q1203" t="s">
        <v>3573</v>
      </c>
    </row>
    <row r="1204" spans="1:17">
      <c r="A1204" t="s">
        <v>838</v>
      </c>
      <c r="B1204" t="s">
        <v>840</v>
      </c>
      <c r="C1204" t="s">
        <v>3446</v>
      </c>
      <c r="D1204" t="s">
        <v>3552</v>
      </c>
      <c r="E1204">
        <v>28</v>
      </c>
      <c r="F1204" s="4" t="s">
        <v>3555</v>
      </c>
      <c r="G1204" s="4">
        <v>0</v>
      </c>
      <c r="H1204">
        <v>0</v>
      </c>
      <c r="I1204">
        <v>392092</v>
      </c>
      <c r="J1204" s="6">
        <v>8.0500000000000007</v>
      </c>
      <c r="K1204" s="4" t="str">
        <f t="shared" si="18"/>
        <v>Low</v>
      </c>
      <c r="L1204" t="s">
        <v>3561</v>
      </c>
      <c r="M1204" s="4" t="s">
        <v>3561</v>
      </c>
      <c r="N1204" t="s">
        <v>457</v>
      </c>
      <c r="O1204" t="s">
        <v>3569</v>
      </c>
      <c r="P1204" s="4" t="s">
        <v>3573</v>
      </c>
      <c r="Q1204" t="s">
        <v>3573</v>
      </c>
    </row>
    <row r="1205" spans="1:17">
      <c r="A1205" t="s">
        <v>838</v>
      </c>
      <c r="B1205" t="s">
        <v>840</v>
      </c>
      <c r="C1205" t="s">
        <v>3447</v>
      </c>
      <c r="D1205" t="s">
        <v>3552</v>
      </c>
      <c r="E1205">
        <v>40</v>
      </c>
      <c r="F1205" s="4" t="s">
        <v>3557</v>
      </c>
      <c r="G1205" s="4">
        <v>0</v>
      </c>
      <c r="H1205">
        <v>0</v>
      </c>
      <c r="I1205">
        <v>349251</v>
      </c>
      <c r="J1205" s="6">
        <v>7.8958000000000004</v>
      </c>
      <c r="K1205" s="4" t="str">
        <f t="shared" si="18"/>
        <v>Low</v>
      </c>
      <c r="L1205" t="s">
        <v>3561</v>
      </c>
      <c r="M1205" s="4" t="s">
        <v>3561</v>
      </c>
      <c r="N1205" t="s">
        <v>457</v>
      </c>
      <c r="O1205" t="s">
        <v>3569</v>
      </c>
      <c r="P1205" s="4" t="s">
        <v>3573</v>
      </c>
      <c r="Q1205" t="s">
        <v>3573</v>
      </c>
    </row>
    <row r="1206" spans="1:17">
      <c r="A1206" t="s">
        <v>838</v>
      </c>
      <c r="B1206" t="s">
        <v>840</v>
      </c>
      <c r="C1206" t="s">
        <v>3448</v>
      </c>
      <c r="D1206" t="s">
        <v>3552</v>
      </c>
      <c r="E1206">
        <v>21</v>
      </c>
      <c r="F1206" s="4" t="s">
        <v>3555</v>
      </c>
      <c r="G1206" s="4">
        <v>0</v>
      </c>
      <c r="H1206">
        <v>0</v>
      </c>
      <c r="I1206" t="s">
        <v>813</v>
      </c>
      <c r="J1206" s="6">
        <v>7.9249999999999998</v>
      </c>
      <c r="K1206" s="4" t="str">
        <f t="shared" si="18"/>
        <v>Low</v>
      </c>
      <c r="L1206" t="s">
        <v>3561</v>
      </c>
      <c r="M1206" s="4" t="s">
        <v>3561</v>
      </c>
      <c r="N1206" t="s">
        <v>457</v>
      </c>
      <c r="O1206" t="s">
        <v>3569</v>
      </c>
      <c r="P1206" s="4" t="s">
        <v>3573</v>
      </c>
      <c r="Q1206" t="s">
        <v>3573</v>
      </c>
    </row>
    <row r="1207" spans="1:17">
      <c r="A1207" t="s">
        <v>838</v>
      </c>
      <c r="B1207" t="s">
        <v>9</v>
      </c>
      <c r="C1207" t="s">
        <v>3449</v>
      </c>
      <c r="D1207" t="s">
        <v>3551</v>
      </c>
      <c r="E1207">
        <v>18</v>
      </c>
      <c r="F1207" s="4" t="s">
        <v>3555</v>
      </c>
      <c r="G1207" s="4">
        <v>0</v>
      </c>
      <c r="H1207">
        <v>0</v>
      </c>
      <c r="I1207">
        <v>3101265</v>
      </c>
      <c r="J1207" s="6">
        <v>7.4958</v>
      </c>
      <c r="K1207" s="4" t="str">
        <f t="shared" si="18"/>
        <v>Low</v>
      </c>
      <c r="L1207" t="s">
        <v>3561</v>
      </c>
      <c r="M1207" s="4" t="s">
        <v>3561</v>
      </c>
      <c r="N1207" t="s">
        <v>457</v>
      </c>
      <c r="O1207">
        <v>16</v>
      </c>
      <c r="P1207" s="4" t="s">
        <v>3573</v>
      </c>
      <c r="Q1207" t="s">
        <v>3573</v>
      </c>
    </row>
    <row r="1208" spans="1:17">
      <c r="A1208" t="s">
        <v>838</v>
      </c>
      <c r="B1208" t="s">
        <v>840</v>
      </c>
      <c r="C1208" t="s">
        <v>3450</v>
      </c>
      <c r="D1208" t="s">
        <v>3552</v>
      </c>
      <c r="E1208">
        <v>4</v>
      </c>
      <c r="F1208" s="4" t="s">
        <v>3556</v>
      </c>
      <c r="G1208" s="4">
        <v>2</v>
      </c>
      <c r="H1208">
        <v>3</v>
      </c>
      <c r="I1208">
        <v>347088</v>
      </c>
      <c r="J1208" s="6">
        <v>27.9</v>
      </c>
      <c r="K1208" s="4" t="str">
        <f t="shared" si="18"/>
        <v>Mid</v>
      </c>
      <c r="L1208" t="s">
        <v>3561</v>
      </c>
      <c r="M1208" s="4" t="s">
        <v>3561</v>
      </c>
      <c r="N1208" t="s">
        <v>457</v>
      </c>
      <c r="O1208" t="s">
        <v>3569</v>
      </c>
      <c r="P1208" s="4" t="s">
        <v>3573</v>
      </c>
      <c r="Q1208" t="s">
        <v>3573</v>
      </c>
    </row>
    <row r="1209" spans="1:17">
      <c r="A1209" t="s">
        <v>838</v>
      </c>
      <c r="B1209" t="s">
        <v>840</v>
      </c>
      <c r="C1209" t="s">
        <v>3451</v>
      </c>
      <c r="D1209" t="s">
        <v>3552</v>
      </c>
      <c r="E1209">
        <v>10</v>
      </c>
      <c r="F1209" s="4" t="s">
        <v>3560</v>
      </c>
      <c r="G1209" s="4">
        <v>2</v>
      </c>
      <c r="H1209">
        <v>3</v>
      </c>
      <c r="I1209">
        <v>347088</v>
      </c>
      <c r="J1209" s="6">
        <v>27.9</v>
      </c>
      <c r="K1209" s="4" t="str">
        <f t="shared" si="18"/>
        <v>Mid</v>
      </c>
      <c r="L1209" t="s">
        <v>3561</v>
      </c>
      <c r="M1209" s="4" t="s">
        <v>3561</v>
      </c>
      <c r="N1209" t="s">
        <v>457</v>
      </c>
      <c r="O1209" t="s">
        <v>3569</v>
      </c>
      <c r="P1209" s="4" t="s">
        <v>3573</v>
      </c>
      <c r="Q1209" t="s">
        <v>3573</v>
      </c>
    </row>
    <row r="1210" spans="1:17">
      <c r="A1210" t="s">
        <v>838</v>
      </c>
      <c r="B1210" t="s">
        <v>840</v>
      </c>
      <c r="C1210" t="s">
        <v>3452</v>
      </c>
      <c r="D1210" t="s">
        <v>3551</v>
      </c>
      <c r="E1210">
        <v>9</v>
      </c>
      <c r="F1210" s="4" t="s">
        <v>3556</v>
      </c>
      <c r="G1210" s="4">
        <v>2</v>
      </c>
      <c r="H1210">
        <v>3</v>
      </c>
      <c r="I1210">
        <v>347088</v>
      </c>
      <c r="J1210" s="6">
        <v>27.9</v>
      </c>
      <c r="K1210" s="4" t="str">
        <f t="shared" si="18"/>
        <v>Mid</v>
      </c>
      <c r="L1210" t="s">
        <v>3561</v>
      </c>
      <c r="M1210" s="4" t="s">
        <v>3561</v>
      </c>
      <c r="N1210" t="s">
        <v>457</v>
      </c>
      <c r="O1210" t="s">
        <v>3569</v>
      </c>
      <c r="P1210" s="4" t="s">
        <v>3573</v>
      </c>
      <c r="Q1210" t="s">
        <v>3573</v>
      </c>
    </row>
    <row r="1211" spans="1:17">
      <c r="A1211" t="s">
        <v>838</v>
      </c>
      <c r="B1211" t="s">
        <v>840</v>
      </c>
      <c r="C1211" t="s">
        <v>3453</v>
      </c>
      <c r="D1211" t="s">
        <v>3551</v>
      </c>
      <c r="E1211">
        <v>2</v>
      </c>
      <c r="F1211" s="4" t="s">
        <v>3556</v>
      </c>
      <c r="G1211" s="4">
        <v>2</v>
      </c>
      <c r="H1211">
        <v>3</v>
      </c>
      <c r="I1211">
        <v>347088</v>
      </c>
      <c r="J1211" s="6">
        <v>27.9</v>
      </c>
      <c r="K1211" s="4" t="str">
        <f t="shared" si="18"/>
        <v>Mid</v>
      </c>
      <c r="L1211" t="s">
        <v>3561</v>
      </c>
      <c r="M1211" s="4" t="s">
        <v>3561</v>
      </c>
      <c r="N1211" t="s">
        <v>457</v>
      </c>
      <c r="O1211" t="s">
        <v>3569</v>
      </c>
      <c r="P1211" s="4" t="s">
        <v>3573</v>
      </c>
      <c r="Q1211" t="s">
        <v>3573</v>
      </c>
    </row>
    <row r="1212" spans="1:17">
      <c r="A1212" t="s">
        <v>838</v>
      </c>
      <c r="B1212" t="s">
        <v>840</v>
      </c>
      <c r="C1212" t="s">
        <v>3454</v>
      </c>
      <c r="D1212" t="s">
        <v>3552</v>
      </c>
      <c r="E1212">
        <v>40</v>
      </c>
      <c r="F1212" s="4" t="s">
        <v>3557</v>
      </c>
      <c r="G1212" s="4">
        <v>4</v>
      </c>
      <c r="H1212">
        <v>1</v>
      </c>
      <c r="I1212">
        <v>347088</v>
      </c>
      <c r="J1212" s="6">
        <v>27.9</v>
      </c>
      <c r="K1212" s="4" t="str">
        <f t="shared" si="18"/>
        <v>Mid</v>
      </c>
      <c r="L1212" t="s">
        <v>3561</v>
      </c>
      <c r="M1212" s="4" t="s">
        <v>3561</v>
      </c>
      <c r="N1212" t="s">
        <v>457</v>
      </c>
      <c r="O1212" t="s">
        <v>3569</v>
      </c>
      <c r="P1212" s="4" t="s">
        <v>3573</v>
      </c>
      <c r="Q1212" t="s">
        <v>3573</v>
      </c>
    </row>
    <row r="1213" spans="1:17">
      <c r="A1213" t="s">
        <v>838</v>
      </c>
      <c r="B1213" t="s">
        <v>840</v>
      </c>
      <c r="C1213" t="s">
        <v>3455</v>
      </c>
      <c r="D1213" t="s">
        <v>3551</v>
      </c>
      <c r="E1213">
        <v>45</v>
      </c>
      <c r="F1213" s="4" t="s">
        <v>3557</v>
      </c>
      <c r="G1213" s="4">
        <v>4</v>
      </c>
      <c r="H1213">
        <v>1</v>
      </c>
      <c r="I1213">
        <v>347088</v>
      </c>
      <c r="J1213" s="6">
        <v>27.9</v>
      </c>
      <c r="K1213" s="4" t="str">
        <f t="shared" si="18"/>
        <v>Mid</v>
      </c>
      <c r="L1213" t="s">
        <v>3561</v>
      </c>
      <c r="M1213" s="4" t="s">
        <v>3561</v>
      </c>
      <c r="N1213" t="s">
        <v>457</v>
      </c>
      <c r="O1213" t="s">
        <v>3569</v>
      </c>
      <c r="P1213" s="4" t="s">
        <v>3573</v>
      </c>
      <c r="Q1213" t="s">
        <v>3573</v>
      </c>
    </row>
    <row r="1214" spans="1:17">
      <c r="A1214" t="s">
        <v>838</v>
      </c>
      <c r="B1214" t="s">
        <v>840</v>
      </c>
      <c r="C1214" t="s">
        <v>3456</v>
      </c>
      <c r="D1214" t="s">
        <v>3552</v>
      </c>
      <c r="E1214">
        <v>28</v>
      </c>
      <c r="F1214" s="4" t="s">
        <v>3555</v>
      </c>
      <c r="G1214" s="4">
        <v>0</v>
      </c>
      <c r="H1214">
        <v>0</v>
      </c>
      <c r="I1214">
        <v>349214</v>
      </c>
      <c r="J1214" s="6">
        <v>7.8958000000000004</v>
      </c>
      <c r="K1214" s="4" t="str">
        <f t="shared" si="18"/>
        <v>Low</v>
      </c>
      <c r="L1214" t="s">
        <v>3561</v>
      </c>
      <c r="M1214" s="4" t="s">
        <v>3561</v>
      </c>
      <c r="N1214" t="s">
        <v>457</v>
      </c>
      <c r="O1214" t="s">
        <v>3569</v>
      </c>
      <c r="P1214" s="4" t="s">
        <v>3573</v>
      </c>
      <c r="Q1214" t="s">
        <v>3573</v>
      </c>
    </row>
    <row r="1215" spans="1:17">
      <c r="A1215" t="s">
        <v>838</v>
      </c>
      <c r="B1215" t="s">
        <v>840</v>
      </c>
      <c r="C1215" t="s">
        <v>3457</v>
      </c>
      <c r="D1215" t="s">
        <v>3552</v>
      </c>
      <c r="E1215">
        <v>28</v>
      </c>
      <c r="F1215" s="4" t="s">
        <v>3555</v>
      </c>
      <c r="G1215" s="4">
        <v>0</v>
      </c>
      <c r="H1215">
        <v>0</v>
      </c>
      <c r="I1215" t="s">
        <v>814</v>
      </c>
      <c r="J1215" s="6">
        <v>8.0500000000000007</v>
      </c>
      <c r="K1215" s="4" t="str">
        <f t="shared" si="18"/>
        <v>Low</v>
      </c>
      <c r="L1215" t="s">
        <v>3561</v>
      </c>
      <c r="M1215" s="4" t="s">
        <v>3561</v>
      </c>
      <c r="N1215" t="s">
        <v>457</v>
      </c>
      <c r="O1215" t="s">
        <v>3569</v>
      </c>
      <c r="P1215" s="4" t="s">
        <v>3573</v>
      </c>
      <c r="Q1215" t="s">
        <v>3573</v>
      </c>
    </row>
    <row r="1216" spans="1:17">
      <c r="A1216" t="s">
        <v>838</v>
      </c>
      <c r="B1216" t="s">
        <v>840</v>
      </c>
      <c r="C1216" t="s">
        <v>3458</v>
      </c>
      <c r="D1216" t="s">
        <v>3552</v>
      </c>
      <c r="E1216">
        <v>28</v>
      </c>
      <c r="F1216" s="4" t="s">
        <v>3555</v>
      </c>
      <c r="G1216" s="4">
        <v>0</v>
      </c>
      <c r="H1216">
        <v>0</v>
      </c>
      <c r="I1216">
        <v>315037</v>
      </c>
      <c r="J1216" s="6">
        <v>8.6624999999999996</v>
      </c>
      <c r="K1216" s="4" t="str">
        <f t="shared" si="18"/>
        <v>Low</v>
      </c>
      <c r="L1216" t="s">
        <v>3561</v>
      </c>
      <c r="M1216" s="4" t="s">
        <v>3561</v>
      </c>
      <c r="N1216" t="s">
        <v>457</v>
      </c>
      <c r="O1216" t="s">
        <v>3569</v>
      </c>
      <c r="P1216" s="4" t="s">
        <v>3573</v>
      </c>
      <c r="Q1216" t="s">
        <v>3573</v>
      </c>
    </row>
    <row r="1217" spans="1:17">
      <c r="A1217" t="s">
        <v>838</v>
      </c>
      <c r="B1217" t="s">
        <v>840</v>
      </c>
      <c r="C1217" t="s">
        <v>3459</v>
      </c>
      <c r="D1217" t="s">
        <v>3552</v>
      </c>
      <c r="E1217">
        <v>28</v>
      </c>
      <c r="F1217" s="4" t="s">
        <v>3555</v>
      </c>
      <c r="G1217" s="4">
        <v>0</v>
      </c>
      <c r="H1217">
        <v>0</v>
      </c>
      <c r="I1217">
        <v>384461</v>
      </c>
      <c r="J1217" s="6">
        <v>7.75</v>
      </c>
      <c r="K1217" s="4" t="str">
        <f t="shared" si="18"/>
        <v>Low</v>
      </c>
      <c r="L1217" t="s">
        <v>3561</v>
      </c>
      <c r="M1217" s="4" t="s">
        <v>3561</v>
      </c>
      <c r="N1217" t="s">
        <v>3567</v>
      </c>
      <c r="O1217" t="s">
        <v>3569</v>
      </c>
      <c r="P1217" s="4" t="s">
        <v>3573</v>
      </c>
      <c r="Q1217" t="s">
        <v>3573</v>
      </c>
    </row>
    <row r="1218" spans="1:17">
      <c r="A1218" t="s">
        <v>838</v>
      </c>
      <c r="B1218" t="s">
        <v>9</v>
      </c>
      <c r="C1218" t="s">
        <v>3460</v>
      </c>
      <c r="D1218" t="s">
        <v>3551</v>
      </c>
      <c r="E1218">
        <v>28</v>
      </c>
      <c r="F1218" s="4" t="s">
        <v>3555</v>
      </c>
      <c r="G1218" s="4">
        <v>0</v>
      </c>
      <c r="H1218">
        <v>0</v>
      </c>
      <c r="I1218">
        <v>335432</v>
      </c>
      <c r="J1218" s="6">
        <v>7.7332999999999998</v>
      </c>
      <c r="K1218" s="4" t="str">
        <f t="shared" si="18"/>
        <v>Low</v>
      </c>
      <c r="L1218" t="s">
        <v>3561</v>
      </c>
      <c r="M1218" s="4" t="s">
        <v>3561</v>
      </c>
      <c r="N1218" t="s">
        <v>3567</v>
      </c>
      <c r="O1218">
        <v>13</v>
      </c>
      <c r="P1218" s="4" t="s">
        <v>3573</v>
      </c>
      <c r="Q1218" t="s">
        <v>3573</v>
      </c>
    </row>
    <row r="1219" spans="1:17">
      <c r="A1219" t="s">
        <v>838</v>
      </c>
      <c r="B1219" t="s">
        <v>840</v>
      </c>
      <c r="C1219" t="s">
        <v>3461</v>
      </c>
      <c r="D1219" t="s">
        <v>3552</v>
      </c>
      <c r="E1219">
        <v>19</v>
      </c>
      <c r="F1219" s="4" t="s">
        <v>3555</v>
      </c>
      <c r="G1219" s="4">
        <v>0</v>
      </c>
      <c r="H1219">
        <v>0</v>
      </c>
      <c r="I1219">
        <v>348124</v>
      </c>
      <c r="J1219" s="6">
        <v>7.65</v>
      </c>
      <c r="K1219" s="4" t="str">
        <f t="shared" ref="K1219:K1282" si="19">IF(J1219&lt;=10,"Low",IF(J1219&lt;=50,"Mid","High"))</f>
        <v>Low</v>
      </c>
      <c r="L1219" t="s">
        <v>781</v>
      </c>
      <c r="M1219" s="4" t="s">
        <v>586</v>
      </c>
      <c r="N1219" t="s">
        <v>457</v>
      </c>
      <c r="O1219" t="s">
        <v>3569</v>
      </c>
      <c r="P1219" s="4" t="s">
        <v>3573</v>
      </c>
      <c r="Q1219" t="s">
        <v>3573</v>
      </c>
    </row>
    <row r="1220" spans="1:17">
      <c r="A1220" t="s">
        <v>838</v>
      </c>
      <c r="B1220" t="s">
        <v>840</v>
      </c>
      <c r="C1220" t="s">
        <v>3462</v>
      </c>
      <c r="D1220" t="s">
        <v>3552</v>
      </c>
      <c r="E1220">
        <v>30</v>
      </c>
      <c r="F1220" s="4" t="s">
        <v>3557</v>
      </c>
      <c r="G1220" s="4">
        <v>0</v>
      </c>
      <c r="H1220">
        <v>0</v>
      </c>
      <c r="I1220" t="s">
        <v>815</v>
      </c>
      <c r="J1220" s="6">
        <v>8.0500000000000007</v>
      </c>
      <c r="K1220" s="4" t="str">
        <f t="shared" si="19"/>
        <v>Low</v>
      </c>
      <c r="L1220" t="s">
        <v>3561</v>
      </c>
      <c r="M1220" s="4" t="s">
        <v>3561</v>
      </c>
      <c r="N1220" t="s">
        <v>457</v>
      </c>
      <c r="O1220" t="s">
        <v>3569</v>
      </c>
      <c r="P1220" s="4" t="s">
        <v>3573</v>
      </c>
      <c r="Q1220" t="s">
        <v>3573</v>
      </c>
    </row>
    <row r="1221" spans="1:17">
      <c r="A1221" t="s">
        <v>838</v>
      </c>
      <c r="B1221" t="s">
        <v>840</v>
      </c>
      <c r="C1221" t="s">
        <v>3463</v>
      </c>
      <c r="D1221" t="s">
        <v>3552</v>
      </c>
      <c r="E1221">
        <v>28</v>
      </c>
      <c r="F1221" s="4" t="s">
        <v>3555</v>
      </c>
      <c r="G1221" s="4">
        <v>0</v>
      </c>
      <c r="H1221">
        <v>0</v>
      </c>
      <c r="I1221" t="s">
        <v>816</v>
      </c>
      <c r="J1221" s="6">
        <v>8.0500000000000007</v>
      </c>
      <c r="K1221" s="4" t="str">
        <f t="shared" si="19"/>
        <v>Low</v>
      </c>
      <c r="L1221" t="s">
        <v>3561</v>
      </c>
      <c r="M1221" s="4" t="s">
        <v>3561</v>
      </c>
      <c r="N1221" t="s">
        <v>457</v>
      </c>
      <c r="O1221" t="s">
        <v>3569</v>
      </c>
      <c r="P1221" s="4" t="s">
        <v>3573</v>
      </c>
      <c r="Q1221" t="s">
        <v>3573</v>
      </c>
    </row>
    <row r="1222" spans="1:17">
      <c r="A1222" t="s">
        <v>838</v>
      </c>
      <c r="B1222" t="s">
        <v>840</v>
      </c>
      <c r="C1222" t="s">
        <v>3464</v>
      </c>
      <c r="D1222" t="s">
        <v>3552</v>
      </c>
      <c r="E1222">
        <v>32</v>
      </c>
      <c r="F1222" s="4" t="s">
        <v>3557</v>
      </c>
      <c r="G1222" s="4">
        <v>0</v>
      </c>
      <c r="H1222">
        <v>0</v>
      </c>
      <c r="I1222" t="s">
        <v>817</v>
      </c>
      <c r="J1222" s="6">
        <v>8.0500000000000007</v>
      </c>
      <c r="K1222" s="4" t="str">
        <f t="shared" si="19"/>
        <v>Low</v>
      </c>
      <c r="L1222" t="s">
        <v>3561</v>
      </c>
      <c r="M1222" s="4" t="s">
        <v>3561</v>
      </c>
      <c r="N1222" t="s">
        <v>457</v>
      </c>
      <c r="O1222" t="s">
        <v>3569</v>
      </c>
      <c r="P1222" s="4" t="s">
        <v>3573</v>
      </c>
      <c r="Q1222" t="s">
        <v>3573</v>
      </c>
    </row>
    <row r="1223" spans="1:17">
      <c r="A1223" t="s">
        <v>838</v>
      </c>
      <c r="B1223" t="s">
        <v>840</v>
      </c>
      <c r="C1223" t="s">
        <v>3465</v>
      </c>
      <c r="D1223" t="s">
        <v>3552</v>
      </c>
      <c r="E1223">
        <v>28</v>
      </c>
      <c r="F1223" s="4" t="s">
        <v>3555</v>
      </c>
      <c r="G1223" s="4">
        <v>0</v>
      </c>
      <c r="H1223">
        <v>0</v>
      </c>
      <c r="I1223">
        <v>349208</v>
      </c>
      <c r="J1223" s="6">
        <v>7.8958000000000004</v>
      </c>
      <c r="K1223" s="4" t="str">
        <f t="shared" si="19"/>
        <v>Low</v>
      </c>
      <c r="L1223" t="s">
        <v>3561</v>
      </c>
      <c r="M1223" s="4" t="s">
        <v>3561</v>
      </c>
      <c r="N1223" t="s">
        <v>457</v>
      </c>
      <c r="O1223" t="s">
        <v>3569</v>
      </c>
      <c r="P1223" s="4" t="s">
        <v>3573</v>
      </c>
      <c r="Q1223" t="s">
        <v>3573</v>
      </c>
    </row>
    <row r="1224" spans="1:17">
      <c r="A1224" t="s">
        <v>838</v>
      </c>
      <c r="B1224" t="s">
        <v>840</v>
      </c>
      <c r="C1224" t="s">
        <v>3466</v>
      </c>
      <c r="D1224" t="s">
        <v>3552</v>
      </c>
      <c r="E1224">
        <v>33</v>
      </c>
      <c r="F1224" s="4" t="s">
        <v>3557</v>
      </c>
      <c r="G1224" s="4">
        <v>0</v>
      </c>
      <c r="H1224">
        <v>0</v>
      </c>
      <c r="I1224">
        <v>349239</v>
      </c>
      <c r="J1224" s="6">
        <v>8.6624999999999996</v>
      </c>
      <c r="K1224" s="4" t="str">
        <f t="shared" si="19"/>
        <v>Low</v>
      </c>
      <c r="L1224" t="s">
        <v>3561</v>
      </c>
      <c r="M1224" s="4" t="s">
        <v>3561</v>
      </c>
      <c r="N1224" t="s">
        <v>3566</v>
      </c>
      <c r="O1224" t="s">
        <v>3569</v>
      </c>
      <c r="P1224" s="4" t="s">
        <v>3573</v>
      </c>
      <c r="Q1224" t="s">
        <v>3573</v>
      </c>
    </row>
    <row r="1225" spans="1:17">
      <c r="A1225" t="s">
        <v>838</v>
      </c>
      <c r="B1225" t="s">
        <v>9</v>
      </c>
      <c r="C1225" t="s">
        <v>3467</v>
      </c>
      <c r="D1225" t="s">
        <v>3551</v>
      </c>
      <c r="E1225">
        <v>23</v>
      </c>
      <c r="F1225" s="4" t="s">
        <v>3555</v>
      </c>
      <c r="G1225" s="4">
        <v>0</v>
      </c>
      <c r="H1225">
        <v>0</v>
      </c>
      <c r="I1225" t="s">
        <v>818</v>
      </c>
      <c r="J1225" s="6">
        <v>7.55</v>
      </c>
      <c r="K1225" s="4" t="str">
        <f t="shared" si="19"/>
        <v>Low</v>
      </c>
      <c r="L1225" t="s">
        <v>3561</v>
      </c>
      <c r="M1225" s="4" t="s">
        <v>3561</v>
      </c>
      <c r="N1225" t="s">
        <v>457</v>
      </c>
      <c r="O1225" t="s">
        <v>62</v>
      </c>
      <c r="P1225" s="4" t="s">
        <v>3573</v>
      </c>
      <c r="Q1225" t="s">
        <v>3573</v>
      </c>
    </row>
    <row r="1226" spans="1:17">
      <c r="A1226" t="s">
        <v>838</v>
      </c>
      <c r="B1226" t="s">
        <v>840</v>
      </c>
      <c r="C1226" t="s">
        <v>3468</v>
      </c>
      <c r="D1226" t="s">
        <v>3552</v>
      </c>
      <c r="E1226">
        <v>21</v>
      </c>
      <c r="F1226" s="4" t="s">
        <v>3555</v>
      </c>
      <c r="G1226" s="4">
        <v>0</v>
      </c>
      <c r="H1226">
        <v>0</v>
      </c>
      <c r="I1226" t="s">
        <v>819</v>
      </c>
      <c r="J1226" s="6">
        <v>8.0500000000000007</v>
      </c>
      <c r="K1226" s="4" t="str">
        <f t="shared" si="19"/>
        <v>Low</v>
      </c>
      <c r="L1226" t="s">
        <v>3561</v>
      </c>
      <c r="M1226" s="4" t="s">
        <v>3561</v>
      </c>
      <c r="N1226" t="s">
        <v>457</v>
      </c>
      <c r="O1226" t="s">
        <v>3569</v>
      </c>
      <c r="P1226" s="4" t="s">
        <v>3573</v>
      </c>
      <c r="Q1226" t="s">
        <v>3573</v>
      </c>
    </row>
    <row r="1227" spans="1:17">
      <c r="A1227" t="s">
        <v>838</v>
      </c>
      <c r="B1227" t="s">
        <v>840</v>
      </c>
      <c r="C1227" t="s">
        <v>3469</v>
      </c>
      <c r="D1227" t="s">
        <v>3552</v>
      </c>
      <c r="E1227">
        <v>61</v>
      </c>
      <c r="F1227" s="4" t="s">
        <v>3559</v>
      </c>
      <c r="G1227" s="4">
        <v>0</v>
      </c>
      <c r="H1227">
        <v>0</v>
      </c>
      <c r="I1227">
        <v>3701</v>
      </c>
      <c r="J1227" s="6">
        <v>14.4542</v>
      </c>
      <c r="K1227" s="4" t="str">
        <f t="shared" si="19"/>
        <v>Mid</v>
      </c>
      <c r="L1227" t="s">
        <v>3561</v>
      </c>
      <c r="M1227" s="4" t="s">
        <v>3561</v>
      </c>
      <c r="N1227" t="s">
        <v>457</v>
      </c>
      <c r="O1227" t="s">
        <v>3569</v>
      </c>
      <c r="P1227" s="4">
        <v>261</v>
      </c>
      <c r="Q1227" t="s">
        <v>3574</v>
      </c>
    </row>
    <row r="1228" spans="1:17">
      <c r="A1228" t="s">
        <v>838</v>
      </c>
      <c r="B1228" t="s">
        <v>840</v>
      </c>
      <c r="C1228" t="s">
        <v>3470</v>
      </c>
      <c r="D1228" t="s">
        <v>3552</v>
      </c>
      <c r="E1228">
        <v>19</v>
      </c>
      <c r="F1228" s="4" t="s">
        <v>3555</v>
      </c>
      <c r="G1228" s="4">
        <v>0</v>
      </c>
      <c r="H1228">
        <v>0</v>
      </c>
      <c r="I1228">
        <v>349205</v>
      </c>
      <c r="J1228" s="6">
        <v>7.8958000000000004</v>
      </c>
      <c r="K1228" s="4" t="str">
        <f t="shared" si="19"/>
        <v>Low</v>
      </c>
      <c r="L1228" t="s">
        <v>3561</v>
      </c>
      <c r="M1228" s="4" t="s">
        <v>3561</v>
      </c>
      <c r="N1228" t="s">
        <v>457</v>
      </c>
      <c r="O1228" t="s">
        <v>3569</v>
      </c>
      <c r="P1228" s="4" t="s">
        <v>3573</v>
      </c>
      <c r="Q1228" t="s">
        <v>3573</v>
      </c>
    </row>
    <row r="1229" spans="1:17">
      <c r="A1229" t="s">
        <v>838</v>
      </c>
      <c r="B1229" t="s">
        <v>840</v>
      </c>
      <c r="C1229" t="s">
        <v>3471</v>
      </c>
      <c r="D1229" t="s">
        <v>3551</v>
      </c>
      <c r="E1229">
        <v>22</v>
      </c>
      <c r="F1229" s="4" t="s">
        <v>3555</v>
      </c>
      <c r="G1229" s="4">
        <v>0</v>
      </c>
      <c r="H1229">
        <v>0</v>
      </c>
      <c r="I1229">
        <v>7553</v>
      </c>
      <c r="J1229" s="6">
        <v>9.8375000000000004</v>
      </c>
      <c r="K1229" s="4" t="str">
        <f t="shared" si="19"/>
        <v>Low</v>
      </c>
      <c r="L1229" t="s">
        <v>3561</v>
      </c>
      <c r="M1229" s="4" t="s">
        <v>3561</v>
      </c>
      <c r="N1229" t="s">
        <v>457</v>
      </c>
      <c r="O1229" t="s">
        <v>3569</v>
      </c>
      <c r="P1229" s="4" t="s">
        <v>3573</v>
      </c>
      <c r="Q1229" t="s">
        <v>3573</v>
      </c>
    </row>
    <row r="1230" spans="1:17">
      <c r="A1230" t="s">
        <v>838</v>
      </c>
      <c r="B1230" t="s">
        <v>9</v>
      </c>
      <c r="C1230" t="s">
        <v>3472</v>
      </c>
      <c r="D1230" t="s">
        <v>3552</v>
      </c>
      <c r="E1230">
        <v>31</v>
      </c>
      <c r="F1230" s="4" t="s">
        <v>3557</v>
      </c>
      <c r="G1230" s="4">
        <v>0</v>
      </c>
      <c r="H1230">
        <v>0</v>
      </c>
      <c r="I1230" t="s">
        <v>820</v>
      </c>
      <c r="J1230" s="6">
        <v>7.9249999999999998</v>
      </c>
      <c r="K1230" s="4" t="str">
        <f t="shared" si="19"/>
        <v>Low</v>
      </c>
      <c r="L1230" t="s">
        <v>3561</v>
      </c>
      <c r="M1230" s="4" t="s">
        <v>3561</v>
      </c>
      <c r="N1230" t="s">
        <v>457</v>
      </c>
      <c r="O1230">
        <v>9</v>
      </c>
      <c r="P1230" s="4" t="s">
        <v>3573</v>
      </c>
      <c r="Q1230" t="s">
        <v>3573</v>
      </c>
    </row>
    <row r="1231" spans="1:17">
      <c r="A1231" t="s">
        <v>838</v>
      </c>
      <c r="B1231" t="s">
        <v>840</v>
      </c>
      <c r="C1231" t="s">
        <v>3473</v>
      </c>
      <c r="D1231" t="s">
        <v>3552</v>
      </c>
      <c r="E1231">
        <v>27</v>
      </c>
      <c r="F1231" s="4" t="s">
        <v>3555</v>
      </c>
      <c r="G1231" s="4">
        <v>0</v>
      </c>
      <c r="H1231">
        <v>0</v>
      </c>
      <c r="I1231">
        <v>315083</v>
      </c>
      <c r="J1231" s="6">
        <v>8.6624999999999996</v>
      </c>
      <c r="K1231" s="4" t="str">
        <f t="shared" si="19"/>
        <v>Low</v>
      </c>
      <c r="L1231" t="s">
        <v>3561</v>
      </c>
      <c r="M1231" s="4" t="s">
        <v>3561</v>
      </c>
      <c r="N1231" t="s">
        <v>457</v>
      </c>
      <c r="O1231" t="s">
        <v>3569</v>
      </c>
      <c r="P1231" s="4" t="s">
        <v>3573</v>
      </c>
      <c r="Q1231" t="s">
        <v>3573</v>
      </c>
    </row>
    <row r="1232" spans="1:17">
      <c r="A1232" t="s">
        <v>838</v>
      </c>
      <c r="B1232" t="s">
        <v>840</v>
      </c>
      <c r="C1232" t="s">
        <v>3474</v>
      </c>
      <c r="D1232" t="s">
        <v>3551</v>
      </c>
      <c r="E1232">
        <v>2</v>
      </c>
      <c r="F1232" s="4" t="s">
        <v>3556</v>
      </c>
      <c r="G1232" s="4">
        <v>1</v>
      </c>
      <c r="H1232">
        <v>0</v>
      </c>
      <c r="I1232">
        <v>347054</v>
      </c>
      <c r="J1232" s="6">
        <v>10.4625</v>
      </c>
      <c r="K1232" s="4" t="str">
        <f t="shared" si="19"/>
        <v>Mid</v>
      </c>
      <c r="L1232" t="s">
        <v>810</v>
      </c>
      <c r="M1232" s="4" t="s">
        <v>3565</v>
      </c>
      <c r="N1232" t="s">
        <v>457</v>
      </c>
      <c r="O1232" t="s">
        <v>3569</v>
      </c>
      <c r="P1232" s="4" t="s">
        <v>3573</v>
      </c>
      <c r="Q1232" t="s">
        <v>3573</v>
      </c>
    </row>
    <row r="1233" spans="1:17">
      <c r="A1233" t="s">
        <v>838</v>
      </c>
      <c r="B1233" t="s">
        <v>840</v>
      </c>
      <c r="C1233" t="s">
        <v>3475</v>
      </c>
      <c r="D1233" t="s">
        <v>3551</v>
      </c>
      <c r="E1233">
        <v>29</v>
      </c>
      <c r="F1233" s="4" t="s">
        <v>3555</v>
      </c>
      <c r="G1233" s="4">
        <v>1</v>
      </c>
      <c r="H1233">
        <v>1</v>
      </c>
      <c r="I1233">
        <v>347054</v>
      </c>
      <c r="J1233" s="6">
        <v>10.4625</v>
      </c>
      <c r="K1233" s="4" t="str">
        <f t="shared" si="19"/>
        <v>Mid</v>
      </c>
      <c r="L1233" t="s">
        <v>810</v>
      </c>
      <c r="M1233" s="4" t="s">
        <v>3565</v>
      </c>
      <c r="N1233" t="s">
        <v>457</v>
      </c>
      <c r="O1233" t="s">
        <v>3569</v>
      </c>
      <c r="P1233" s="4" t="s">
        <v>3573</v>
      </c>
      <c r="Q1233" t="s">
        <v>3573</v>
      </c>
    </row>
    <row r="1234" spans="1:17">
      <c r="A1234" t="s">
        <v>838</v>
      </c>
      <c r="B1234" t="s">
        <v>9</v>
      </c>
      <c r="C1234" t="s">
        <v>3476</v>
      </c>
      <c r="D1234" t="s">
        <v>3552</v>
      </c>
      <c r="E1234">
        <v>16</v>
      </c>
      <c r="F1234" s="4" t="s">
        <v>3560</v>
      </c>
      <c r="G1234" s="4">
        <v>0</v>
      </c>
      <c r="H1234">
        <v>0</v>
      </c>
      <c r="I1234" t="s">
        <v>821</v>
      </c>
      <c r="J1234" s="6">
        <v>8.0500000000000007</v>
      </c>
      <c r="K1234" s="4" t="str">
        <f t="shared" si="19"/>
        <v>Low</v>
      </c>
      <c r="L1234" t="s">
        <v>3561</v>
      </c>
      <c r="M1234" s="4" t="s">
        <v>3561</v>
      </c>
      <c r="N1234" t="s">
        <v>457</v>
      </c>
      <c r="O1234" t="s">
        <v>70</v>
      </c>
      <c r="P1234" s="4" t="s">
        <v>3573</v>
      </c>
      <c r="Q1234" t="s">
        <v>3573</v>
      </c>
    </row>
    <row r="1235" spans="1:17">
      <c r="A1235" t="s">
        <v>838</v>
      </c>
      <c r="B1235" t="s">
        <v>9</v>
      </c>
      <c r="C1235" t="s">
        <v>3477</v>
      </c>
      <c r="D1235" t="s">
        <v>3552</v>
      </c>
      <c r="E1235">
        <v>44</v>
      </c>
      <c r="F1235" s="4" t="s">
        <v>3557</v>
      </c>
      <c r="G1235" s="4">
        <v>0</v>
      </c>
      <c r="H1235">
        <v>0</v>
      </c>
      <c r="I1235" t="s">
        <v>822</v>
      </c>
      <c r="J1235" s="6">
        <v>7.9249999999999998</v>
      </c>
      <c r="K1235" s="4" t="str">
        <f t="shared" si="19"/>
        <v>Low</v>
      </c>
      <c r="L1235" t="s">
        <v>3561</v>
      </c>
      <c r="M1235" s="4" t="s">
        <v>3561</v>
      </c>
      <c r="N1235" t="s">
        <v>457</v>
      </c>
      <c r="O1235">
        <v>15</v>
      </c>
      <c r="P1235" s="4" t="s">
        <v>3573</v>
      </c>
      <c r="Q1235" t="s">
        <v>3573</v>
      </c>
    </row>
    <row r="1236" spans="1:17">
      <c r="A1236" t="s">
        <v>838</v>
      </c>
      <c r="B1236" t="s">
        <v>840</v>
      </c>
      <c r="C1236" t="s">
        <v>3478</v>
      </c>
      <c r="D1236" t="s">
        <v>3552</v>
      </c>
      <c r="E1236">
        <v>25</v>
      </c>
      <c r="F1236" s="4" t="s">
        <v>3555</v>
      </c>
      <c r="G1236" s="4">
        <v>0</v>
      </c>
      <c r="H1236">
        <v>0</v>
      </c>
      <c r="I1236" t="s">
        <v>823</v>
      </c>
      <c r="J1236" s="6">
        <v>7.05</v>
      </c>
      <c r="K1236" s="4" t="str">
        <f t="shared" si="19"/>
        <v>Low</v>
      </c>
      <c r="L1236" t="s">
        <v>3561</v>
      </c>
      <c r="M1236" s="4" t="s">
        <v>3561</v>
      </c>
      <c r="N1236" t="s">
        <v>457</v>
      </c>
      <c r="O1236" t="s">
        <v>3569</v>
      </c>
      <c r="P1236" s="4" t="s">
        <v>3573</v>
      </c>
      <c r="Q1236" t="s">
        <v>3573</v>
      </c>
    </row>
    <row r="1237" spans="1:17">
      <c r="A1237" t="s">
        <v>838</v>
      </c>
      <c r="B1237" t="s">
        <v>840</v>
      </c>
      <c r="C1237" t="s">
        <v>3479</v>
      </c>
      <c r="D1237" t="s">
        <v>3552</v>
      </c>
      <c r="E1237">
        <v>74</v>
      </c>
      <c r="F1237" s="4" t="s">
        <v>3559</v>
      </c>
      <c r="G1237" s="4">
        <v>0</v>
      </c>
      <c r="H1237">
        <v>0</v>
      </c>
      <c r="I1237">
        <v>347060</v>
      </c>
      <c r="J1237" s="6">
        <v>7.7750000000000004</v>
      </c>
      <c r="K1237" s="4" t="str">
        <f t="shared" si="19"/>
        <v>Low</v>
      </c>
      <c r="L1237" t="s">
        <v>3561</v>
      </c>
      <c r="M1237" s="4" t="s">
        <v>3561</v>
      </c>
      <c r="N1237" t="s">
        <v>457</v>
      </c>
      <c r="O1237" t="s">
        <v>3569</v>
      </c>
      <c r="P1237" s="4" t="s">
        <v>3573</v>
      </c>
      <c r="Q1237" t="s">
        <v>3573</v>
      </c>
    </row>
    <row r="1238" spans="1:17">
      <c r="A1238" t="s">
        <v>838</v>
      </c>
      <c r="B1238" t="s">
        <v>9</v>
      </c>
      <c r="C1238" t="s">
        <v>3479</v>
      </c>
      <c r="D1238" t="s">
        <v>3552</v>
      </c>
      <c r="E1238">
        <v>14</v>
      </c>
      <c r="F1238" s="4" t="s">
        <v>3560</v>
      </c>
      <c r="G1238" s="4">
        <v>0</v>
      </c>
      <c r="H1238">
        <v>0</v>
      </c>
      <c r="I1238">
        <v>7538</v>
      </c>
      <c r="J1238" s="6">
        <v>9.2249999999999996</v>
      </c>
      <c r="K1238" s="4" t="str">
        <f t="shared" si="19"/>
        <v>Low</v>
      </c>
      <c r="L1238" t="s">
        <v>3561</v>
      </c>
      <c r="M1238" s="4" t="s">
        <v>3561</v>
      </c>
      <c r="N1238" t="s">
        <v>457</v>
      </c>
      <c r="O1238">
        <v>13</v>
      </c>
      <c r="P1238" s="4" t="s">
        <v>3573</v>
      </c>
      <c r="Q1238" t="s">
        <v>3573</v>
      </c>
    </row>
    <row r="1239" spans="1:17">
      <c r="A1239" t="s">
        <v>838</v>
      </c>
      <c r="B1239" t="s">
        <v>840</v>
      </c>
      <c r="C1239" t="s">
        <v>3480</v>
      </c>
      <c r="D1239" t="s">
        <v>3552</v>
      </c>
      <c r="E1239">
        <v>24</v>
      </c>
      <c r="F1239" s="4" t="s">
        <v>3555</v>
      </c>
      <c r="G1239" s="4">
        <v>0</v>
      </c>
      <c r="H1239">
        <v>0</v>
      </c>
      <c r="I1239">
        <v>350035</v>
      </c>
      <c r="J1239" s="6">
        <v>7.7957999999999998</v>
      </c>
      <c r="K1239" s="4" t="str">
        <f t="shared" si="19"/>
        <v>Low</v>
      </c>
      <c r="L1239" t="s">
        <v>3561</v>
      </c>
      <c r="M1239" s="4" t="s">
        <v>3561</v>
      </c>
      <c r="N1239" t="s">
        <v>457</v>
      </c>
      <c r="O1239" t="s">
        <v>3569</v>
      </c>
      <c r="P1239" s="4" t="s">
        <v>3573</v>
      </c>
      <c r="Q1239" t="s">
        <v>3573</v>
      </c>
    </row>
    <row r="1240" spans="1:17">
      <c r="A1240" t="s">
        <v>838</v>
      </c>
      <c r="B1240" t="s">
        <v>9</v>
      </c>
      <c r="C1240" t="s">
        <v>3481</v>
      </c>
      <c r="D1240" t="s">
        <v>3552</v>
      </c>
      <c r="E1240">
        <v>25</v>
      </c>
      <c r="F1240" s="4" t="s">
        <v>3555</v>
      </c>
      <c r="G1240" s="4">
        <v>0</v>
      </c>
      <c r="H1240">
        <v>0</v>
      </c>
      <c r="I1240">
        <v>350033</v>
      </c>
      <c r="J1240" s="6">
        <v>7.7957999999999998</v>
      </c>
      <c r="K1240" s="4" t="str">
        <f t="shared" si="19"/>
        <v>Low</v>
      </c>
      <c r="L1240" t="s">
        <v>3561</v>
      </c>
      <c r="M1240" s="4" t="s">
        <v>3561</v>
      </c>
      <c r="N1240" t="s">
        <v>457</v>
      </c>
      <c r="O1240" t="s">
        <v>824</v>
      </c>
      <c r="P1240" s="4" t="s">
        <v>3573</v>
      </c>
      <c r="Q1240" t="s">
        <v>3573</v>
      </c>
    </row>
    <row r="1241" spans="1:17">
      <c r="A1241" t="s">
        <v>838</v>
      </c>
      <c r="B1241" t="s">
        <v>840</v>
      </c>
      <c r="C1241" t="s">
        <v>3482</v>
      </c>
      <c r="D1241" t="s">
        <v>3552</v>
      </c>
      <c r="E1241">
        <v>34</v>
      </c>
      <c r="F1241" s="4" t="s">
        <v>3557</v>
      </c>
      <c r="G1241" s="4">
        <v>0</v>
      </c>
      <c r="H1241">
        <v>0</v>
      </c>
      <c r="I1241">
        <v>363294</v>
      </c>
      <c r="J1241" s="6">
        <v>8.0500000000000007</v>
      </c>
      <c r="K1241" s="4" t="str">
        <f t="shared" si="19"/>
        <v>Low</v>
      </c>
      <c r="L1241" t="s">
        <v>3561</v>
      </c>
      <c r="M1241" s="4" t="s">
        <v>3561</v>
      </c>
      <c r="N1241" t="s">
        <v>457</v>
      </c>
      <c r="O1241" t="s">
        <v>3569</v>
      </c>
      <c r="P1241" s="4">
        <v>176</v>
      </c>
      <c r="Q1241" t="s">
        <v>3574</v>
      </c>
    </row>
    <row r="1242" spans="1:17">
      <c r="A1242" t="s">
        <v>838</v>
      </c>
      <c r="B1242" t="s">
        <v>9</v>
      </c>
      <c r="C1242" t="s">
        <v>3483</v>
      </c>
      <c r="D1242" t="s">
        <v>3552</v>
      </c>
      <c r="E1242">
        <v>1</v>
      </c>
      <c r="F1242" s="4" t="s">
        <v>3556</v>
      </c>
      <c r="G1242" s="4">
        <v>1</v>
      </c>
      <c r="H1242">
        <v>0</v>
      </c>
      <c r="I1242">
        <v>2625</v>
      </c>
      <c r="J1242" s="6">
        <v>8.5167000000000002</v>
      </c>
      <c r="K1242" s="4" t="str">
        <f t="shared" si="19"/>
        <v>Low</v>
      </c>
      <c r="L1242" t="s">
        <v>3561</v>
      </c>
      <c r="M1242" s="4" t="s">
        <v>3561</v>
      </c>
      <c r="N1242" t="s">
        <v>3566</v>
      </c>
      <c r="O1242">
        <v>16</v>
      </c>
      <c r="P1242" s="4" t="s">
        <v>3573</v>
      </c>
      <c r="Q1242" t="s">
        <v>3573</v>
      </c>
    </row>
    <row r="1243" spans="1:17">
      <c r="A1243" t="s">
        <v>838</v>
      </c>
      <c r="B1243" t="s">
        <v>840</v>
      </c>
      <c r="C1243" t="s">
        <v>3484</v>
      </c>
      <c r="D1243" t="s">
        <v>3552</v>
      </c>
      <c r="E1243">
        <v>28</v>
      </c>
      <c r="F1243" s="4" t="s">
        <v>3555</v>
      </c>
      <c r="G1243" s="4">
        <v>0</v>
      </c>
      <c r="H1243">
        <v>1</v>
      </c>
      <c r="I1243">
        <v>2621</v>
      </c>
      <c r="J1243" s="6">
        <v>6.4375</v>
      </c>
      <c r="K1243" s="4" t="str">
        <f t="shared" si="19"/>
        <v>Low</v>
      </c>
      <c r="L1243" t="s">
        <v>3561</v>
      </c>
      <c r="M1243" s="4" t="s">
        <v>3561</v>
      </c>
      <c r="N1243" t="s">
        <v>3566</v>
      </c>
      <c r="O1243" t="s">
        <v>3569</v>
      </c>
      <c r="P1243" s="4" t="s">
        <v>3573</v>
      </c>
      <c r="Q1243" t="s">
        <v>3573</v>
      </c>
    </row>
    <row r="1244" spans="1:17">
      <c r="A1244" t="s">
        <v>838</v>
      </c>
      <c r="B1244" t="s">
        <v>840</v>
      </c>
      <c r="C1244" t="s">
        <v>3485</v>
      </c>
      <c r="D1244" t="s">
        <v>3552</v>
      </c>
      <c r="E1244">
        <v>28</v>
      </c>
      <c r="F1244" s="4" t="s">
        <v>3555</v>
      </c>
      <c r="G1244" s="4">
        <v>0</v>
      </c>
      <c r="H1244">
        <v>0</v>
      </c>
      <c r="I1244">
        <v>2681</v>
      </c>
      <c r="J1244" s="6">
        <v>6.4375</v>
      </c>
      <c r="K1244" s="4" t="str">
        <f t="shared" si="19"/>
        <v>Low</v>
      </c>
      <c r="L1244" t="s">
        <v>3561</v>
      </c>
      <c r="M1244" s="4" t="s">
        <v>3561</v>
      </c>
      <c r="N1244" t="s">
        <v>3566</v>
      </c>
      <c r="O1244" t="s">
        <v>3569</v>
      </c>
      <c r="P1244" s="4" t="s">
        <v>3573</v>
      </c>
      <c r="Q1244" t="s">
        <v>3573</v>
      </c>
    </row>
    <row r="1245" spans="1:17">
      <c r="A1245" t="s">
        <v>838</v>
      </c>
      <c r="B1245" t="s">
        <v>840</v>
      </c>
      <c r="C1245" t="s">
        <v>3486</v>
      </c>
      <c r="D1245" t="s">
        <v>3552</v>
      </c>
      <c r="E1245">
        <v>28</v>
      </c>
      <c r="F1245" s="4" t="s">
        <v>3555</v>
      </c>
      <c r="G1245" s="4">
        <v>0</v>
      </c>
      <c r="H1245">
        <v>0</v>
      </c>
      <c r="I1245">
        <v>2684</v>
      </c>
      <c r="J1245" s="6">
        <v>7.2249999999999996</v>
      </c>
      <c r="K1245" s="4" t="str">
        <f t="shared" si="19"/>
        <v>Low</v>
      </c>
      <c r="L1245" t="s">
        <v>3561</v>
      </c>
      <c r="M1245" s="4" t="s">
        <v>3561</v>
      </c>
      <c r="N1245" t="s">
        <v>3566</v>
      </c>
      <c r="O1245" t="s">
        <v>3569</v>
      </c>
      <c r="P1245" s="4" t="s">
        <v>3573</v>
      </c>
      <c r="Q1245" t="s">
        <v>3573</v>
      </c>
    </row>
    <row r="1246" spans="1:17">
      <c r="A1246" t="s">
        <v>838</v>
      </c>
      <c r="B1246" t="s">
        <v>9</v>
      </c>
      <c r="C1246" t="s">
        <v>3487</v>
      </c>
      <c r="D1246" t="s">
        <v>3551</v>
      </c>
      <c r="E1246">
        <v>16</v>
      </c>
      <c r="F1246" s="4" t="s">
        <v>3560</v>
      </c>
      <c r="G1246" s="4">
        <v>1</v>
      </c>
      <c r="H1246">
        <v>1</v>
      </c>
      <c r="I1246">
        <v>2625</v>
      </c>
      <c r="J1246" s="6">
        <v>8.5167000000000002</v>
      </c>
      <c r="K1246" s="4" t="str">
        <f t="shared" si="19"/>
        <v>Low</v>
      </c>
      <c r="L1246" t="s">
        <v>3561</v>
      </c>
      <c r="M1246" s="4" t="s">
        <v>3561</v>
      </c>
      <c r="N1246" t="s">
        <v>3566</v>
      </c>
      <c r="O1246">
        <v>14</v>
      </c>
      <c r="P1246" s="4" t="s">
        <v>3573</v>
      </c>
      <c r="Q1246" t="s">
        <v>3573</v>
      </c>
    </row>
    <row r="1247" spans="1:17">
      <c r="A1247" t="s">
        <v>838</v>
      </c>
      <c r="B1247" t="s">
        <v>840</v>
      </c>
      <c r="C1247" t="s">
        <v>3488</v>
      </c>
      <c r="D1247" t="s">
        <v>3552</v>
      </c>
      <c r="E1247">
        <v>28</v>
      </c>
      <c r="F1247" s="4" t="s">
        <v>3555</v>
      </c>
      <c r="G1247" s="4">
        <v>0</v>
      </c>
      <c r="H1247">
        <v>0</v>
      </c>
      <c r="I1247">
        <v>32302</v>
      </c>
      <c r="J1247" s="6">
        <v>8.0500000000000007</v>
      </c>
      <c r="K1247" s="4" t="str">
        <f t="shared" si="19"/>
        <v>Low</v>
      </c>
      <c r="L1247" t="s">
        <v>3561</v>
      </c>
      <c r="M1247" s="4" t="s">
        <v>3561</v>
      </c>
      <c r="N1247" t="s">
        <v>457</v>
      </c>
      <c r="O1247" t="s">
        <v>3569</v>
      </c>
      <c r="P1247" s="4" t="s">
        <v>3573</v>
      </c>
      <c r="Q1247" t="s">
        <v>3573</v>
      </c>
    </row>
    <row r="1248" spans="1:17">
      <c r="A1248" t="s">
        <v>838</v>
      </c>
      <c r="B1248" t="s">
        <v>840</v>
      </c>
      <c r="C1248" t="s">
        <v>3489</v>
      </c>
      <c r="D1248" t="s">
        <v>3552</v>
      </c>
      <c r="E1248">
        <v>28</v>
      </c>
      <c r="F1248" s="4" t="s">
        <v>3555</v>
      </c>
      <c r="G1248" s="4">
        <v>0</v>
      </c>
      <c r="H1248">
        <v>1</v>
      </c>
      <c r="I1248">
        <v>376564</v>
      </c>
      <c r="J1248" s="6">
        <v>16.100000000000001</v>
      </c>
      <c r="K1248" s="4" t="str">
        <f t="shared" si="19"/>
        <v>Mid</v>
      </c>
      <c r="L1248" t="s">
        <v>3561</v>
      </c>
      <c r="M1248" s="4" t="s">
        <v>3561</v>
      </c>
      <c r="N1248" t="s">
        <v>457</v>
      </c>
      <c r="O1248" t="s">
        <v>3569</v>
      </c>
      <c r="P1248" s="4" t="s">
        <v>3573</v>
      </c>
      <c r="Q1248" t="s">
        <v>3573</v>
      </c>
    </row>
    <row r="1249" spans="1:17">
      <c r="A1249" t="s">
        <v>838</v>
      </c>
      <c r="B1249" t="s">
        <v>9</v>
      </c>
      <c r="C1249" t="s">
        <v>3490</v>
      </c>
      <c r="D1249" t="s">
        <v>3551</v>
      </c>
      <c r="E1249">
        <v>28</v>
      </c>
      <c r="F1249" s="4" t="s">
        <v>3555</v>
      </c>
      <c r="G1249" s="4">
        <v>0</v>
      </c>
      <c r="H1249">
        <v>1</v>
      </c>
      <c r="I1249">
        <v>376564</v>
      </c>
      <c r="J1249" s="6">
        <v>16.100000000000001</v>
      </c>
      <c r="K1249" s="4" t="str">
        <f t="shared" si="19"/>
        <v>Mid</v>
      </c>
      <c r="L1249" t="s">
        <v>3561</v>
      </c>
      <c r="M1249" s="4" t="s">
        <v>3561</v>
      </c>
      <c r="N1249" t="s">
        <v>457</v>
      </c>
      <c r="O1249">
        <v>10</v>
      </c>
      <c r="P1249" s="4" t="s">
        <v>3573</v>
      </c>
      <c r="Q1249" t="s">
        <v>3573</v>
      </c>
    </row>
    <row r="1250" spans="1:17">
      <c r="A1250" t="s">
        <v>838</v>
      </c>
      <c r="B1250" t="s">
        <v>840</v>
      </c>
      <c r="C1250" t="s">
        <v>3491</v>
      </c>
      <c r="D1250" t="s">
        <v>3552</v>
      </c>
      <c r="E1250">
        <v>32</v>
      </c>
      <c r="F1250" s="4" t="s">
        <v>3557</v>
      </c>
      <c r="G1250" s="4">
        <v>0</v>
      </c>
      <c r="H1250">
        <v>0</v>
      </c>
      <c r="I1250" t="s">
        <v>825</v>
      </c>
      <c r="J1250" s="6">
        <v>7.9249999999999998</v>
      </c>
      <c r="K1250" s="4" t="str">
        <f t="shared" si="19"/>
        <v>Low</v>
      </c>
      <c r="L1250" t="s">
        <v>3561</v>
      </c>
      <c r="M1250" s="4" t="s">
        <v>3561</v>
      </c>
      <c r="N1250" t="s">
        <v>457</v>
      </c>
      <c r="O1250" t="s">
        <v>3569</v>
      </c>
      <c r="P1250" s="4" t="s">
        <v>3573</v>
      </c>
      <c r="Q1250" t="s">
        <v>3573</v>
      </c>
    </row>
    <row r="1251" spans="1:17">
      <c r="A1251" t="s">
        <v>838</v>
      </c>
      <c r="B1251" t="s">
        <v>840</v>
      </c>
      <c r="C1251" t="s">
        <v>3492</v>
      </c>
      <c r="D1251" t="s">
        <v>3552</v>
      </c>
      <c r="E1251">
        <v>28</v>
      </c>
      <c r="F1251" s="4" t="s">
        <v>3555</v>
      </c>
      <c r="G1251" s="4">
        <v>0</v>
      </c>
      <c r="H1251">
        <v>0</v>
      </c>
      <c r="I1251">
        <v>383121</v>
      </c>
      <c r="J1251" s="6">
        <v>7.75</v>
      </c>
      <c r="K1251" s="4" t="str">
        <f t="shared" si="19"/>
        <v>Low</v>
      </c>
      <c r="L1251" t="s">
        <v>826</v>
      </c>
      <c r="M1251" s="4" t="s">
        <v>586</v>
      </c>
      <c r="N1251" t="s">
        <v>3567</v>
      </c>
      <c r="O1251" t="s">
        <v>3569</v>
      </c>
      <c r="P1251" s="4" t="s">
        <v>3573</v>
      </c>
      <c r="Q1251" t="s">
        <v>3573</v>
      </c>
    </row>
    <row r="1252" spans="1:17">
      <c r="A1252" t="s">
        <v>838</v>
      </c>
      <c r="B1252" t="s">
        <v>840</v>
      </c>
      <c r="C1252" t="s">
        <v>3493</v>
      </c>
      <c r="D1252" t="s">
        <v>3552</v>
      </c>
      <c r="E1252">
        <v>28</v>
      </c>
      <c r="F1252" s="4" t="s">
        <v>3555</v>
      </c>
      <c r="G1252" s="4">
        <v>0</v>
      </c>
      <c r="H1252">
        <v>0</v>
      </c>
      <c r="I1252">
        <v>349216</v>
      </c>
      <c r="J1252" s="6">
        <v>7.8958000000000004</v>
      </c>
      <c r="K1252" s="4" t="str">
        <f t="shared" si="19"/>
        <v>Low</v>
      </c>
      <c r="L1252" t="s">
        <v>3561</v>
      </c>
      <c r="M1252" s="4" t="s">
        <v>3561</v>
      </c>
      <c r="N1252" t="s">
        <v>457</v>
      </c>
      <c r="O1252" t="s">
        <v>3569</v>
      </c>
      <c r="P1252" s="4" t="s">
        <v>3573</v>
      </c>
      <c r="Q1252" t="s">
        <v>3573</v>
      </c>
    </row>
    <row r="1253" spans="1:17">
      <c r="A1253" t="s">
        <v>838</v>
      </c>
      <c r="B1253" t="s">
        <v>840</v>
      </c>
      <c r="C1253" t="s">
        <v>3494</v>
      </c>
      <c r="D1253" t="s">
        <v>3552</v>
      </c>
      <c r="E1253">
        <v>31</v>
      </c>
      <c r="F1253" s="4" t="s">
        <v>3557</v>
      </c>
      <c r="G1253" s="4">
        <v>0</v>
      </c>
      <c r="H1253">
        <v>0</v>
      </c>
      <c r="I1253">
        <v>364499</v>
      </c>
      <c r="J1253" s="6">
        <v>8.0500000000000007</v>
      </c>
      <c r="K1253" s="4" t="str">
        <f t="shared" si="19"/>
        <v>Low</v>
      </c>
      <c r="L1253" t="s">
        <v>3561</v>
      </c>
      <c r="M1253" s="4" t="s">
        <v>3561</v>
      </c>
      <c r="N1253" t="s">
        <v>457</v>
      </c>
      <c r="O1253" t="s">
        <v>3569</v>
      </c>
      <c r="P1253" s="4">
        <v>50</v>
      </c>
      <c r="Q1253" t="s">
        <v>3574</v>
      </c>
    </row>
    <row r="1254" spans="1:17">
      <c r="A1254" t="s">
        <v>838</v>
      </c>
      <c r="B1254" t="s">
        <v>840</v>
      </c>
      <c r="C1254" t="s">
        <v>3495</v>
      </c>
      <c r="D1254" t="s">
        <v>3552</v>
      </c>
      <c r="E1254">
        <v>44</v>
      </c>
      <c r="F1254" s="4" t="s">
        <v>3557</v>
      </c>
      <c r="G1254" s="4">
        <v>0</v>
      </c>
      <c r="H1254">
        <v>0</v>
      </c>
      <c r="I1254">
        <v>364511</v>
      </c>
      <c r="J1254" s="6">
        <v>8.0500000000000007</v>
      </c>
      <c r="K1254" s="4" t="str">
        <f t="shared" si="19"/>
        <v>Low</v>
      </c>
      <c r="L1254" t="s">
        <v>3561</v>
      </c>
      <c r="M1254" s="4" t="s">
        <v>3561</v>
      </c>
      <c r="N1254" t="s">
        <v>457</v>
      </c>
      <c r="O1254" t="s">
        <v>3569</v>
      </c>
      <c r="P1254" s="4" t="s">
        <v>3573</v>
      </c>
      <c r="Q1254" t="s">
        <v>3573</v>
      </c>
    </row>
    <row r="1255" spans="1:17">
      <c r="A1255" t="s">
        <v>838</v>
      </c>
      <c r="B1255" t="s">
        <v>840</v>
      </c>
      <c r="C1255" t="s">
        <v>3496</v>
      </c>
      <c r="D1255" t="s">
        <v>3552</v>
      </c>
      <c r="E1255">
        <v>28</v>
      </c>
      <c r="F1255" s="4" t="s">
        <v>3555</v>
      </c>
      <c r="G1255" s="4">
        <v>0</v>
      </c>
      <c r="H1255">
        <v>0</v>
      </c>
      <c r="I1255">
        <v>2673</v>
      </c>
      <c r="J1255" s="6">
        <v>7.2291999999999996</v>
      </c>
      <c r="K1255" s="4" t="str">
        <f t="shared" si="19"/>
        <v>Low</v>
      </c>
      <c r="L1255" t="s">
        <v>3561</v>
      </c>
      <c r="M1255" s="4" t="s">
        <v>3561</v>
      </c>
      <c r="N1255" t="s">
        <v>3566</v>
      </c>
      <c r="O1255" t="s">
        <v>3569</v>
      </c>
      <c r="P1255" s="4" t="s">
        <v>3573</v>
      </c>
      <c r="Q1255" t="s">
        <v>3573</v>
      </c>
    </row>
    <row r="1256" spans="1:17">
      <c r="A1256" t="s">
        <v>838</v>
      </c>
      <c r="B1256" t="s">
        <v>9</v>
      </c>
      <c r="C1256" t="s">
        <v>3497</v>
      </c>
      <c r="D1256" t="s">
        <v>3552</v>
      </c>
      <c r="E1256">
        <v>25</v>
      </c>
      <c r="F1256" s="4" t="s">
        <v>3555</v>
      </c>
      <c r="G1256" s="4">
        <v>0</v>
      </c>
      <c r="H1256">
        <v>0</v>
      </c>
      <c r="I1256" t="s">
        <v>760</v>
      </c>
      <c r="J1256" s="6">
        <v>0</v>
      </c>
      <c r="K1256" s="4" t="str">
        <f t="shared" si="19"/>
        <v>Low</v>
      </c>
      <c r="L1256" t="s">
        <v>3561</v>
      </c>
      <c r="M1256" s="4" t="s">
        <v>3561</v>
      </c>
      <c r="N1256" t="s">
        <v>457</v>
      </c>
      <c r="O1256">
        <v>15</v>
      </c>
      <c r="P1256" s="4" t="s">
        <v>3573</v>
      </c>
      <c r="Q1256" t="s">
        <v>3573</v>
      </c>
    </row>
    <row r="1257" spans="1:17">
      <c r="A1257" t="s">
        <v>838</v>
      </c>
      <c r="B1257" t="s">
        <v>840</v>
      </c>
      <c r="C1257" t="s">
        <v>3498</v>
      </c>
      <c r="D1257" t="s">
        <v>3552</v>
      </c>
      <c r="E1257">
        <v>28</v>
      </c>
      <c r="F1257" s="4" t="s">
        <v>3555</v>
      </c>
      <c r="G1257" s="4">
        <v>0</v>
      </c>
      <c r="H1257">
        <v>0</v>
      </c>
      <c r="I1257">
        <v>2641</v>
      </c>
      <c r="J1257" s="6">
        <v>7.2291999999999996</v>
      </c>
      <c r="K1257" s="4" t="str">
        <f t="shared" si="19"/>
        <v>Low</v>
      </c>
      <c r="L1257" t="s">
        <v>3561</v>
      </c>
      <c r="M1257" s="4" t="s">
        <v>3561</v>
      </c>
      <c r="N1257" t="s">
        <v>3566</v>
      </c>
      <c r="O1257" t="s">
        <v>3569</v>
      </c>
      <c r="P1257" s="4" t="s">
        <v>3573</v>
      </c>
      <c r="Q1257" t="s">
        <v>3573</v>
      </c>
    </row>
    <row r="1258" spans="1:17">
      <c r="A1258" t="s">
        <v>838</v>
      </c>
      <c r="B1258" t="s">
        <v>9</v>
      </c>
      <c r="C1258" t="s">
        <v>3499</v>
      </c>
      <c r="D1258" t="s">
        <v>3552</v>
      </c>
      <c r="E1258">
        <v>7</v>
      </c>
      <c r="F1258" s="4" t="s">
        <v>3556</v>
      </c>
      <c r="G1258" s="4">
        <v>1</v>
      </c>
      <c r="H1258">
        <v>1</v>
      </c>
      <c r="I1258">
        <v>2650</v>
      </c>
      <c r="J1258" s="6">
        <v>15.245799999999999</v>
      </c>
      <c r="K1258" s="4" t="str">
        <f t="shared" si="19"/>
        <v>Mid</v>
      </c>
      <c r="L1258" t="s">
        <v>3561</v>
      </c>
      <c r="M1258" s="4" t="s">
        <v>3561</v>
      </c>
      <c r="N1258" t="s">
        <v>3566</v>
      </c>
      <c r="O1258" t="s">
        <v>62</v>
      </c>
      <c r="P1258" s="4" t="s">
        <v>3573</v>
      </c>
      <c r="Q1258" t="s">
        <v>3573</v>
      </c>
    </row>
    <row r="1259" spans="1:17">
      <c r="A1259" t="s">
        <v>838</v>
      </c>
      <c r="B1259" t="s">
        <v>9</v>
      </c>
      <c r="C1259" t="s">
        <v>3500</v>
      </c>
      <c r="D1259" t="s">
        <v>3551</v>
      </c>
      <c r="E1259">
        <v>9</v>
      </c>
      <c r="F1259" s="4" t="s">
        <v>3556</v>
      </c>
      <c r="G1259" s="4">
        <v>1</v>
      </c>
      <c r="H1259">
        <v>1</v>
      </c>
      <c r="I1259">
        <v>2650</v>
      </c>
      <c r="J1259" s="6">
        <v>15.245799999999999</v>
      </c>
      <c r="K1259" s="4" t="str">
        <f t="shared" si="19"/>
        <v>Mid</v>
      </c>
      <c r="L1259" t="s">
        <v>3561</v>
      </c>
      <c r="M1259" s="4" t="s">
        <v>3561</v>
      </c>
      <c r="N1259" t="s">
        <v>3566</v>
      </c>
      <c r="O1259" t="s">
        <v>62</v>
      </c>
      <c r="P1259" s="4" t="s">
        <v>3573</v>
      </c>
      <c r="Q1259" t="s">
        <v>3573</v>
      </c>
    </row>
    <row r="1260" spans="1:17">
      <c r="A1260" t="s">
        <v>838</v>
      </c>
      <c r="B1260" t="s">
        <v>9</v>
      </c>
      <c r="C1260" t="s">
        <v>3501</v>
      </c>
      <c r="D1260" t="s">
        <v>3551</v>
      </c>
      <c r="E1260">
        <v>29</v>
      </c>
      <c r="F1260" s="4" t="s">
        <v>3555</v>
      </c>
      <c r="G1260" s="4">
        <v>2</v>
      </c>
      <c r="H1260">
        <v>0</v>
      </c>
      <c r="I1260">
        <v>2650</v>
      </c>
      <c r="J1260" s="6">
        <v>15.245799999999999</v>
      </c>
      <c r="K1260" s="4" t="str">
        <f t="shared" si="19"/>
        <v>Mid</v>
      </c>
      <c r="L1260" t="s">
        <v>3561</v>
      </c>
      <c r="M1260" s="4" t="s">
        <v>3561</v>
      </c>
      <c r="N1260" t="s">
        <v>3566</v>
      </c>
      <c r="O1260" t="s">
        <v>62</v>
      </c>
      <c r="P1260" s="4" t="s">
        <v>3573</v>
      </c>
      <c r="Q1260" t="s">
        <v>3573</v>
      </c>
    </row>
    <row r="1261" spans="1:17">
      <c r="A1261" t="s">
        <v>838</v>
      </c>
      <c r="B1261" t="s">
        <v>840</v>
      </c>
      <c r="C1261" t="s">
        <v>3502</v>
      </c>
      <c r="D1261" t="s">
        <v>3552</v>
      </c>
      <c r="E1261">
        <v>36</v>
      </c>
      <c r="F1261" s="4" t="s">
        <v>3557</v>
      </c>
      <c r="G1261" s="4">
        <v>0</v>
      </c>
      <c r="H1261">
        <v>0</v>
      </c>
      <c r="I1261">
        <v>349247</v>
      </c>
      <c r="J1261" s="6">
        <v>7.8958000000000004</v>
      </c>
      <c r="K1261" s="4" t="str">
        <f t="shared" si="19"/>
        <v>Low</v>
      </c>
      <c r="L1261" t="s">
        <v>3561</v>
      </c>
      <c r="M1261" s="4" t="s">
        <v>3561</v>
      </c>
      <c r="N1261" t="s">
        <v>457</v>
      </c>
      <c r="O1261" t="s">
        <v>3569</v>
      </c>
      <c r="P1261" s="4" t="s">
        <v>3573</v>
      </c>
      <c r="Q1261" t="s">
        <v>3573</v>
      </c>
    </row>
    <row r="1262" spans="1:17">
      <c r="A1262" t="s">
        <v>838</v>
      </c>
      <c r="B1262" t="s">
        <v>9</v>
      </c>
      <c r="C1262" t="s">
        <v>3503</v>
      </c>
      <c r="D1262" t="s">
        <v>3551</v>
      </c>
      <c r="E1262">
        <v>18</v>
      </c>
      <c r="F1262" s="4" t="s">
        <v>3555</v>
      </c>
      <c r="G1262" s="4">
        <v>0</v>
      </c>
      <c r="H1262">
        <v>0</v>
      </c>
      <c r="I1262">
        <v>4138</v>
      </c>
      <c r="J1262" s="6">
        <v>9.8416999999999994</v>
      </c>
      <c r="K1262" s="4" t="str">
        <f t="shared" si="19"/>
        <v>Low</v>
      </c>
      <c r="L1262" t="s">
        <v>3561</v>
      </c>
      <c r="M1262" s="4" t="s">
        <v>3561</v>
      </c>
      <c r="N1262" t="s">
        <v>457</v>
      </c>
      <c r="O1262">
        <v>15</v>
      </c>
      <c r="P1262" s="4" t="s">
        <v>3573</v>
      </c>
      <c r="Q1262" t="s">
        <v>3573</v>
      </c>
    </row>
    <row r="1263" spans="1:17">
      <c r="A1263" t="s">
        <v>838</v>
      </c>
      <c r="B1263" t="s">
        <v>9</v>
      </c>
      <c r="C1263" t="s">
        <v>3504</v>
      </c>
      <c r="D1263" t="s">
        <v>3551</v>
      </c>
      <c r="E1263">
        <v>63</v>
      </c>
      <c r="F1263" s="4" t="s">
        <v>3559</v>
      </c>
      <c r="G1263" s="4">
        <v>0</v>
      </c>
      <c r="H1263">
        <v>0</v>
      </c>
      <c r="I1263">
        <v>4134</v>
      </c>
      <c r="J1263" s="6">
        <v>9.5875000000000004</v>
      </c>
      <c r="K1263" s="4" t="str">
        <f t="shared" si="19"/>
        <v>Low</v>
      </c>
      <c r="L1263" t="s">
        <v>3561</v>
      </c>
      <c r="M1263" s="4" t="s">
        <v>3561</v>
      </c>
      <c r="N1263" t="s">
        <v>457</v>
      </c>
      <c r="O1263">
        <v>15</v>
      </c>
      <c r="P1263" s="4" t="s">
        <v>3573</v>
      </c>
      <c r="Q1263" t="s">
        <v>3573</v>
      </c>
    </row>
    <row r="1264" spans="1:17">
      <c r="A1264" t="s">
        <v>838</v>
      </c>
      <c r="B1264" t="s">
        <v>840</v>
      </c>
      <c r="C1264" t="s">
        <v>3505</v>
      </c>
      <c r="D1264" t="s">
        <v>3552</v>
      </c>
      <c r="E1264">
        <v>28</v>
      </c>
      <c r="F1264" s="4" t="s">
        <v>3555</v>
      </c>
      <c r="G1264" s="4">
        <v>1</v>
      </c>
      <c r="H1264">
        <v>1</v>
      </c>
      <c r="I1264" t="s">
        <v>827</v>
      </c>
      <c r="J1264" s="6">
        <v>14.5</v>
      </c>
      <c r="K1264" s="4" t="str">
        <f t="shared" si="19"/>
        <v>Mid</v>
      </c>
      <c r="L1264" t="s">
        <v>3561</v>
      </c>
      <c r="M1264" s="4" t="s">
        <v>3561</v>
      </c>
      <c r="N1264" t="s">
        <v>457</v>
      </c>
      <c r="O1264" t="s">
        <v>3569</v>
      </c>
      <c r="P1264" s="4" t="s">
        <v>3573</v>
      </c>
      <c r="Q1264" t="s">
        <v>3573</v>
      </c>
    </row>
    <row r="1265" spans="1:17">
      <c r="A1265" t="s">
        <v>838</v>
      </c>
      <c r="B1265" t="s">
        <v>840</v>
      </c>
      <c r="C1265" t="s">
        <v>3505</v>
      </c>
      <c r="D1265" t="s">
        <v>3552</v>
      </c>
      <c r="E1265">
        <v>12</v>
      </c>
      <c r="F1265" s="4" t="s">
        <v>3560</v>
      </c>
      <c r="G1265" s="4">
        <v>1</v>
      </c>
      <c r="H1265">
        <v>1</v>
      </c>
      <c r="I1265" t="s">
        <v>827</v>
      </c>
      <c r="J1265" s="6">
        <v>14.5</v>
      </c>
      <c r="K1265" s="4" t="str">
        <f t="shared" si="19"/>
        <v>Mid</v>
      </c>
      <c r="L1265" t="s">
        <v>3561</v>
      </c>
      <c r="M1265" s="4" t="s">
        <v>3561</v>
      </c>
      <c r="N1265" t="s">
        <v>457</v>
      </c>
      <c r="O1265" t="s">
        <v>3569</v>
      </c>
      <c r="P1265" s="4">
        <v>1</v>
      </c>
      <c r="Q1265" t="s">
        <v>3574</v>
      </c>
    </row>
    <row r="1266" spans="1:17">
      <c r="A1266" t="s">
        <v>838</v>
      </c>
      <c r="B1266" t="s">
        <v>840</v>
      </c>
      <c r="C1266" t="s">
        <v>3506</v>
      </c>
      <c r="D1266" t="s">
        <v>3552</v>
      </c>
      <c r="E1266">
        <v>41</v>
      </c>
      <c r="F1266" s="4" t="s">
        <v>3557</v>
      </c>
      <c r="G1266" s="4">
        <v>2</v>
      </c>
      <c r="H1266">
        <v>0</v>
      </c>
      <c r="I1266" t="s">
        <v>827</v>
      </c>
      <c r="J1266" s="6">
        <v>14.5</v>
      </c>
      <c r="K1266" s="4" t="str">
        <f t="shared" si="19"/>
        <v>Mid</v>
      </c>
      <c r="L1266" t="s">
        <v>3561</v>
      </c>
      <c r="M1266" s="4" t="s">
        <v>3561</v>
      </c>
      <c r="N1266" t="s">
        <v>457</v>
      </c>
      <c r="O1266" t="s">
        <v>3569</v>
      </c>
      <c r="P1266" s="4">
        <v>255</v>
      </c>
      <c r="Q1266" t="s">
        <v>3574</v>
      </c>
    </row>
    <row r="1267" spans="1:17">
      <c r="A1267" t="s">
        <v>838</v>
      </c>
      <c r="B1267" t="s">
        <v>840</v>
      </c>
      <c r="C1267" t="s">
        <v>3507</v>
      </c>
      <c r="D1267" t="s">
        <v>3551</v>
      </c>
      <c r="E1267">
        <v>10</v>
      </c>
      <c r="F1267" s="4" t="s">
        <v>3560</v>
      </c>
      <c r="G1267" s="4">
        <v>2</v>
      </c>
      <c r="H1267">
        <v>0</v>
      </c>
      <c r="I1267">
        <v>345773</v>
      </c>
      <c r="J1267" s="6">
        <v>24.15</v>
      </c>
      <c r="K1267" s="4" t="str">
        <f t="shared" si="19"/>
        <v>Mid</v>
      </c>
      <c r="L1267" t="s">
        <v>3561</v>
      </c>
      <c r="M1267" s="4" t="s">
        <v>3561</v>
      </c>
      <c r="N1267" t="s">
        <v>457</v>
      </c>
      <c r="O1267" t="s">
        <v>3569</v>
      </c>
      <c r="P1267" s="4" t="s">
        <v>3573</v>
      </c>
      <c r="Q1267" t="s">
        <v>3573</v>
      </c>
    </row>
    <row r="1268" spans="1:17">
      <c r="A1268" t="s">
        <v>838</v>
      </c>
      <c r="B1268" t="s">
        <v>840</v>
      </c>
      <c r="C1268" t="s">
        <v>3508</v>
      </c>
      <c r="D1268" t="s">
        <v>3552</v>
      </c>
      <c r="E1268">
        <v>36</v>
      </c>
      <c r="F1268" s="4" t="s">
        <v>3557</v>
      </c>
      <c r="G1268" s="4">
        <v>1</v>
      </c>
      <c r="H1268">
        <v>1</v>
      </c>
      <c r="I1268">
        <v>345773</v>
      </c>
      <c r="J1268" s="6">
        <v>24.15</v>
      </c>
      <c r="K1268" s="4" t="str">
        <f t="shared" si="19"/>
        <v>Mid</v>
      </c>
      <c r="L1268" t="s">
        <v>3561</v>
      </c>
      <c r="M1268" s="4" t="s">
        <v>3561</v>
      </c>
      <c r="N1268" t="s">
        <v>457</v>
      </c>
      <c r="O1268" t="s">
        <v>3569</v>
      </c>
      <c r="P1268" s="4" t="s">
        <v>3573</v>
      </c>
      <c r="Q1268" t="s">
        <v>3573</v>
      </c>
    </row>
    <row r="1269" spans="1:17">
      <c r="A1269" t="s">
        <v>838</v>
      </c>
      <c r="B1269" t="s">
        <v>840</v>
      </c>
      <c r="C1269" t="s">
        <v>3509</v>
      </c>
      <c r="D1269" t="s">
        <v>3551</v>
      </c>
      <c r="E1269">
        <v>30</v>
      </c>
      <c r="F1269" s="4" t="s">
        <v>3557</v>
      </c>
      <c r="G1269" s="4">
        <v>1</v>
      </c>
      <c r="H1269">
        <v>1</v>
      </c>
      <c r="I1269">
        <v>345773</v>
      </c>
      <c r="J1269" s="6">
        <v>24.15</v>
      </c>
      <c r="K1269" s="4" t="str">
        <f t="shared" si="19"/>
        <v>Mid</v>
      </c>
      <c r="L1269" t="s">
        <v>3561</v>
      </c>
      <c r="M1269" s="4" t="s">
        <v>3561</v>
      </c>
      <c r="N1269" t="s">
        <v>457</v>
      </c>
      <c r="O1269" t="s">
        <v>3569</v>
      </c>
      <c r="P1269" s="4" t="s">
        <v>3573</v>
      </c>
      <c r="Q1269" t="s">
        <v>3573</v>
      </c>
    </row>
    <row r="1270" spans="1:17">
      <c r="A1270" t="s">
        <v>838</v>
      </c>
      <c r="B1270" t="s">
        <v>840</v>
      </c>
      <c r="C1270" t="s">
        <v>3510</v>
      </c>
      <c r="D1270" t="s">
        <v>3552</v>
      </c>
      <c r="E1270">
        <v>28</v>
      </c>
      <c r="F1270" s="4" t="s">
        <v>3555</v>
      </c>
      <c r="G1270" s="4">
        <v>0</v>
      </c>
      <c r="H1270">
        <v>0</v>
      </c>
      <c r="I1270">
        <v>345777</v>
      </c>
      <c r="J1270" s="6">
        <v>9.5</v>
      </c>
      <c r="K1270" s="4" t="str">
        <f t="shared" si="19"/>
        <v>Low</v>
      </c>
      <c r="L1270" t="s">
        <v>3561</v>
      </c>
      <c r="M1270" s="4" t="s">
        <v>3561</v>
      </c>
      <c r="N1270" t="s">
        <v>457</v>
      </c>
      <c r="O1270" t="s">
        <v>3569</v>
      </c>
      <c r="P1270" s="4" t="s">
        <v>3573</v>
      </c>
      <c r="Q1270" t="s">
        <v>3573</v>
      </c>
    </row>
    <row r="1271" spans="1:17">
      <c r="A1271" t="s">
        <v>838</v>
      </c>
      <c r="B1271" t="s">
        <v>840</v>
      </c>
      <c r="C1271" t="s">
        <v>3511</v>
      </c>
      <c r="D1271" t="s">
        <v>3552</v>
      </c>
      <c r="E1271">
        <v>33</v>
      </c>
      <c r="F1271" s="4" t="s">
        <v>3557</v>
      </c>
      <c r="G1271" s="4">
        <v>0</v>
      </c>
      <c r="H1271">
        <v>0</v>
      </c>
      <c r="I1271">
        <v>345780</v>
      </c>
      <c r="J1271" s="6">
        <v>9.5</v>
      </c>
      <c r="K1271" s="4" t="str">
        <f t="shared" si="19"/>
        <v>Low</v>
      </c>
      <c r="L1271" t="s">
        <v>3561</v>
      </c>
      <c r="M1271" s="4" t="s">
        <v>3561</v>
      </c>
      <c r="N1271" t="s">
        <v>457</v>
      </c>
      <c r="O1271" t="s">
        <v>3569</v>
      </c>
      <c r="P1271" s="4" t="s">
        <v>3573</v>
      </c>
      <c r="Q1271" t="s">
        <v>3573</v>
      </c>
    </row>
    <row r="1272" spans="1:17">
      <c r="A1272" t="s">
        <v>838</v>
      </c>
      <c r="B1272" t="s">
        <v>840</v>
      </c>
      <c r="C1272" t="s">
        <v>3512</v>
      </c>
      <c r="D1272" t="s">
        <v>3552</v>
      </c>
      <c r="E1272">
        <v>28</v>
      </c>
      <c r="F1272" s="4" t="s">
        <v>3555</v>
      </c>
      <c r="G1272" s="4">
        <v>0</v>
      </c>
      <c r="H1272">
        <v>0</v>
      </c>
      <c r="I1272">
        <v>345770</v>
      </c>
      <c r="J1272" s="6">
        <v>9.5</v>
      </c>
      <c r="K1272" s="4" t="str">
        <f t="shared" si="19"/>
        <v>Low</v>
      </c>
      <c r="L1272" t="s">
        <v>3561</v>
      </c>
      <c r="M1272" s="4" t="s">
        <v>3561</v>
      </c>
      <c r="N1272" t="s">
        <v>457</v>
      </c>
      <c r="O1272" t="s">
        <v>3569</v>
      </c>
      <c r="P1272" s="4" t="s">
        <v>3573</v>
      </c>
      <c r="Q1272" t="s">
        <v>3573</v>
      </c>
    </row>
    <row r="1273" spans="1:17">
      <c r="A1273" t="s">
        <v>838</v>
      </c>
      <c r="B1273" t="s">
        <v>840</v>
      </c>
      <c r="C1273" t="s">
        <v>3513</v>
      </c>
      <c r="D1273" t="s">
        <v>3552</v>
      </c>
      <c r="E1273">
        <v>28</v>
      </c>
      <c r="F1273" s="4" t="s">
        <v>3555</v>
      </c>
      <c r="G1273" s="4">
        <v>0</v>
      </c>
      <c r="H1273">
        <v>0</v>
      </c>
      <c r="I1273">
        <v>345783</v>
      </c>
      <c r="J1273" s="6">
        <v>9.5</v>
      </c>
      <c r="K1273" s="4" t="str">
        <f t="shared" si="19"/>
        <v>Low</v>
      </c>
      <c r="L1273" t="s">
        <v>3561</v>
      </c>
      <c r="M1273" s="4" t="s">
        <v>3561</v>
      </c>
      <c r="N1273" t="s">
        <v>457</v>
      </c>
      <c r="O1273" t="s">
        <v>3569</v>
      </c>
      <c r="P1273" s="4" t="s">
        <v>3573</v>
      </c>
      <c r="Q1273" t="s">
        <v>3573</v>
      </c>
    </row>
    <row r="1274" spans="1:17">
      <c r="A1274" t="s">
        <v>838</v>
      </c>
      <c r="B1274" t="s">
        <v>840</v>
      </c>
      <c r="C1274" t="s">
        <v>3514</v>
      </c>
      <c r="D1274" t="s">
        <v>3552</v>
      </c>
      <c r="E1274">
        <v>47</v>
      </c>
      <c r="F1274" s="4" t="s">
        <v>3557</v>
      </c>
      <c r="G1274" s="4">
        <v>0</v>
      </c>
      <c r="H1274">
        <v>0</v>
      </c>
      <c r="I1274">
        <v>345765</v>
      </c>
      <c r="J1274" s="6">
        <v>9</v>
      </c>
      <c r="K1274" s="4" t="str">
        <f t="shared" si="19"/>
        <v>Low</v>
      </c>
      <c r="L1274" t="s">
        <v>3561</v>
      </c>
      <c r="M1274" s="4" t="s">
        <v>3561</v>
      </c>
      <c r="N1274" t="s">
        <v>457</v>
      </c>
      <c r="O1274" t="s">
        <v>3569</v>
      </c>
      <c r="P1274" s="4" t="s">
        <v>3573</v>
      </c>
      <c r="Q1274" t="s">
        <v>3573</v>
      </c>
    </row>
    <row r="1275" spans="1:17">
      <c r="A1275" t="s">
        <v>838</v>
      </c>
      <c r="B1275" t="s">
        <v>840</v>
      </c>
      <c r="C1275" t="s">
        <v>3515</v>
      </c>
      <c r="D1275" t="s">
        <v>3551</v>
      </c>
      <c r="E1275">
        <v>18</v>
      </c>
      <c r="F1275" s="4" t="s">
        <v>3555</v>
      </c>
      <c r="G1275" s="4">
        <v>0</v>
      </c>
      <c r="H1275">
        <v>2</v>
      </c>
      <c r="I1275">
        <v>345764</v>
      </c>
      <c r="J1275" s="6">
        <v>18</v>
      </c>
      <c r="K1275" s="4" t="str">
        <f t="shared" si="19"/>
        <v>Mid</v>
      </c>
      <c r="L1275" t="s">
        <v>3561</v>
      </c>
      <c r="M1275" s="4" t="s">
        <v>3561</v>
      </c>
      <c r="N1275" t="s">
        <v>457</v>
      </c>
      <c r="O1275" t="s">
        <v>3569</v>
      </c>
      <c r="P1275" s="4" t="s">
        <v>3573</v>
      </c>
      <c r="Q1275" t="s">
        <v>3573</v>
      </c>
    </row>
    <row r="1276" spans="1:17">
      <c r="A1276" t="s">
        <v>838</v>
      </c>
      <c r="B1276" t="s">
        <v>840</v>
      </c>
      <c r="C1276" t="s">
        <v>3516</v>
      </c>
      <c r="D1276" t="s">
        <v>3552</v>
      </c>
      <c r="E1276">
        <v>31</v>
      </c>
      <c r="F1276" s="4" t="s">
        <v>3557</v>
      </c>
      <c r="G1276" s="4">
        <v>0</v>
      </c>
      <c r="H1276">
        <v>3</v>
      </c>
      <c r="I1276">
        <v>345763</v>
      </c>
      <c r="J1276" s="6">
        <v>18</v>
      </c>
      <c r="K1276" s="4" t="str">
        <f t="shared" si="19"/>
        <v>Mid</v>
      </c>
      <c r="L1276" t="s">
        <v>3561</v>
      </c>
      <c r="M1276" s="4" t="s">
        <v>3561</v>
      </c>
      <c r="N1276" t="s">
        <v>457</v>
      </c>
      <c r="O1276" t="s">
        <v>3569</v>
      </c>
      <c r="P1276" s="4" t="s">
        <v>3573</v>
      </c>
      <c r="Q1276" t="s">
        <v>3573</v>
      </c>
    </row>
    <row r="1277" spans="1:17">
      <c r="A1277" t="s">
        <v>838</v>
      </c>
      <c r="B1277" t="s">
        <v>840</v>
      </c>
      <c r="C1277" t="s">
        <v>3516</v>
      </c>
      <c r="D1277" t="s">
        <v>3552</v>
      </c>
      <c r="E1277">
        <v>16</v>
      </c>
      <c r="F1277" s="4" t="s">
        <v>3560</v>
      </c>
      <c r="G1277" s="4">
        <v>0</v>
      </c>
      <c r="H1277">
        <v>2</v>
      </c>
      <c r="I1277">
        <v>345764</v>
      </c>
      <c r="J1277" s="6">
        <v>18</v>
      </c>
      <c r="K1277" s="4" t="str">
        <f t="shared" si="19"/>
        <v>Mid</v>
      </c>
      <c r="L1277" t="s">
        <v>3561</v>
      </c>
      <c r="M1277" s="4" t="s">
        <v>3561</v>
      </c>
      <c r="N1277" t="s">
        <v>457</v>
      </c>
      <c r="O1277" t="s">
        <v>3569</v>
      </c>
      <c r="P1277" s="4" t="s">
        <v>3573</v>
      </c>
      <c r="Q1277" t="s">
        <v>3573</v>
      </c>
    </row>
    <row r="1278" spans="1:17">
      <c r="A1278" t="s">
        <v>838</v>
      </c>
      <c r="B1278" t="s">
        <v>840</v>
      </c>
      <c r="C1278" t="s">
        <v>3517</v>
      </c>
      <c r="D1278" t="s">
        <v>3551</v>
      </c>
      <c r="E1278">
        <v>31</v>
      </c>
      <c r="F1278" s="4" t="s">
        <v>3557</v>
      </c>
      <c r="G1278" s="4">
        <v>0</v>
      </c>
      <c r="H1278">
        <v>1</v>
      </c>
      <c r="I1278">
        <v>345763</v>
      </c>
      <c r="J1278" s="6">
        <v>18</v>
      </c>
      <c r="K1278" s="4" t="str">
        <f t="shared" si="19"/>
        <v>Mid</v>
      </c>
      <c r="L1278" t="s">
        <v>3561</v>
      </c>
      <c r="M1278" s="4" t="s">
        <v>3561</v>
      </c>
      <c r="N1278" t="s">
        <v>457</v>
      </c>
      <c r="O1278" t="s">
        <v>3569</v>
      </c>
      <c r="P1278" s="4" t="s">
        <v>3573</v>
      </c>
      <c r="Q1278" t="s">
        <v>3573</v>
      </c>
    </row>
    <row r="1279" spans="1:17">
      <c r="A1279" t="s">
        <v>838</v>
      </c>
      <c r="B1279" t="s">
        <v>9</v>
      </c>
      <c r="C1279" t="s">
        <v>3518</v>
      </c>
      <c r="D1279" t="s">
        <v>3552</v>
      </c>
      <c r="E1279">
        <v>22</v>
      </c>
      <c r="F1279" s="4" t="s">
        <v>3555</v>
      </c>
      <c r="G1279" s="4">
        <v>0</v>
      </c>
      <c r="H1279">
        <v>0</v>
      </c>
      <c r="I1279">
        <v>2658</v>
      </c>
      <c r="J1279" s="6">
        <v>7.2249999999999996</v>
      </c>
      <c r="K1279" s="4" t="str">
        <f t="shared" si="19"/>
        <v>Low</v>
      </c>
      <c r="L1279" t="s">
        <v>3561</v>
      </c>
      <c r="M1279" s="4" t="s">
        <v>3561</v>
      </c>
      <c r="N1279" t="s">
        <v>3566</v>
      </c>
      <c r="O1279" t="s">
        <v>824</v>
      </c>
      <c r="P1279" s="4" t="s">
        <v>3573</v>
      </c>
      <c r="Q1279" t="s">
        <v>3573</v>
      </c>
    </row>
    <row r="1280" spans="1:17">
      <c r="A1280" t="s">
        <v>838</v>
      </c>
      <c r="B1280" t="s">
        <v>840</v>
      </c>
      <c r="C1280" t="s">
        <v>3519</v>
      </c>
      <c r="D1280" t="s">
        <v>3552</v>
      </c>
      <c r="E1280">
        <v>20</v>
      </c>
      <c r="F1280" s="4" t="s">
        <v>3555</v>
      </c>
      <c r="G1280" s="4">
        <v>0</v>
      </c>
      <c r="H1280">
        <v>0</v>
      </c>
      <c r="I1280">
        <v>350416</v>
      </c>
      <c r="J1280" s="6">
        <v>7.8541999999999996</v>
      </c>
      <c r="K1280" s="4" t="str">
        <f t="shared" si="19"/>
        <v>Low</v>
      </c>
      <c r="L1280" t="s">
        <v>3561</v>
      </c>
      <c r="M1280" s="4" t="s">
        <v>3561</v>
      </c>
      <c r="N1280" t="s">
        <v>457</v>
      </c>
      <c r="O1280" t="s">
        <v>3569</v>
      </c>
      <c r="P1280" s="4" t="s">
        <v>3573</v>
      </c>
      <c r="Q1280" t="s">
        <v>3573</v>
      </c>
    </row>
    <row r="1281" spans="1:18">
      <c r="A1281" t="s">
        <v>838</v>
      </c>
      <c r="B1281" t="s">
        <v>840</v>
      </c>
      <c r="C1281" t="s">
        <v>3520</v>
      </c>
      <c r="D1281" t="s">
        <v>3551</v>
      </c>
      <c r="E1281">
        <v>14</v>
      </c>
      <c r="F1281" s="4" t="s">
        <v>3560</v>
      </c>
      <c r="G1281" s="4">
        <v>0</v>
      </c>
      <c r="H1281">
        <v>0</v>
      </c>
      <c r="I1281">
        <v>350406</v>
      </c>
      <c r="J1281" s="6">
        <v>7.8541999999999996</v>
      </c>
      <c r="K1281" s="4" t="str">
        <f t="shared" si="19"/>
        <v>Low</v>
      </c>
      <c r="L1281" t="s">
        <v>3561</v>
      </c>
      <c r="M1281" s="4" t="s">
        <v>3561</v>
      </c>
      <c r="N1281" t="s">
        <v>457</v>
      </c>
      <c r="O1281" t="s">
        <v>3569</v>
      </c>
      <c r="P1281" s="4" t="s">
        <v>3573</v>
      </c>
      <c r="Q1281" t="s">
        <v>3573</v>
      </c>
    </row>
    <row r="1282" spans="1:18">
      <c r="A1282" t="s">
        <v>838</v>
      </c>
      <c r="B1282" t="s">
        <v>840</v>
      </c>
      <c r="C1282" t="s">
        <v>3521</v>
      </c>
      <c r="D1282" t="s">
        <v>3552</v>
      </c>
      <c r="E1282">
        <v>22</v>
      </c>
      <c r="F1282" s="4" t="s">
        <v>3555</v>
      </c>
      <c r="G1282" s="4">
        <v>0</v>
      </c>
      <c r="H1282">
        <v>0</v>
      </c>
      <c r="I1282">
        <v>349252</v>
      </c>
      <c r="J1282" s="6">
        <v>7.8958000000000004</v>
      </c>
      <c r="K1282" s="4" t="str">
        <f t="shared" si="19"/>
        <v>Low</v>
      </c>
      <c r="L1282" t="s">
        <v>3561</v>
      </c>
      <c r="M1282" s="4" t="s">
        <v>3561</v>
      </c>
      <c r="N1282" t="s">
        <v>457</v>
      </c>
      <c r="O1282" t="s">
        <v>3569</v>
      </c>
      <c r="P1282" s="4" t="s">
        <v>3573</v>
      </c>
      <c r="Q1282" t="s">
        <v>3573</v>
      </c>
    </row>
    <row r="1283" spans="1:18">
      <c r="A1283" t="s">
        <v>838</v>
      </c>
      <c r="B1283" t="s">
        <v>840</v>
      </c>
      <c r="C1283" t="s">
        <v>3522</v>
      </c>
      <c r="D1283" t="s">
        <v>3552</v>
      </c>
      <c r="E1283">
        <v>22</v>
      </c>
      <c r="F1283" s="4" t="s">
        <v>3555</v>
      </c>
      <c r="G1283" s="4">
        <v>0</v>
      </c>
      <c r="H1283">
        <v>0</v>
      </c>
      <c r="I1283">
        <v>345767</v>
      </c>
      <c r="J1283" s="6">
        <v>9</v>
      </c>
      <c r="K1283" s="4" t="str">
        <f t="shared" ref="K1283:K1310" si="20">IF(J1283&lt;=10,"Low",IF(J1283&lt;=50,"Mid","High"))</f>
        <v>Low</v>
      </c>
      <c r="L1283" t="s">
        <v>3561</v>
      </c>
      <c r="M1283" s="4" t="s">
        <v>3561</v>
      </c>
      <c r="N1283" t="s">
        <v>457</v>
      </c>
      <c r="O1283" t="s">
        <v>3569</v>
      </c>
      <c r="P1283" s="4" t="s">
        <v>3573</v>
      </c>
      <c r="Q1283" t="s">
        <v>3573</v>
      </c>
      <c r="R1283" t="s">
        <v>828</v>
      </c>
    </row>
    <row r="1284" spans="1:18">
      <c r="A1284" t="s">
        <v>838</v>
      </c>
      <c r="B1284" t="s">
        <v>840</v>
      </c>
      <c r="C1284" t="s">
        <v>3523</v>
      </c>
      <c r="D1284" t="s">
        <v>3552</v>
      </c>
      <c r="E1284">
        <v>28</v>
      </c>
      <c r="F1284" s="4" t="s">
        <v>3555</v>
      </c>
      <c r="G1284" s="4">
        <v>0</v>
      </c>
      <c r="H1284">
        <v>0</v>
      </c>
      <c r="I1284">
        <v>359309</v>
      </c>
      <c r="J1284" s="6">
        <v>8.0500000000000007</v>
      </c>
      <c r="K1284" s="4" t="str">
        <f t="shared" si="20"/>
        <v>Low</v>
      </c>
      <c r="L1284" t="s">
        <v>3561</v>
      </c>
      <c r="M1284" s="4" t="s">
        <v>3561</v>
      </c>
      <c r="N1284" t="s">
        <v>457</v>
      </c>
      <c r="O1284" t="s">
        <v>3569</v>
      </c>
      <c r="P1284" s="4" t="s">
        <v>3573</v>
      </c>
      <c r="Q1284" t="s">
        <v>3573</v>
      </c>
    </row>
    <row r="1285" spans="1:18">
      <c r="A1285" t="s">
        <v>838</v>
      </c>
      <c r="B1285" t="s">
        <v>840</v>
      </c>
      <c r="C1285" t="s">
        <v>3524</v>
      </c>
      <c r="D1285" t="s">
        <v>3552</v>
      </c>
      <c r="E1285">
        <v>28</v>
      </c>
      <c r="F1285" s="4" t="s">
        <v>3555</v>
      </c>
      <c r="G1285" s="4">
        <v>0</v>
      </c>
      <c r="H1285">
        <v>0</v>
      </c>
      <c r="I1285" t="s">
        <v>829</v>
      </c>
      <c r="J1285" s="6">
        <v>7.55</v>
      </c>
      <c r="K1285" s="4" t="str">
        <f t="shared" si="20"/>
        <v>Low</v>
      </c>
      <c r="L1285" t="s">
        <v>3561</v>
      </c>
      <c r="M1285" s="4" t="s">
        <v>3561</v>
      </c>
      <c r="N1285" t="s">
        <v>457</v>
      </c>
      <c r="O1285" t="s">
        <v>3569</v>
      </c>
      <c r="P1285" s="4" t="s">
        <v>3573</v>
      </c>
      <c r="Q1285" t="s">
        <v>3573</v>
      </c>
    </row>
    <row r="1286" spans="1:18">
      <c r="A1286" t="s">
        <v>838</v>
      </c>
      <c r="B1286" t="s">
        <v>840</v>
      </c>
      <c r="C1286" t="s">
        <v>3525</v>
      </c>
      <c r="D1286" t="s">
        <v>3552</v>
      </c>
      <c r="E1286">
        <v>28</v>
      </c>
      <c r="F1286" s="4" t="s">
        <v>3555</v>
      </c>
      <c r="G1286" s="4">
        <v>0</v>
      </c>
      <c r="H1286">
        <v>0</v>
      </c>
      <c r="I1286" t="s">
        <v>830</v>
      </c>
      <c r="J1286" s="6">
        <v>8.0500000000000007</v>
      </c>
      <c r="K1286" s="4" t="str">
        <f t="shared" si="20"/>
        <v>Low</v>
      </c>
      <c r="L1286" t="s">
        <v>3561</v>
      </c>
      <c r="M1286" s="4" t="s">
        <v>3561</v>
      </c>
      <c r="N1286" t="s">
        <v>457</v>
      </c>
      <c r="O1286" t="s">
        <v>3569</v>
      </c>
      <c r="P1286" s="4" t="s">
        <v>3573</v>
      </c>
      <c r="Q1286" t="s">
        <v>3573</v>
      </c>
    </row>
    <row r="1287" spans="1:18">
      <c r="A1287" t="s">
        <v>838</v>
      </c>
      <c r="B1287" t="s">
        <v>840</v>
      </c>
      <c r="C1287" t="s">
        <v>3526</v>
      </c>
      <c r="D1287" t="s">
        <v>3552</v>
      </c>
      <c r="E1287">
        <v>33</v>
      </c>
      <c r="F1287" s="4" t="s">
        <v>3557</v>
      </c>
      <c r="G1287" s="4">
        <v>0</v>
      </c>
      <c r="H1287">
        <v>0</v>
      </c>
      <c r="I1287">
        <v>345775</v>
      </c>
      <c r="J1287" s="6">
        <v>9.5</v>
      </c>
      <c r="K1287" s="4" t="str">
        <f t="shared" si="20"/>
        <v>Low</v>
      </c>
      <c r="L1287" t="s">
        <v>3561</v>
      </c>
      <c r="M1287" s="4" t="s">
        <v>3561</v>
      </c>
      <c r="N1287" t="s">
        <v>457</v>
      </c>
      <c r="O1287" t="s">
        <v>3569</v>
      </c>
      <c r="P1287" s="4">
        <v>298</v>
      </c>
      <c r="Q1287" t="s">
        <v>3574</v>
      </c>
    </row>
    <row r="1288" spans="1:18">
      <c r="A1288" t="s">
        <v>838</v>
      </c>
      <c r="B1288" t="s">
        <v>9</v>
      </c>
      <c r="C1288" t="s">
        <v>3527</v>
      </c>
      <c r="D1288" t="s">
        <v>3551</v>
      </c>
      <c r="E1288">
        <v>38</v>
      </c>
      <c r="F1288" s="4" t="s">
        <v>3557</v>
      </c>
      <c r="G1288" s="4">
        <v>0</v>
      </c>
      <c r="H1288">
        <v>0</v>
      </c>
      <c r="I1288">
        <v>2688</v>
      </c>
      <c r="J1288" s="6">
        <v>7.2291999999999996</v>
      </c>
      <c r="K1288" s="4" t="str">
        <f t="shared" si="20"/>
        <v>Low</v>
      </c>
      <c r="L1288" t="s">
        <v>3561</v>
      </c>
      <c r="M1288" s="4" t="s">
        <v>3561</v>
      </c>
      <c r="N1288" t="s">
        <v>3566</v>
      </c>
      <c r="O1288" t="s">
        <v>62</v>
      </c>
      <c r="P1288" s="4" t="s">
        <v>3573</v>
      </c>
      <c r="Q1288" t="s">
        <v>3573</v>
      </c>
    </row>
    <row r="1289" spans="1:18">
      <c r="A1289" t="s">
        <v>838</v>
      </c>
      <c r="B1289" t="s">
        <v>840</v>
      </c>
      <c r="C1289" t="s">
        <v>3528</v>
      </c>
      <c r="D1289" t="s">
        <v>3552</v>
      </c>
      <c r="E1289">
        <v>51</v>
      </c>
      <c r="F1289" s="4" t="s">
        <v>3557</v>
      </c>
      <c r="G1289" s="4">
        <v>0</v>
      </c>
      <c r="H1289">
        <v>0</v>
      </c>
      <c r="I1289">
        <v>347064</v>
      </c>
      <c r="J1289" s="6">
        <v>7.75</v>
      </c>
      <c r="K1289" s="4" t="str">
        <f t="shared" si="20"/>
        <v>Low</v>
      </c>
      <c r="L1289" t="s">
        <v>3561</v>
      </c>
      <c r="M1289" s="4" t="s">
        <v>3561</v>
      </c>
      <c r="N1289" t="s">
        <v>457</v>
      </c>
      <c r="O1289" t="s">
        <v>3569</v>
      </c>
      <c r="P1289" s="4" t="s">
        <v>3573</v>
      </c>
      <c r="Q1289" t="s">
        <v>3573</v>
      </c>
    </row>
    <row r="1290" spans="1:18">
      <c r="A1290" t="s">
        <v>838</v>
      </c>
      <c r="B1290" t="s">
        <v>840</v>
      </c>
      <c r="C1290" t="s">
        <v>3529</v>
      </c>
      <c r="D1290" t="s">
        <v>3552</v>
      </c>
      <c r="E1290">
        <v>18</v>
      </c>
      <c r="F1290" s="4" t="s">
        <v>3555</v>
      </c>
      <c r="G1290" s="4">
        <v>0</v>
      </c>
      <c r="H1290">
        <v>1</v>
      </c>
      <c r="I1290">
        <v>3101267</v>
      </c>
      <c r="J1290" s="6">
        <v>6.4958</v>
      </c>
      <c r="K1290" s="4" t="str">
        <f t="shared" si="20"/>
        <v>Low</v>
      </c>
      <c r="L1290" t="s">
        <v>3561</v>
      </c>
      <c r="M1290" s="4" t="s">
        <v>3561</v>
      </c>
      <c r="N1290" t="s">
        <v>457</v>
      </c>
      <c r="O1290" t="s">
        <v>3569</v>
      </c>
      <c r="P1290" s="4">
        <v>314</v>
      </c>
      <c r="Q1290" t="s">
        <v>3574</v>
      </c>
    </row>
    <row r="1291" spans="1:18">
      <c r="A1291" t="s">
        <v>838</v>
      </c>
      <c r="B1291" t="s">
        <v>840</v>
      </c>
      <c r="C1291" t="s">
        <v>3530</v>
      </c>
      <c r="D1291" t="s">
        <v>3552</v>
      </c>
      <c r="E1291">
        <v>21</v>
      </c>
      <c r="F1291" s="4" t="s">
        <v>3555</v>
      </c>
      <c r="G1291" s="4">
        <v>0</v>
      </c>
      <c r="H1291">
        <v>1</v>
      </c>
      <c r="I1291">
        <v>3101266</v>
      </c>
      <c r="J1291" s="6">
        <v>6.4958</v>
      </c>
      <c r="K1291" s="4" t="str">
        <f t="shared" si="20"/>
        <v>Low</v>
      </c>
      <c r="L1291" t="s">
        <v>3561</v>
      </c>
      <c r="M1291" s="4" t="s">
        <v>3561</v>
      </c>
      <c r="N1291" t="s">
        <v>457</v>
      </c>
      <c r="O1291" t="s">
        <v>3569</v>
      </c>
      <c r="P1291" s="4" t="s">
        <v>3573</v>
      </c>
      <c r="Q1291" t="s">
        <v>3573</v>
      </c>
    </row>
    <row r="1292" spans="1:18">
      <c r="A1292" t="s">
        <v>838</v>
      </c>
      <c r="B1292" t="s">
        <v>9</v>
      </c>
      <c r="C1292" t="s">
        <v>3531</v>
      </c>
      <c r="D1292" t="s">
        <v>3551</v>
      </c>
      <c r="E1292">
        <v>47</v>
      </c>
      <c r="F1292" s="4" t="s">
        <v>3557</v>
      </c>
      <c r="G1292" s="4">
        <v>0</v>
      </c>
      <c r="H1292">
        <v>1</v>
      </c>
      <c r="I1292">
        <v>363272</v>
      </c>
      <c r="J1292" s="6">
        <v>7</v>
      </c>
      <c r="K1292" s="4" t="str">
        <f t="shared" si="20"/>
        <v>Low</v>
      </c>
      <c r="L1292" t="s">
        <v>3561</v>
      </c>
      <c r="M1292" s="4" t="s">
        <v>3561</v>
      </c>
      <c r="N1292" t="s">
        <v>457</v>
      </c>
      <c r="O1292" t="s">
        <v>3569</v>
      </c>
      <c r="P1292" s="4" t="s">
        <v>3573</v>
      </c>
      <c r="Q1292" t="s">
        <v>3573</v>
      </c>
    </row>
    <row r="1293" spans="1:18">
      <c r="A1293" t="s">
        <v>838</v>
      </c>
      <c r="B1293" t="s">
        <v>840</v>
      </c>
      <c r="C1293" t="s">
        <v>3532</v>
      </c>
      <c r="D1293" t="s">
        <v>3552</v>
      </c>
      <c r="E1293">
        <v>28</v>
      </c>
      <c r="F1293" s="4" t="s">
        <v>3555</v>
      </c>
      <c r="G1293" s="4">
        <v>0</v>
      </c>
      <c r="H1293">
        <v>0</v>
      </c>
      <c r="I1293">
        <v>3410</v>
      </c>
      <c r="J1293" s="6">
        <v>8.7125000000000004</v>
      </c>
      <c r="K1293" s="4" t="str">
        <f t="shared" si="20"/>
        <v>Low</v>
      </c>
      <c r="L1293" t="s">
        <v>3561</v>
      </c>
      <c r="M1293" s="4" t="s">
        <v>3561</v>
      </c>
      <c r="N1293" t="s">
        <v>457</v>
      </c>
      <c r="O1293" t="s">
        <v>3569</v>
      </c>
      <c r="P1293" s="4" t="s">
        <v>3573</v>
      </c>
      <c r="Q1293" t="s">
        <v>3573</v>
      </c>
    </row>
    <row r="1294" spans="1:18">
      <c r="A1294" t="s">
        <v>838</v>
      </c>
      <c r="B1294" t="s">
        <v>840</v>
      </c>
      <c r="C1294" t="s">
        <v>3533</v>
      </c>
      <c r="D1294" t="s">
        <v>3552</v>
      </c>
      <c r="E1294">
        <v>28</v>
      </c>
      <c r="F1294" s="4" t="s">
        <v>3555</v>
      </c>
      <c r="G1294" s="4">
        <v>0</v>
      </c>
      <c r="H1294">
        <v>0</v>
      </c>
      <c r="I1294" t="s">
        <v>831</v>
      </c>
      <c r="J1294" s="6">
        <v>7.55</v>
      </c>
      <c r="K1294" s="4" t="str">
        <f t="shared" si="20"/>
        <v>Low</v>
      </c>
      <c r="L1294" t="s">
        <v>3561</v>
      </c>
      <c r="M1294" s="4" t="s">
        <v>3561</v>
      </c>
      <c r="N1294" t="s">
        <v>457</v>
      </c>
      <c r="O1294" t="s">
        <v>3569</v>
      </c>
      <c r="P1294" s="4" t="s">
        <v>3573</v>
      </c>
      <c r="Q1294" t="s">
        <v>3573</v>
      </c>
    </row>
    <row r="1295" spans="1:18">
      <c r="A1295" t="s">
        <v>838</v>
      </c>
      <c r="B1295" t="s">
        <v>840</v>
      </c>
      <c r="C1295" t="s">
        <v>3534</v>
      </c>
      <c r="D1295" t="s">
        <v>3552</v>
      </c>
      <c r="E1295">
        <v>28</v>
      </c>
      <c r="F1295" s="4" t="s">
        <v>3555</v>
      </c>
      <c r="G1295" s="4">
        <v>0</v>
      </c>
      <c r="H1295">
        <v>0</v>
      </c>
      <c r="I1295" t="s">
        <v>832</v>
      </c>
      <c r="J1295" s="6">
        <v>8.0500000000000007</v>
      </c>
      <c r="K1295" s="4" t="str">
        <f t="shared" si="20"/>
        <v>Low</v>
      </c>
      <c r="L1295" t="s">
        <v>3561</v>
      </c>
      <c r="M1295" s="4" t="s">
        <v>3561</v>
      </c>
      <c r="N1295" t="s">
        <v>457</v>
      </c>
      <c r="O1295" t="s">
        <v>3569</v>
      </c>
      <c r="P1295" s="4" t="s">
        <v>3573</v>
      </c>
      <c r="Q1295" t="s">
        <v>3573</v>
      </c>
    </row>
    <row r="1296" spans="1:18">
      <c r="A1296" t="s">
        <v>838</v>
      </c>
      <c r="B1296" t="s">
        <v>840</v>
      </c>
      <c r="C1296" t="s">
        <v>3535</v>
      </c>
      <c r="D1296" t="s">
        <v>3552</v>
      </c>
      <c r="E1296">
        <v>29</v>
      </c>
      <c r="F1296" s="4" t="s">
        <v>3555</v>
      </c>
      <c r="G1296" s="4">
        <v>0</v>
      </c>
      <c r="H1296">
        <v>0</v>
      </c>
      <c r="I1296">
        <v>54636</v>
      </c>
      <c r="J1296" s="6">
        <v>16.100000000000001</v>
      </c>
      <c r="K1296" s="4" t="str">
        <f t="shared" si="20"/>
        <v>Mid</v>
      </c>
      <c r="L1296" t="s">
        <v>3561</v>
      </c>
      <c r="M1296" s="4" t="s">
        <v>3561</v>
      </c>
      <c r="N1296" t="s">
        <v>457</v>
      </c>
      <c r="O1296" t="s">
        <v>3569</v>
      </c>
      <c r="P1296" s="4">
        <v>14</v>
      </c>
      <c r="Q1296" t="s">
        <v>3574</v>
      </c>
    </row>
    <row r="1297" spans="1:17">
      <c r="A1297" t="s">
        <v>838</v>
      </c>
      <c r="B1297" t="s">
        <v>840</v>
      </c>
      <c r="C1297" t="s">
        <v>3536</v>
      </c>
      <c r="D1297" t="s">
        <v>3552</v>
      </c>
      <c r="E1297">
        <v>21</v>
      </c>
      <c r="F1297" s="4" t="s">
        <v>3555</v>
      </c>
      <c r="G1297" s="4">
        <v>0</v>
      </c>
      <c r="H1297">
        <v>0</v>
      </c>
      <c r="I1297" t="s">
        <v>833</v>
      </c>
      <c r="J1297" s="6">
        <v>7.25</v>
      </c>
      <c r="K1297" s="4" t="str">
        <f t="shared" si="20"/>
        <v>Low</v>
      </c>
      <c r="L1297" t="s">
        <v>3561</v>
      </c>
      <c r="M1297" s="4" t="s">
        <v>3561</v>
      </c>
      <c r="N1297" t="s">
        <v>457</v>
      </c>
      <c r="O1297" t="s">
        <v>3569</v>
      </c>
      <c r="P1297" s="4" t="s">
        <v>3573</v>
      </c>
      <c r="Q1297" t="s">
        <v>3573</v>
      </c>
    </row>
    <row r="1298" spans="1:17">
      <c r="A1298" t="s">
        <v>838</v>
      </c>
      <c r="B1298" t="s">
        <v>840</v>
      </c>
      <c r="C1298" t="s">
        <v>3537</v>
      </c>
      <c r="D1298" t="s">
        <v>3552</v>
      </c>
      <c r="E1298">
        <v>27</v>
      </c>
      <c r="F1298" s="4" t="s">
        <v>3555</v>
      </c>
      <c r="G1298" s="4">
        <v>0</v>
      </c>
      <c r="H1298">
        <v>0</v>
      </c>
      <c r="I1298">
        <v>315154</v>
      </c>
      <c r="J1298" s="6">
        <v>8.6624999999999996</v>
      </c>
      <c r="K1298" s="4" t="str">
        <f t="shared" si="20"/>
        <v>Low</v>
      </c>
      <c r="L1298" t="s">
        <v>3561</v>
      </c>
      <c r="M1298" s="4" t="s">
        <v>3561</v>
      </c>
      <c r="N1298" t="s">
        <v>457</v>
      </c>
      <c r="O1298" t="s">
        <v>3569</v>
      </c>
      <c r="P1298" s="4">
        <v>131</v>
      </c>
      <c r="Q1298" t="s">
        <v>3574</v>
      </c>
    </row>
    <row r="1299" spans="1:17">
      <c r="A1299" t="s">
        <v>838</v>
      </c>
      <c r="B1299" t="s">
        <v>840</v>
      </c>
      <c r="C1299" t="s">
        <v>3538</v>
      </c>
      <c r="D1299" t="s">
        <v>3552</v>
      </c>
      <c r="E1299">
        <v>28</v>
      </c>
      <c r="F1299" s="4" t="s">
        <v>3555</v>
      </c>
      <c r="G1299" s="4">
        <v>0</v>
      </c>
      <c r="H1299">
        <v>0</v>
      </c>
      <c r="I1299" t="s">
        <v>834</v>
      </c>
      <c r="J1299" s="6">
        <v>7.25</v>
      </c>
      <c r="K1299" s="4" t="str">
        <f t="shared" si="20"/>
        <v>Low</v>
      </c>
      <c r="L1299" t="s">
        <v>3561</v>
      </c>
      <c r="M1299" s="4" t="s">
        <v>3561</v>
      </c>
      <c r="N1299" t="s">
        <v>457</v>
      </c>
      <c r="O1299" t="s">
        <v>3569</v>
      </c>
      <c r="P1299" s="4" t="s">
        <v>3573</v>
      </c>
      <c r="Q1299" t="s">
        <v>3573</v>
      </c>
    </row>
    <row r="1300" spans="1:17">
      <c r="A1300" t="s">
        <v>838</v>
      </c>
      <c r="B1300" t="s">
        <v>840</v>
      </c>
      <c r="C1300" t="s">
        <v>3539</v>
      </c>
      <c r="D1300" t="s">
        <v>3552</v>
      </c>
      <c r="E1300">
        <v>36</v>
      </c>
      <c r="F1300" s="4" t="s">
        <v>3557</v>
      </c>
      <c r="G1300" s="4">
        <v>0</v>
      </c>
      <c r="H1300">
        <v>0</v>
      </c>
      <c r="I1300">
        <v>345771</v>
      </c>
      <c r="J1300" s="6">
        <v>9.5</v>
      </c>
      <c r="K1300" s="4" t="str">
        <f t="shared" si="20"/>
        <v>Low</v>
      </c>
      <c r="L1300" t="s">
        <v>3561</v>
      </c>
      <c r="M1300" s="4" t="s">
        <v>3561</v>
      </c>
      <c r="N1300" t="s">
        <v>457</v>
      </c>
      <c r="O1300" t="s">
        <v>3569</v>
      </c>
      <c r="P1300" s="4" t="s">
        <v>3573</v>
      </c>
      <c r="Q1300" t="s">
        <v>3573</v>
      </c>
    </row>
    <row r="1301" spans="1:17">
      <c r="A1301" t="s">
        <v>838</v>
      </c>
      <c r="B1301" t="s">
        <v>840</v>
      </c>
      <c r="C1301" t="s">
        <v>3540</v>
      </c>
      <c r="D1301" t="s">
        <v>3552</v>
      </c>
      <c r="E1301">
        <v>27</v>
      </c>
      <c r="F1301" s="4" t="s">
        <v>3555</v>
      </c>
      <c r="G1301" s="4">
        <v>0</v>
      </c>
      <c r="H1301">
        <v>1</v>
      </c>
      <c r="I1301">
        <v>2659</v>
      </c>
      <c r="J1301" s="6">
        <v>14.4542</v>
      </c>
      <c r="K1301" s="4" t="str">
        <f t="shared" si="20"/>
        <v>Mid</v>
      </c>
      <c r="L1301" t="s">
        <v>3561</v>
      </c>
      <c r="M1301" s="4" t="s">
        <v>3561</v>
      </c>
      <c r="N1301" t="s">
        <v>3566</v>
      </c>
      <c r="O1301" t="s">
        <v>62</v>
      </c>
      <c r="P1301" s="4" t="s">
        <v>3573</v>
      </c>
      <c r="Q1301" t="s">
        <v>3573</v>
      </c>
    </row>
    <row r="1302" spans="1:17">
      <c r="A1302" t="s">
        <v>838</v>
      </c>
      <c r="B1302" t="s">
        <v>9</v>
      </c>
      <c r="C1302" t="s">
        <v>3541</v>
      </c>
      <c r="D1302" t="s">
        <v>3551</v>
      </c>
      <c r="E1302">
        <v>15</v>
      </c>
      <c r="F1302" s="4" t="s">
        <v>3560</v>
      </c>
      <c r="G1302" s="4">
        <v>0</v>
      </c>
      <c r="H1302">
        <v>1</v>
      </c>
      <c r="I1302">
        <v>2659</v>
      </c>
      <c r="J1302" s="6">
        <v>14.4542</v>
      </c>
      <c r="K1302" s="4" t="str">
        <f t="shared" si="20"/>
        <v>Mid</v>
      </c>
      <c r="L1302" t="s">
        <v>3561</v>
      </c>
      <c r="M1302" s="4" t="s">
        <v>3561</v>
      </c>
      <c r="N1302" t="s">
        <v>3566</v>
      </c>
      <c r="O1302" t="s">
        <v>3569</v>
      </c>
      <c r="P1302" s="4" t="s">
        <v>3573</v>
      </c>
      <c r="Q1302" t="s">
        <v>3573</v>
      </c>
    </row>
    <row r="1303" spans="1:17">
      <c r="A1303" t="s">
        <v>838</v>
      </c>
      <c r="B1303" t="s">
        <v>840</v>
      </c>
      <c r="C1303" t="s">
        <v>3542</v>
      </c>
      <c r="D1303" t="s">
        <v>3552</v>
      </c>
      <c r="E1303">
        <v>46</v>
      </c>
      <c r="F1303" s="4" t="s">
        <v>3557</v>
      </c>
      <c r="G1303" s="4">
        <v>0</v>
      </c>
      <c r="H1303">
        <v>0</v>
      </c>
      <c r="I1303">
        <v>2628</v>
      </c>
      <c r="J1303" s="6">
        <v>7.2249999999999996</v>
      </c>
      <c r="K1303" s="4" t="str">
        <f t="shared" si="20"/>
        <v>Low</v>
      </c>
      <c r="L1303" t="s">
        <v>3561</v>
      </c>
      <c r="M1303" s="4" t="s">
        <v>3561</v>
      </c>
      <c r="N1303" t="s">
        <v>3566</v>
      </c>
      <c r="O1303" t="s">
        <v>3569</v>
      </c>
      <c r="P1303" s="4">
        <v>312</v>
      </c>
      <c r="Q1303" t="s">
        <v>3574</v>
      </c>
    </row>
    <row r="1304" spans="1:17">
      <c r="A1304" t="s">
        <v>838</v>
      </c>
      <c r="B1304" t="s">
        <v>840</v>
      </c>
      <c r="C1304" t="s">
        <v>3543</v>
      </c>
      <c r="D1304" t="s">
        <v>3552</v>
      </c>
      <c r="E1304">
        <v>28</v>
      </c>
      <c r="F1304" s="4" t="s">
        <v>3555</v>
      </c>
      <c r="G1304" s="4">
        <v>0</v>
      </c>
      <c r="H1304">
        <v>0</v>
      </c>
      <c r="I1304">
        <v>2647</v>
      </c>
      <c r="J1304" s="6">
        <v>7.2249999999999996</v>
      </c>
      <c r="K1304" s="4" t="str">
        <f t="shared" si="20"/>
        <v>Low</v>
      </c>
      <c r="L1304" t="s">
        <v>3561</v>
      </c>
      <c r="M1304" s="4" t="s">
        <v>3561</v>
      </c>
      <c r="N1304" t="s">
        <v>3566</v>
      </c>
      <c r="O1304" t="s">
        <v>3569</v>
      </c>
      <c r="P1304" s="4" t="s">
        <v>3573</v>
      </c>
      <c r="Q1304" t="s">
        <v>3573</v>
      </c>
    </row>
    <row r="1305" spans="1:17">
      <c r="A1305" t="s">
        <v>838</v>
      </c>
      <c r="B1305" t="s">
        <v>840</v>
      </c>
      <c r="C1305" t="s">
        <v>3544</v>
      </c>
      <c r="D1305" t="s">
        <v>3552</v>
      </c>
      <c r="E1305">
        <v>28</v>
      </c>
      <c r="F1305" s="4" t="s">
        <v>3555</v>
      </c>
      <c r="G1305" s="4">
        <v>0</v>
      </c>
      <c r="H1305">
        <v>0</v>
      </c>
      <c r="I1305">
        <v>2627</v>
      </c>
      <c r="J1305" s="6">
        <v>14.458299999999999</v>
      </c>
      <c r="K1305" s="4" t="str">
        <f t="shared" si="20"/>
        <v>Mid</v>
      </c>
      <c r="L1305" t="s">
        <v>3561</v>
      </c>
      <c r="M1305" s="4" t="s">
        <v>3561</v>
      </c>
      <c r="N1305" t="s">
        <v>3566</v>
      </c>
      <c r="O1305" t="s">
        <v>3569</v>
      </c>
      <c r="P1305" s="4" t="s">
        <v>3573</v>
      </c>
      <c r="Q1305" t="s">
        <v>3573</v>
      </c>
    </row>
    <row r="1306" spans="1:17">
      <c r="A1306" t="s">
        <v>838</v>
      </c>
      <c r="B1306" t="s">
        <v>840</v>
      </c>
      <c r="C1306" t="s">
        <v>3545</v>
      </c>
      <c r="D1306" t="s">
        <v>3551</v>
      </c>
      <c r="E1306">
        <v>15</v>
      </c>
      <c r="F1306" s="4" t="s">
        <v>3560</v>
      </c>
      <c r="G1306" s="4">
        <v>0</v>
      </c>
      <c r="H1306">
        <v>1</v>
      </c>
      <c r="I1306">
        <v>2665</v>
      </c>
      <c r="J1306" s="6">
        <v>14.4542</v>
      </c>
      <c r="K1306" s="4" t="str">
        <f t="shared" si="20"/>
        <v>Mid</v>
      </c>
      <c r="L1306" t="s">
        <v>3561</v>
      </c>
      <c r="M1306" s="4" t="s">
        <v>3561</v>
      </c>
      <c r="N1306" t="s">
        <v>3566</v>
      </c>
      <c r="O1306" t="s">
        <v>3569</v>
      </c>
      <c r="P1306" s="4">
        <v>328</v>
      </c>
      <c r="Q1306" t="s">
        <v>3574</v>
      </c>
    </row>
    <row r="1307" spans="1:17">
      <c r="A1307" t="s">
        <v>838</v>
      </c>
      <c r="B1307" t="s">
        <v>840</v>
      </c>
      <c r="C1307" t="s">
        <v>3546</v>
      </c>
      <c r="D1307" t="s">
        <v>3551</v>
      </c>
      <c r="E1307">
        <v>28</v>
      </c>
      <c r="F1307" s="4" t="s">
        <v>3555</v>
      </c>
      <c r="G1307" s="4">
        <v>0</v>
      </c>
      <c r="H1307">
        <v>1</v>
      </c>
      <c r="I1307">
        <v>2665</v>
      </c>
      <c r="J1307" s="6">
        <v>14.4542</v>
      </c>
      <c r="K1307" s="4" t="str">
        <f t="shared" si="20"/>
        <v>Mid</v>
      </c>
      <c r="L1307" t="s">
        <v>3561</v>
      </c>
      <c r="M1307" s="4" t="s">
        <v>3561</v>
      </c>
      <c r="N1307" t="s">
        <v>3566</v>
      </c>
      <c r="O1307" t="s">
        <v>3569</v>
      </c>
      <c r="P1307" s="4" t="s">
        <v>3573</v>
      </c>
      <c r="Q1307" t="s">
        <v>3573</v>
      </c>
    </row>
    <row r="1308" spans="1:17">
      <c r="A1308" t="s">
        <v>838</v>
      </c>
      <c r="B1308" t="s">
        <v>840</v>
      </c>
      <c r="C1308" t="s">
        <v>3547</v>
      </c>
      <c r="D1308" t="s">
        <v>3552</v>
      </c>
      <c r="E1308">
        <v>27</v>
      </c>
      <c r="F1308" s="4" t="s">
        <v>3555</v>
      </c>
      <c r="G1308" s="4">
        <v>0</v>
      </c>
      <c r="H1308">
        <v>0</v>
      </c>
      <c r="I1308">
        <v>2656</v>
      </c>
      <c r="J1308" s="6">
        <v>7.2249999999999996</v>
      </c>
      <c r="K1308" s="4" t="str">
        <f t="shared" si="20"/>
        <v>Low</v>
      </c>
      <c r="L1308" t="s">
        <v>3561</v>
      </c>
      <c r="M1308" s="4" t="s">
        <v>3561</v>
      </c>
      <c r="N1308" t="s">
        <v>3566</v>
      </c>
      <c r="O1308" t="s">
        <v>3569</v>
      </c>
      <c r="P1308" s="4">
        <v>304</v>
      </c>
      <c r="Q1308" t="s">
        <v>3574</v>
      </c>
    </row>
    <row r="1309" spans="1:17">
      <c r="A1309" t="s">
        <v>838</v>
      </c>
      <c r="B1309" t="s">
        <v>840</v>
      </c>
      <c r="C1309" t="s">
        <v>3548</v>
      </c>
      <c r="D1309" t="s">
        <v>3552</v>
      </c>
      <c r="E1309">
        <v>27</v>
      </c>
      <c r="F1309" s="4" t="s">
        <v>3555</v>
      </c>
      <c r="G1309" s="4">
        <v>0</v>
      </c>
      <c r="H1309">
        <v>0</v>
      </c>
      <c r="I1309">
        <v>2670</v>
      </c>
      <c r="J1309" s="6">
        <v>7.2249999999999996</v>
      </c>
      <c r="K1309" s="4" t="str">
        <f t="shared" si="20"/>
        <v>Low</v>
      </c>
      <c r="L1309" t="s">
        <v>3561</v>
      </c>
      <c r="M1309" s="4" t="s">
        <v>3561</v>
      </c>
      <c r="N1309" t="s">
        <v>3566</v>
      </c>
      <c r="O1309" t="s">
        <v>3569</v>
      </c>
      <c r="P1309" s="4" t="s">
        <v>3573</v>
      </c>
      <c r="Q1309" t="s">
        <v>3573</v>
      </c>
    </row>
    <row r="1310" spans="1:17">
      <c r="A1310" t="s">
        <v>838</v>
      </c>
      <c r="B1310" t="s">
        <v>840</v>
      </c>
      <c r="C1310" t="s">
        <v>3549</v>
      </c>
      <c r="D1310" t="s">
        <v>3552</v>
      </c>
      <c r="E1310">
        <v>29</v>
      </c>
      <c r="F1310" s="4" t="s">
        <v>3555</v>
      </c>
      <c r="G1310" s="4">
        <v>0</v>
      </c>
      <c r="H1310">
        <v>0</v>
      </c>
      <c r="I1310">
        <v>315082</v>
      </c>
      <c r="J1310" s="6">
        <v>7.875</v>
      </c>
      <c r="K1310" s="4" t="str">
        <f t="shared" si="20"/>
        <v>Low</v>
      </c>
      <c r="L1310" t="s">
        <v>3561</v>
      </c>
      <c r="M1310" s="4" t="s">
        <v>3561</v>
      </c>
      <c r="N1310" t="s">
        <v>457</v>
      </c>
      <c r="O1310" t="s">
        <v>3569</v>
      </c>
      <c r="P1310" s="4" t="s">
        <v>3573</v>
      </c>
      <c r="Q1310" t="s">
        <v>3573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F051E-EB4A-4CF1-9926-F7029040071E}">
  <dimension ref="A1:D17"/>
  <sheetViews>
    <sheetView workbookViewId="0">
      <selection activeCell="B8" sqref="B8"/>
    </sheetView>
  </sheetViews>
  <sheetFormatPr defaultRowHeight="13.8"/>
  <sheetData>
    <row r="1" spans="1:4" ht="30">
      <c r="A1" s="1" t="s">
        <v>0</v>
      </c>
    </row>
    <row r="3" spans="1:4">
      <c r="A3" t="s">
        <v>1</v>
      </c>
    </row>
    <row r="5" spans="1:4" ht="27.6">
      <c r="A5" s="2" t="s">
        <v>2</v>
      </c>
      <c r="B5" s="2" t="s">
        <v>3</v>
      </c>
      <c r="C5" s="2" t="s">
        <v>4</v>
      </c>
      <c r="D5" s="2" t="s">
        <v>5</v>
      </c>
    </row>
    <row r="6" spans="1:4" ht="69">
      <c r="A6" s="3" t="s">
        <v>6</v>
      </c>
      <c r="B6" s="3" t="s">
        <v>7</v>
      </c>
      <c r="C6" s="3" t="s">
        <v>8</v>
      </c>
      <c r="D6" s="3">
        <v>1</v>
      </c>
    </row>
    <row r="7" spans="1:4" ht="130.19999999999999">
      <c r="A7" s="3" t="s">
        <v>9</v>
      </c>
      <c r="B7" s="3" t="s">
        <v>10</v>
      </c>
      <c r="C7" s="3" t="s">
        <v>11</v>
      </c>
      <c r="D7" s="3">
        <v>1</v>
      </c>
    </row>
    <row r="8" spans="1:4" ht="132.6">
      <c r="A8" s="3" t="s">
        <v>12</v>
      </c>
      <c r="B8" s="3" t="s">
        <v>7</v>
      </c>
      <c r="C8" s="3" t="s">
        <v>13</v>
      </c>
      <c r="D8" s="3">
        <v>3</v>
      </c>
    </row>
    <row r="9" spans="1:4" ht="41.4">
      <c r="A9" s="3" t="s">
        <v>14</v>
      </c>
      <c r="B9" s="3" t="s">
        <v>15</v>
      </c>
      <c r="C9" s="3" t="s">
        <v>16</v>
      </c>
      <c r="D9" s="3" t="s">
        <v>17</v>
      </c>
    </row>
    <row r="10" spans="1:4" ht="41.4">
      <c r="A10" s="3" t="s">
        <v>18</v>
      </c>
      <c r="B10" s="3" t="s">
        <v>15</v>
      </c>
      <c r="C10" s="3" t="s">
        <v>19</v>
      </c>
      <c r="D10" s="3" t="s">
        <v>20</v>
      </c>
    </row>
    <row r="11" spans="1:4" ht="41.4">
      <c r="A11" s="3" t="s">
        <v>21</v>
      </c>
      <c r="B11" s="3" t="s">
        <v>22</v>
      </c>
      <c r="C11" s="3" t="s">
        <v>23</v>
      </c>
      <c r="D11" s="3">
        <v>22</v>
      </c>
    </row>
    <row r="12" spans="1:4" ht="69">
      <c r="A12" s="3" t="s">
        <v>24</v>
      </c>
      <c r="B12" s="3" t="s">
        <v>7</v>
      </c>
      <c r="C12" s="3" t="s">
        <v>25</v>
      </c>
      <c r="D12" s="3">
        <v>1</v>
      </c>
    </row>
    <row r="13" spans="1:4" ht="69">
      <c r="A13" s="3" t="s">
        <v>26</v>
      </c>
      <c r="B13" s="3" t="s">
        <v>7</v>
      </c>
      <c r="C13" s="3" t="s">
        <v>27</v>
      </c>
      <c r="D13" s="3">
        <v>0</v>
      </c>
    </row>
    <row r="14" spans="1:4" ht="41.4">
      <c r="A14" s="3" t="s">
        <v>28</v>
      </c>
      <c r="B14" s="3" t="s">
        <v>15</v>
      </c>
      <c r="C14" s="3" t="s">
        <v>29</v>
      </c>
      <c r="D14" s="3" t="s">
        <v>30</v>
      </c>
    </row>
    <row r="15" spans="1:4" ht="41.4">
      <c r="A15" s="3" t="s">
        <v>31</v>
      </c>
      <c r="B15" s="3" t="s">
        <v>22</v>
      </c>
      <c r="C15" s="3" t="s">
        <v>32</v>
      </c>
      <c r="D15" s="3">
        <v>7.25</v>
      </c>
    </row>
    <row r="16" spans="1:4" ht="69">
      <c r="A16" s="3" t="s">
        <v>33</v>
      </c>
      <c r="B16" s="3" t="s">
        <v>15</v>
      </c>
      <c r="C16" s="3" t="s">
        <v>34</v>
      </c>
      <c r="D16" s="3" t="s">
        <v>35</v>
      </c>
    </row>
    <row r="17" spans="1:3" ht="174">
      <c r="A17" s="3" t="s">
        <v>36</v>
      </c>
      <c r="B17" s="3" t="s">
        <v>15</v>
      </c>
      <c r="C17" s="3" t="s">
        <v>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07747-5130-4E22-BE09-23E8548B51D2}">
  <dimension ref="A1:AP1310"/>
  <sheetViews>
    <sheetView topLeftCell="G1" workbookViewId="0">
      <selection activeCell="I1" sqref="I1"/>
    </sheetView>
  </sheetViews>
  <sheetFormatPr defaultRowHeight="13.8"/>
  <cols>
    <col min="2" max="2" width="16.59765625" customWidth="1"/>
    <col min="3" max="3" width="13.59765625" customWidth="1"/>
    <col min="5" max="5" width="14.796875" customWidth="1"/>
    <col min="6" max="6" width="11.3984375" customWidth="1"/>
    <col min="7" max="7" width="9.19921875" customWidth="1"/>
    <col min="8" max="8" width="4.3984375" customWidth="1"/>
    <col min="9" max="9" width="27.3984375" customWidth="1"/>
    <col min="10" max="10" width="11" customWidth="1"/>
    <col min="16" max="16" width="13.796875" customWidth="1"/>
    <col min="18" max="18" width="12.3984375" style="4" customWidth="1"/>
    <col min="20" max="20" width="12.59765625" style="5" customWidth="1"/>
    <col min="23" max="23" width="8.8984375" style="4"/>
    <col min="24" max="24" width="12" customWidth="1"/>
    <col min="25" max="25" width="14.59765625" style="4" bestFit="1" customWidth="1"/>
    <col min="27" max="27" width="8.8984375" style="4"/>
    <col min="30" max="30" width="12.3984375" style="4" customWidth="1"/>
    <col min="32" max="32" width="11.8984375" style="4" customWidth="1"/>
    <col min="33" max="33" width="15.59765625" customWidth="1"/>
    <col min="34" max="34" width="17.3984375" style="4" customWidth="1"/>
    <col min="35" max="35" width="13.19921875" customWidth="1"/>
    <col min="36" max="36" width="15.09765625" customWidth="1"/>
    <col min="37" max="37" width="11.19921875" style="4" customWidth="1"/>
    <col min="40" max="40" width="12.59765625" style="6" customWidth="1"/>
  </cols>
  <sheetData>
    <row r="1" spans="1:42">
      <c r="A1" t="s">
        <v>38</v>
      </c>
      <c r="B1" t="s">
        <v>835</v>
      </c>
      <c r="C1" t="s">
        <v>39</v>
      </c>
      <c r="E1" t="s">
        <v>839</v>
      </c>
      <c r="F1" t="s">
        <v>40</v>
      </c>
      <c r="I1" t="s">
        <v>2252</v>
      </c>
      <c r="J1" t="s">
        <v>41</v>
      </c>
      <c r="K1" t="s">
        <v>3550</v>
      </c>
      <c r="L1" t="s">
        <v>42</v>
      </c>
      <c r="O1" t="s">
        <v>21</v>
      </c>
      <c r="P1" t="s">
        <v>3553</v>
      </c>
      <c r="R1" s="4" t="s">
        <v>3554</v>
      </c>
      <c r="T1" s="5" t="s">
        <v>31</v>
      </c>
      <c r="W1" s="4" t="s">
        <v>21</v>
      </c>
      <c r="X1" t="s">
        <v>3558</v>
      </c>
      <c r="Y1" s="4" t="s">
        <v>33</v>
      </c>
      <c r="Z1">
        <f>COUNTBLANK(Y2:Y1310)</f>
        <v>0</v>
      </c>
      <c r="AA1" s="4" t="s">
        <v>43</v>
      </c>
      <c r="AB1" t="s">
        <v>3563</v>
      </c>
      <c r="AC1" t="s">
        <v>3562</v>
      </c>
      <c r="AD1" s="4" t="s">
        <v>36</v>
      </c>
      <c r="AF1" s="4" t="s">
        <v>44</v>
      </c>
      <c r="AG1" t="s">
        <v>3568</v>
      </c>
      <c r="AH1" s="4" t="s">
        <v>45</v>
      </c>
      <c r="AI1" t="s">
        <v>3570</v>
      </c>
      <c r="AJ1" t="s">
        <v>3571</v>
      </c>
      <c r="AK1" s="4" t="s">
        <v>45</v>
      </c>
      <c r="AL1" t="s">
        <v>3572</v>
      </c>
      <c r="AN1" s="6" t="s">
        <v>31</v>
      </c>
      <c r="AO1" t="s">
        <v>3581</v>
      </c>
      <c r="AP1" t="s">
        <v>3585</v>
      </c>
    </row>
    <row r="2" spans="1:42">
      <c r="A2">
        <v>1</v>
      </c>
      <c r="B2" t="str">
        <f>IF(A2=1,"First Class",IF(A2=2,"Second Class",IF(A2=3,"Third Class"," ")))</f>
        <v>First Class</v>
      </c>
      <c r="C2">
        <v>1</v>
      </c>
      <c r="D2">
        <f>COUNTBLANK(C2:C1310)</f>
        <v>0</v>
      </c>
      <c r="E2" t="str">
        <f>IF(C2=1,"Survived",IF(C2=0,"Died"))</f>
        <v>Survived</v>
      </c>
      <c r="F2" t="s">
        <v>841</v>
      </c>
      <c r="G2" t="s">
        <v>842</v>
      </c>
      <c r="H2" t="s">
        <v>843</v>
      </c>
      <c r="I2" t="str">
        <f>_xlfn.CONCAT(G2," ",F2," ",H2)</f>
        <v>Miss. Allen Elisabeth</v>
      </c>
      <c r="J2" t="s">
        <v>47</v>
      </c>
      <c r="K2" t="str">
        <f>PROPER(J2)</f>
        <v>Female</v>
      </c>
      <c r="L2">
        <v>29</v>
      </c>
      <c r="M2">
        <f>COUNTBLANK(L2:L1310)</f>
        <v>0</v>
      </c>
      <c r="N2">
        <f>MEDIAN(L2:L1310)</f>
        <v>28</v>
      </c>
      <c r="O2">
        <f>IF(L2&lt;1,1,ROUND(L2,0))</f>
        <v>29</v>
      </c>
      <c r="P2">
        <v>1</v>
      </c>
      <c r="Q2">
        <f>COUNTBLANK(P2:P1310)</f>
        <v>0</v>
      </c>
      <c r="R2" s="4">
        <v>0</v>
      </c>
      <c r="S2">
        <f>COUNTBLANK(R2:R1310)</f>
        <v>0</v>
      </c>
      <c r="T2" s="5">
        <v>211.33750000000001</v>
      </c>
      <c r="U2">
        <f>COUNTBLANK(T2:T1310)</f>
        <v>0</v>
      </c>
      <c r="V2">
        <f>MEDIAN(T2:T1310)</f>
        <v>14.4542</v>
      </c>
      <c r="W2" s="4">
        <v>29</v>
      </c>
      <c r="X2" t="str">
        <f>IF(W2&lt;10,"Child",IF(W2&lt;18,"Teenager",IF(W2&lt;30,"Young Adult",IF(W2&lt;60,"Adult","Old Adult"))))</f>
        <v>Young Adult</v>
      </c>
      <c r="Y2" s="4" t="s">
        <v>48</v>
      </c>
      <c r="AA2" s="4" t="s">
        <v>48</v>
      </c>
      <c r="AB2" t="str">
        <f>LEFT(AA2,1)</f>
        <v>B</v>
      </c>
      <c r="AC2" t="str">
        <f>IF(AB2="","Unknown",LEFT(AB2,1))</f>
        <v>B</v>
      </c>
      <c r="AD2" s="4" t="s">
        <v>457</v>
      </c>
      <c r="AE2">
        <f>COUNTBLANK(AD2:AD1310)</f>
        <v>0</v>
      </c>
      <c r="AF2" s="4">
        <v>2</v>
      </c>
      <c r="AG2">
        <f>IF(AF2="",IF(E2=1,"Unknown","Not Applicable"),AF2)</f>
        <v>2</v>
      </c>
      <c r="AI2">
        <f>COUNTBLANK(AH2:AH1310)</f>
        <v>1188</v>
      </c>
      <c r="AJ2">
        <f>COUNT(AH2:AH1310)</f>
        <v>121</v>
      </c>
      <c r="AK2" s="4" t="s">
        <v>3573</v>
      </c>
      <c r="AL2" t="str">
        <f>IF(AK2="","Not Found","Found")</f>
        <v>Found</v>
      </c>
      <c r="AN2" s="6">
        <v>211.33750000000001</v>
      </c>
      <c r="AO2" t="str">
        <f>IF(AN2&lt;=10,"Low",IF(AN2&lt;=50,"Mid","High"))</f>
        <v>High</v>
      </c>
    </row>
    <row r="3" spans="1:42">
      <c r="A3">
        <v>1</v>
      </c>
      <c r="B3" t="str">
        <f t="shared" ref="B3:B66" si="0">IF(A3=1,"First Class",IF(A3=2,"Second Class",IF(A3=3,"Third Class"," ")))</f>
        <v>First Class</v>
      </c>
      <c r="C3">
        <v>1</v>
      </c>
      <c r="E3" t="str">
        <f t="shared" ref="E3:E66" si="1">IF(C3=1,"Survived",IF(C3=0,"Died"))</f>
        <v>Survived</v>
      </c>
      <c r="F3" t="s">
        <v>844</v>
      </c>
      <c r="G3" t="s">
        <v>845</v>
      </c>
      <c r="H3" t="s">
        <v>846</v>
      </c>
      <c r="I3" t="str">
        <f t="shared" ref="I3:I66" si="2">_xlfn.CONCAT(G3," ",F3," ",H3)</f>
        <v>Master. Allison Hudson</v>
      </c>
      <c r="J3" t="s">
        <v>20</v>
      </c>
      <c r="K3" t="str">
        <f t="shared" ref="K3:K66" si="3">PROPER(J3)</f>
        <v>Male</v>
      </c>
      <c r="L3">
        <v>0.91669999999999996</v>
      </c>
      <c r="O3">
        <f t="shared" ref="O3:O66" si="4">IF(L3&lt;1,1,ROUND(L3,0))</f>
        <v>1</v>
      </c>
      <c r="P3">
        <v>1</v>
      </c>
      <c r="R3" s="4">
        <v>2</v>
      </c>
      <c r="T3" s="5">
        <v>151.55000000000001</v>
      </c>
      <c r="W3" s="4">
        <v>1</v>
      </c>
      <c r="X3" s="4" t="str">
        <f t="shared" ref="X3:X66" si="5">IF(W3&lt;10,"Child",IF(W3&lt;18,"Teenager",IF(W3&lt;30,"Young Adult",IF(W3&lt;60,"Adult","Old Adult"))))</f>
        <v>Child</v>
      </c>
      <c r="Y3" s="4" t="s">
        <v>50</v>
      </c>
      <c r="AA3" s="4" t="s">
        <v>50</v>
      </c>
      <c r="AB3" s="4" t="str">
        <f t="shared" ref="AB3:AB66" si="6">LEFT(AA3,1)</f>
        <v>C</v>
      </c>
      <c r="AC3" s="4" t="str">
        <f t="shared" ref="AC3:AC66" si="7">IF(AB3="","Unknown",LEFT(AB3,1))</f>
        <v>C</v>
      </c>
      <c r="AD3" s="4" t="s">
        <v>457</v>
      </c>
      <c r="AF3" s="4">
        <v>11</v>
      </c>
      <c r="AG3" s="4">
        <f t="shared" ref="AG3:AG66" si="8">IF(AF3="",IF(E3=1,"Unknown","Not Applicable"),AF3)</f>
        <v>11</v>
      </c>
      <c r="AK3" s="4" t="s">
        <v>3573</v>
      </c>
      <c r="AL3" s="4" t="str">
        <f t="shared" ref="AL3:AL66" si="9">IF(AK3="","Not Found","Found")</f>
        <v>Found</v>
      </c>
      <c r="AN3" s="6">
        <v>151.55000000000001</v>
      </c>
      <c r="AO3" s="4" t="str">
        <f t="shared" ref="AO3:AO66" si="10">IF(AN3&lt;=10,"Low",IF(AN3&lt;=50,"Mid","High"))</f>
        <v>High</v>
      </c>
    </row>
    <row r="4" spans="1:42">
      <c r="A4">
        <v>1</v>
      </c>
      <c r="B4" t="str">
        <f t="shared" si="0"/>
        <v>First Class</v>
      </c>
      <c r="C4">
        <v>0</v>
      </c>
      <c r="E4" t="str">
        <f t="shared" si="1"/>
        <v>Died</v>
      </c>
      <c r="F4" t="s">
        <v>844</v>
      </c>
      <c r="G4" t="s">
        <v>842</v>
      </c>
      <c r="H4" t="s">
        <v>847</v>
      </c>
      <c r="I4" t="str">
        <f t="shared" si="2"/>
        <v>Miss. Allison Helen</v>
      </c>
      <c r="J4" t="s">
        <v>47</v>
      </c>
      <c r="K4" t="str">
        <f t="shared" si="3"/>
        <v>Female</v>
      </c>
      <c r="L4">
        <v>2</v>
      </c>
      <c r="O4">
        <f t="shared" si="4"/>
        <v>2</v>
      </c>
      <c r="P4">
        <v>1</v>
      </c>
      <c r="R4" s="4">
        <v>2</v>
      </c>
      <c r="T4" s="5">
        <v>151.55000000000001</v>
      </c>
      <c r="W4" s="4">
        <v>2</v>
      </c>
      <c r="X4" s="4" t="str">
        <f t="shared" si="5"/>
        <v>Child</v>
      </c>
      <c r="Y4" s="4" t="s">
        <v>50</v>
      </c>
      <c r="AA4" s="4" t="s">
        <v>50</v>
      </c>
      <c r="AB4" s="4" t="str">
        <f t="shared" si="6"/>
        <v>C</v>
      </c>
      <c r="AC4" s="4" t="str">
        <f t="shared" si="7"/>
        <v>C</v>
      </c>
      <c r="AD4" s="4" t="s">
        <v>457</v>
      </c>
      <c r="AG4" s="4" t="str">
        <f t="shared" si="8"/>
        <v>Not Applicable</v>
      </c>
      <c r="AK4" s="4" t="s">
        <v>3573</v>
      </c>
      <c r="AL4" s="4" t="str">
        <f t="shared" si="9"/>
        <v>Found</v>
      </c>
      <c r="AN4" s="6">
        <v>151.55000000000001</v>
      </c>
      <c r="AO4" s="4" t="str">
        <f t="shared" si="10"/>
        <v>High</v>
      </c>
    </row>
    <row r="5" spans="1:42">
      <c r="A5">
        <v>1</v>
      </c>
      <c r="B5" t="str">
        <f t="shared" si="0"/>
        <v>First Class</v>
      </c>
      <c r="C5">
        <v>0</v>
      </c>
      <c r="E5" t="str">
        <f t="shared" si="1"/>
        <v>Died</v>
      </c>
      <c r="F5" t="s">
        <v>844</v>
      </c>
      <c r="G5" t="s">
        <v>848</v>
      </c>
      <c r="H5" t="s">
        <v>846</v>
      </c>
      <c r="I5" t="str">
        <f t="shared" si="2"/>
        <v>Mr. Allison Hudson</v>
      </c>
      <c r="J5" t="s">
        <v>20</v>
      </c>
      <c r="K5" t="str">
        <f t="shared" si="3"/>
        <v>Male</v>
      </c>
      <c r="L5">
        <v>30</v>
      </c>
      <c r="O5">
        <f t="shared" si="4"/>
        <v>30</v>
      </c>
      <c r="P5">
        <v>1</v>
      </c>
      <c r="R5" s="4">
        <v>2</v>
      </c>
      <c r="T5" s="5">
        <v>151.55000000000001</v>
      </c>
      <c r="W5" s="4">
        <v>30</v>
      </c>
      <c r="X5" s="4" t="str">
        <f t="shared" si="5"/>
        <v>Adult</v>
      </c>
      <c r="Y5" s="4" t="s">
        <v>50</v>
      </c>
      <c r="AA5" s="4" t="s">
        <v>50</v>
      </c>
      <c r="AB5" s="4" t="str">
        <f t="shared" si="6"/>
        <v>C</v>
      </c>
      <c r="AC5" s="4" t="str">
        <f t="shared" si="7"/>
        <v>C</v>
      </c>
      <c r="AD5" s="4" t="s">
        <v>457</v>
      </c>
      <c r="AG5" s="4" t="str">
        <f t="shared" si="8"/>
        <v>Not Applicable</v>
      </c>
      <c r="AH5" s="4">
        <v>135</v>
      </c>
      <c r="AK5" s="4">
        <v>135</v>
      </c>
      <c r="AL5" s="4" t="str">
        <f t="shared" si="9"/>
        <v>Found</v>
      </c>
      <c r="AN5" s="6">
        <v>151.55000000000001</v>
      </c>
      <c r="AO5" s="4" t="str">
        <f t="shared" si="10"/>
        <v>High</v>
      </c>
    </row>
    <row r="6" spans="1:42">
      <c r="A6">
        <v>1</v>
      </c>
      <c r="B6" t="str">
        <f t="shared" si="0"/>
        <v>First Class</v>
      </c>
      <c r="C6">
        <v>0</v>
      </c>
      <c r="E6" t="str">
        <f t="shared" si="1"/>
        <v>Died</v>
      </c>
      <c r="F6" t="s">
        <v>844</v>
      </c>
      <c r="G6" t="s">
        <v>849</v>
      </c>
      <c r="H6" t="s">
        <v>846</v>
      </c>
      <c r="I6" t="str">
        <f t="shared" si="2"/>
        <v>Mrs. Allison Hudson</v>
      </c>
      <c r="J6" t="s">
        <v>47</v>
      </c>
      <c r="K6" t="str">
        <f t="shared" si="3"/>
        <v>Female</v>
      </c>
      <c r="L6">
        <v>25</v>
      </c>
      <c r="O6">
        <f t="shared" si="4"/>
        <v>25</v>
      </c>
      <c r="P6">
        <v>1</v>
      </c>
      <c r="R6" s="4">
        <v>2</v>
      </c>
      <c r="T6" s="5">
        <v>151.55000000000001</v>
      </c>
      <c r="W6" s="4">
        <v>25</v>
      </c>
      <c r="X6" s="4" t="str">
        <f t="shared" si="5"/>
        <v>Young Adult</v>
      </c>
      <c r="Y6" s="4" t="s">
        <v>50</v>
      </c>
      <c r="AA6" s="4" t="s">
        <v>50</v>
      </c>
      <c r="AB6" s="4" t="str">
        <f t="shared" si="6"/>
        <v>C</v>
      </c>
      <c r="AC6" s="4" t="str">
        <f t="shared" si="7"/>
        <v>C</v>
      </c>
      <c r="AD6" s="4" t="s">
        <v>457</v>
      </c>
      <c r="AG6" s="4" t="str">
        <f t="shared" si="8"/>
        <v>Not Applicable</v>
      </c>
      <c r="AK6" s="4" t="s">
        <v>3573</v>
      </c>
      <c r="AL6" s="4" t="str">
        <f t="shared" si="9"/>
        <v>Found</v>
      </c>
      <c r="AN6" s="6">
        <v>151.55000000000001</v>
      </c>
      <c r="AO6" s="4" t="str">
        <f t="shared" si="10"/>
        <v>High</v>
      </c>
    </row>
    <row r="7" spans="1:42">
      <c r="A7">
        <v>1</v>
      </c>
      <c r="B7" t="str">
        <f t="shared" si="0"/>
        <v>First Class</v>
      </c>
      <c r="C7">
        <v>1</v>
      </c>
      <c r="E7" t="str">
        <f t="shared" si="1"/>
        <v>Survived</v>
      </c>
      <c r="F7" t="s">
        <v>851</v>
      </c>
      <c r="G7" t="s">
        <v>848</v>
      </c>
      <c r="H7" t="s">
        <v>852</v>
      </c>
      <c r="I7" t="str">
        <f t="shared" si="2"/>
        <v>Mr. Anderson Harry</v>
      </c>
      <c r="J7" t="s">
        <v>20</v>
      </c>
      <c r="K7" t="str">
        <f t="shared" si="3"/>
        <v>Male</v>
      </c>
      <c r="L7">
        <v>48</v>
      </c>
      <c r="O7">
        <f t="shared" si="4"/>
        <v>48</v>
      </c>
      <c r="P7">
        <v>0</v>
      </c>
      <c r="R7" s="4">
        <v>0</v>
      </c>
      <c r="T7" s="5">
        <v>26.55</v>
      </c>
      <c r="W7" s="4">
        <v>48</v>
      </c>
      <c r="X7" s="4" t="str">
        <f t="shared" si="5"/>
        <v>Adult</v>
      </c>
      <c r="Y7" s="4" t="s">
        <v>52</v>
      </c>
      <c r="AA7" s="4" t="s">
        <v>52</v>
      </c>
      <c r="AB7" s="4" t="str">
        <f t="shared" si="6"/>
        <v>E</v>
      </c>
      <c r="AC7" s="4" t="str">
        <f t="shared" si="7"/>
        <v>E</v>
      </c>
      <c r="AD7" s="4" t="s">
        <v>457</v>
      </c>
      <c r="AF7" s="4">
        <v>3</v>
      </c>
      <c r="AG7" s="4">
        <f t="shared" si="8"/>
        <v>3</v>
      </c>
      <c r="AK7" s="4" t="s">
        <v>3573</v>
      </c>
      <c r="AL7" s="4" t="str">
        <f t="shared" si="9"/>
        <v>Found</v>
      </c>
      <c r="AN7" s="6">
        <v>26.55</v>
      </c>
      <c r="AO7" s="4" t="str">
        <f t="shared" si="10"/>
        <v>Mid</v>
      </c>
    </row>
    <row r="8" spans="1:42">
      <c r="A8">
        <v>1</v>
      </c>
      <c r="B8" t="str">
        <f t="shared" si="0"/>
        <v>First Class</v>
      </c>
      <c r="C8">
        <v>1</v>
      </c>
      <c r="E8" t="str">
        <f t="shared" si="1"/>
        <v>Survived</v>
      </c>
      <c r="F8" t="s">
        <v>853</v>
      </c>
      <c r="G8" t="s">
        <v>842</v>
      </c>
      <c r="H8" t="s">
        <v>854</v>
      </c>
      <c r="I8" t="str">
        <f t="shared" si="2"/>
        <v>Miss. Andrews Kornelia</v>
      </c>
      <c r="J8" t="s">
        <v>47</v>
      </c>
      <c r="K8" t="str">
        <f t="shared" si="3"/>
        <v>Female</v>
      </c>
      <c r="L8">
        <v>63</v>
      </c>
      <c r="O8">
        <f t="shared" si="4"/>
        <v>63</v>
      </c>
      <c r="P8">
        <v>1</v>
      </c>
      <c r="R8" s="4">
        <v>0</v>
      </c>
      <c r="T8" s="5">
        <v>77.958299999999994</v>
      </c>
      <c r="W8" s="4">
        <v>63</v>
      </c>
      <c r="X8" s="4" t="str">
        <f t="shared" si="5"/>
        <v>Old Adult</v>
      </c>
      <c r="Y8" s="4" t="s">
        <v>54</v>
      </c>
      <c r="AA8" s="4" t="s">
        <v>54</v>
      </c>
      <c r="AB8" s="4" t="str">
        <f t="shared" si="6"/>
        <v>D</v>
      </c>
      <c r="AC8" s="4" t="str">
        <f t="shared" si="7"/>
        <v>D</v>
      </c>
      <c r="AD8" s="4" t="s">
        <v>457</v>
      </c>
      <c r="AF8" s="4">
        <v>10</v>
      </c>
      <c r="AG8" s="4">
        <f t="shared" si="8"/>
        <v>10</v>
      </c>
      <c r="AK8" s="4" t="s">
        <v>3573</v>
      </c>
      <c r="AL8" s="4" t="str">
        <f t="shared" si="9"/>
        <v>Found</v>
      </c>
      <c r="AN8" s="6">
        <v>77.958299999999994</v>
      </c>
      <c r="AO8" s="4" t="str">
        <f t="shared" si="10"/>
        <v>High</v>
      </c>
    </row>
    <row r="9" spans="1:42">
      <c r="A9">
        <v>1</v>
      </c>
      <c r="B9" t="str">
        <f t="shared" si="0"/>
        <v>First Class</v>
      </c>
      <c r="C9">
        <v>0</v>
      </c>
      <c r="E9" t="str">
        <f t="shared" si="1"/>
        <v>Died</v>
      </c>
      <c r="F9" t="s">
        <v>853</v>
      </c>
      <c r="G9" t="s">
        <v>848</v>
      </c>
      <c r="H9" t="s">
        <v>855</v>
      </c>
      <c r="I9" t="str">
        <f t="shared" si="2"/>
        <v>Mr. Andrews Thomas</v>
      </c>
      <c r="J9" t="s">
        <v>20</v>
      </c>
      <c r="K9" t="str">
        <f t="shared" si="3"/>
        <v>Male</v>
      </c>
      <c r="L9">
        <v>39</v>
      </c>
      <c r="O9">
        <f t="shared" si="4"/>
        <v>39</v>
      </c>
      <c r="P9">
        <v>0</v>
      </c>
      <c r="R9" s="4">
        <v>0</v>
      </c>
      <c r="T9" s="5">
        <v>0</v>
      </c>
      <c r="W9" s="4">
        <v>39</v>
      </c>
      <c r="X9" s="4" t="str">
        <f t="shared" si="5"/>
        <v>Adult</v>
      </c>
      <c r="Y9" s="4" t="s">
        <v>56</v>
      </c>
      <c r="AA9" s="4" t="s">
        <v>56</v>
      </c>
      <c r="AB9" s="4" t="str">
        <f t="shared" si="6"/>
        <v>A</v>
      </c>
      <c r="AC9" s="4" t="str">
        <f t="shared" si="7"/>
        <v>A</v>
      </c>
      <c r="AD9" s="4" t="s">
        <v>457</v>
      </c>
      <c r="AG9" s="4" t="str">
        <f t="shared" si="8"/>
        <v>Not Applicable</v>
      </c>
      <c r="AK9" s="4" t="s">
        <v>3573</v>
      </c>
      <c r="AL9" s="4" t="str">
        <f t="shared" si="9"/>
        <v>Found</v>
      </c>
      <c r="AN9" s="6">
        <v>0</v>
      </c>
      <c r="AO9" s="4" t="str">
        <f t="shared" si="10"/>
        <v>Low</v>
      </c>
    </row>
    <row r="10" spans="1:42">
      <c r="A10">
        <v>1</v>
      </c>
      <c r="B10" t="str">
        <f t="shared" si="0"/>
        <v>First Class</v>
      </c>
      <c r="C10">
        <v>1</v>
      </c>
      <c r="E10" t="str">
        <f t="shared" si="1"/>
        <v>Survived</v>
      </c>
      <c r="F10" t="s">
        <v>856</v>
      </c>
      <c r="G10" t="s">
        <v>849</v>
      </c>
      <c r="H10" t="s">
        <v>857</v>
      </c>
      <c r="I10" t="str">
        <f t="shared" si="2"/>
        <v>Mrs. Appleton Edward</v>
      </c>
      <c r="J10" t="s">
        <v>47</v>
      </c>
      <c r="K10" t="str">
        <f t="shared" si="3"/>
        <v>Female</v>
      </c>
      <c r="L10">
        <v>53</v>
      </c>
      <c r="O10">
        <f t="shared" si="4"/>
        <v>53</v>
      </c>
      <c r="P10">
        <v>2</v>
      </c>
      <c r="R10" s="4">
        <v>0</v>
      </c>
      <c r="T10" s="5">
        <v>51.479199999999999</v>
      </c>
      <c r="W10" s="4">
        <v>53</v>
      </c>
      <c r="X10" s="4" t="str">
        <f t="shared" si="5"/>
        <v>Adult</v>
      </c>
      <c r="Y10" s="4" t="s">
        <v>58</v>
      </c>
      <c r="AA10" s="4" t="s">
        <v>58</v>
      </c>
      <c r="AB10" s="4" t="str">
        <f t="shared" si="6"/>
        <v>C</v>
      </c>
      <c r="AC10" s="4" t="str">
        <f t="shared" si="7"/>
        <v>C</v>
      </c>
      <c r="AD10" s="4" t="s">
        <v>457</v>
      </c>
      <c r="AF10" s="4" t="s">
        <v>59</v>
      </c>
      <c r="AG10" s="4" t="str">
        <f t="shared" si="8"/>
        <v>D</v>
      </c>
      <c r="AK10" s="4" t="s">
        <v>3573</v>
      </c>
      <c r="AL10" s="4" t="str">
        <f t="shared" si="9"/>
        <v>Found</v>
      </c>
      <c r="AN10" s="6">
        <v>51.479199999999999</v>
      </c>
      <c r="AO10" s="4" t="str">
        <f t="shared" si="10"/>
        <v>High</v>
      </c>
    </row>
    <row r="11" spans="1:42">
      <c r="A11">
        <v>1</v>
      </c>
      <c r="B11" t="str">
        <f t="shared" si="0"/>
        <v>First Class</v>
      </c>
      <c r="C11">
        <v>0</v>
      </c>
      <c r="E11" t="str">
        <f t="shared" si="1"/>
        <v>Died</v>
      </c>
      <c r="F11" t="s">
        <v>858</v>
      </c>
      <c r="G11" t="s">
        <v>848</v>
      </c>
      <c r="H11" t="s">
        <v>859</v>
      </c>
      <c r="I11" t="str">
        <f t="shared" si="2"/>
        <v>Mr. Artagaveytia Ramon</v>
      </c>
      <c r="J11" t="s">
        <v>20</v>
      </c>
      <c r="K11" t="str">
        <f t="shared" si="3"/>
        <v>Male</v>
      </c>
      <c r="L11">
        <v>71</v>
      </c>
      <c r="O11">
        <f t="shared" si="4"/>
        <v>71</v>
      </c>
      <c r="P11">
        <v>0</v>
      </c>
      <c r="R11" s="4">
        <v>0</v>
      </c>
      <c r="T11" s="5">
        <v>49.504199999999997</v>
      </c>
      <c r="W11" s="4">
        <v>71</v>
      </c>
      <c r="X11" s="4" t="str">
        <f t="shared" si="5"/>
        <v>Old Adult</v>
      </c>
      <c r="Y11" s="4" t="s">
        <v>3561</v>
      </c>
      <c r="AB11" s="4" t="str">
        <f t="shared" si="6"/>
        <v/>
      </c>
      <c r="AC11" s="4" t="str">
        <f t="shared" si="7"/>
        <v>Unknown</v>
      </c>
      <c r="AD11" s="4" t="s">
        <v>3566</v>
      </c>
      <c r="AG11" s="4" t="str">
        <f t="shared" si="8"/>
        <v>Not Applicable</v>
      </c>
      <c r="AH11" s="4">
        <v>22</v>
      </c>
      <c r="AK11" s="4">
        <v>22</v>
      </c>
      <c r="AL11" s="4" t="str">
        <f t="shared" si="9"/>
        <v>Found</v>
      </c>
      <c r="AN11" s="6">
        <v>49.504199999999997</v>
      </c>
      <c r="AO11" s="4" t="str">
        <f t="shared" si="10"/>
        <v>Mid</v>
      </c>
    </row>
    <row r="12" spans="1:42">
      <c r="A12">
        <v>1</v>
      </c>
      <c r="B12" t="str">
        <f t="shared" si="0"/>
        <v>First Class</v>
      </c>
      <c r="C12">
        <v>0</v>
      </c>
      <c r="E12" t="str">
        <f t="shared" si="1"/>
        <v>Died</v>
      </c>
      <c r="F12" t="s">
        <v>860</v>
      </c>
      <c r="G12" t="s">
        <v>861</v>
      </c>
      <c r="H12" t="s">
        <v>862</v>
      </c>
      <c r="I12" t="str">
        <f t="shared" si="2"/>
        <v>Col. Astor John</v>
      </c>
      <c r="J12" t="s">
        <v>20</v>
      </c>
      <c r="K12" t="str">
        <f t="shared" si="3"/>
        <v>Male</v>
      </c>
      <c r="L12">
        <v>47</v>
      </c>
      <c r="O12">
        <f t="shared" si="4"/>
        <v>47</v>
      </c>
      <c r="P12">
        <v>1</v>
      </c>
      <c r="R12" s="4">
        <v>0</v>
      </c>
      <c r="T12" s="5">
        <v>227.52500000000001</v>
      </c>
      <c r="W12" s="4">
        <v>47</v>
      </c>
      <c r="X12" s="4" t="str">
        <f t="shared" si="5"/>
        <v>Adult</v>
      </c>
      <c r="Y12" s="4" t="s">
        <v>65</v>
      </c>
      <c r="AA12" s="4" t="s">
        <v>65</v>
      </c>
      <c r="AB12" s="4" t="str">
        <f t="shared" si="6"/>
        <v>C</v>
      </c>
      <c r="AC12" s="4" t="str">
        <f t="shared" si="7"/>
        <v>C</v>
      </c>
      <c r="AD12" s="4" t="s">
        <v>3566</v>
      </c>
      <c r="AG12" s="4" t="str">
        <f t="shared" si="8"/>
        <v>Not Applicable</v>
      </c>
      <c r="AH12" s="4">
        <v>124</v>
      </c>
      <c r="AK12" s="4">
        <v>124</v>
      </c>
      <c r="AL12" s="4" t="str">
        <f t="shared" si="9"/>
        <v>Found</v>
      </c>
      <c r="AN12" s="6">
        <v>227.52500000000001</v>
      </c>
      <c r="AO12" s="4" t="str">
        <f t="shared" si="10"/>
        <v>High</v>
      </c>
    </row>
    <row r="13" spans="1:42">
      <c r="A13">
        <v>1</v>
      </c>
      <c r="B13" t="str">
        <f t="shared" si="0"/>
        <v>First Class</v>
      </c>
      <c r="C13">
        <v>1</v>
      </c>
      <c r="E13" t="str">
        <f t="shared" si="1"/>
        <v>Survived</v>
      </c>
      <c r="F13" t="s">
        <v>860</v>
      </c>
      <c r="G13" t="s">
        <v>849</v>
      </c>
      <c r="H13" t="s">
        <v>862</v>
      </c>
      <c r="I13" t="str">
        <f t="shared" si="2"/>
        <v>Mrs. Astor John</v>
      </c>
      <c r="J13" t="s">
        <v>47</v>
      </c>
      <c r="K13" t="str">
        <f t="shared" si="3"/>
        <v>Female</v>
      </c>
      <c r="L13">
        <v>18</v>
      </c>
      <c r="O13">
        <f t="shared" si="4"/>
        <v>18</v>
      </c>
      <c r="P13">
        <v>1</v>
      </c>
      <c r="R13" s="4">
        <v>0</v>
      </c>
      <c r="T13" s="5">
        <v>227.52500000000001</v>
      </c>
      <c r="W13" s="4">
        <v>18</v>
      </c>
      <c r="X13" s="4" t="str">
        <f t="shared" si="5"/>
        <v>Young Adult</v>
      </c>
      <c r="Y13" s="4" t="s">
        <v>65</v>
      </c>
      <c r="AA13" s="4" t="s">
        <v>65</v>
      </c>
      <c r="AB13" s="4" t="str">
        <f t="shared" si="6"/>
        <v>C</v>
      </c>
      <c r="AC13" s="4" t="str">
        <f t="shared" si="7"/>
        <v>C</v>
      </c>
      <c r="AD13" s="4" t="s">
        <v>3566</v>
      </c>
      <c r="AF13" s="4">
        <v>4</v>
      </c>
      <c r="AG13" s="4">
        <f t="shared" si="8"/>
        <v>4</v>
      </c>
      <c r="AK13" s="4" t="s">
        <v>3573</v>
      </c>
      <c r="AL13" s="4" t="str">
        <f t="shared" si="9"/>
        <v>Found</v>
      </c>
      <c r="AN13" s="6">
        <v>227.52500000000001</v>
      </c>
      <c r="AO13" s="4" t="str">
        <f t="shared" si="10"/>
        <v>High</v>
      </c>
    </row>
    <row r="14" spans="1:42">
      <c r="A14">
        <v>1</v>
      </c>
      <c r="B14" t="str">
        <f t="shared" si="0"/>
        <v>First Class</v>
      </c>
      <c r="C14">
        <v>1</v>
      </c>
      <c r="E14" t="str">
        <f t="shared" si="1"/>
        <v>Survived</v>
      </c>
      <c r="F14" t="s">
        <v>864</v>
      </c>
      <c r="G14" t="s">
        <v>865</v>
      </c>
      <c r="H14" t="s">
        <v>866</v>
      </c>
      <c r="I14" t="str">
        <f t="shared" si="2"/>
        <v>Mme. Aubart Leontine</v>
      </c>
      <c r="J14" t="s">
        <v>47</v>
      </c>
      <c r="K14" t="str">
        <f t="shared" si="3"/>
        <v>Female</v>
      </c>
      <c r="L14">
        <v>24</v>
      </c>
      <c r="O14">
        <f t="shared" si="4"/>
        <v>24</v>
      </c>
      <c r="P14">
        <v>0</v>
      </c>
      <c r="R14" s="4">
        <v>0</v>
      </c>
      <c r="T14" s="5">
        <v>69.3</v>
      </c>
      <c r="W14" s="4">
        <v>24</v>
      </c>
      <c r="X14" s="4" t="str">
        <f t="shared" si="5"/>
        <v>Young Adult</v>
      </c>
      <c r="Y14" s="4" t="s">
        <v>67</v>
      </c>
      <c r="AA14" s="4" t="s">
        <v>67</v>
      </c>
      <c r="AB14" s="4" t="str">
        <f t="shared" si="6"/>
        <v>B</v>
      </c>
      <c r="AC14" s="4" t="str">
        <f t="shared" si="7"/>
        <v>B</v>
      </c>
      <c r="AD14" s="4" t="s">
        <v>3566</v>
      </c>
      <c r="AF14" s="4">
        <v>9</v>
      </c>
      <c r="AG14" s="4">
        <f t="shared" si="8"/>
        <v>9</v>
      </c>
      <c r="AK14" s="4" t="s">
        <v>3573</v>
      </c>
      <c r="AL14" s="4" t="str">
        <f t="shared" si="9"/>
        <v>Found</v>
      </c>
      <c r="AN14" s="6">
        <v>69.3</v>
      </c>
      <c r="AO14" s="4" t="str">
        <f t="shared" si="10"/>
        <v>High</v>
      </c>
    </row>
    <row r="15" spans="1:42">
      <c r="A15">
        <v>1</v>
      </c>
      <c r="B15" t="str">
        <f t="shared" si="0"/>
        <v>First Class</v>
      </c>
      <c r="C15">
        <v>1</v>
      </c>
      <c r="E15" t="str">
        <f t="shared" si="1"/>
        <v>Survived</v>
      </c>
      <c r="F15" t="s">
        <v>867</v>
      </c>
      <c r="G15" t="s">
        <v>842</v>
      </c>
      <c r="H15" t="s">
        <v>868</v>
      </c>
      <c r="I15" t="str">
        <f t="shared" si="2"/>
        <v>Miss. Barber Ellen</v>
      </c>
      <c r="J15" t="s">
        <v>47</v>
      </c>
      <c r="K15" t="str">
        <f t="shared" si="3"/>
        <v>Female</v>
      </c>
      <c r="L15">
        <v>26</v>
      </c>
      <c r="O15">
        <f t="shared" si="4"/>
        <v>26</v>
      </c>
      <c r="P15">
        <v>0</v>
      </c>
      <c r="R15" s="4">
        <v>0</v>
      </c>
      <c r="T15" s="5">
        <v>78.849999999999994</v>
      </c>
      <c r="W15" s="4">
        <v>26</v>
      </c>
      <c r="X15" s="4" t="str">
        <f t="shared" si="5"/>
        <v>Young Adult</v>
      </c>
      <c r="Y15" s="4" t="s">
        <v>3561</v>
      </c>
      <c r="AB15" s="4" t="str">
        <f t="shared" si="6"/>
        <v/>
      </c>
      <c r="AC15" s="4" t="str">
        <f t="shared" si="7"/>
        <v>Unknown</v>
      </c>
      <c r="AD15" s="4" t="s">
        <v>457</v>
      </c>
      <c r="AF15" s="4">
        <v>6</v>
      </c>
      <c r="AG15" s="4">
        <f t="shared" si="8"/>
        <v>6</v>
      </c>
      <c r="AK15" s="4" t="s">
        <v>3573</v>
      </c>
      <c r="AL15" s="4" t="str">
        <f t="shared" si="9"/>
        <v>Found</v>
      </c>
      <c r="AN15" s="6">
        <v>78.849999999999994</v>
      </c>
      <c r="AO15" s="4" t="str">
        <f t="shared" si="10"/>
        <v>High</v>
      </c>
    </row>
    <row r="16" spans="1:42">
      <c r="A16">
        <v>1</v>
      </c>
      <c r="B16" t="str">
        <f t="shared" si="0"/>
        <v>First Class</v>
      </c>
      <c r="C16">
        <v>1</v>
      </c>
      <c r="E16" t="str">
        <f t="shared" si="1"/>
        <v>Survived</v>
      </c>
      <c r="F16" t="s">
        <v>870</v>
      </c>
      <c r="G16" t="s">
        <v>848</v>
      </c>
      <c r="H16" t="s">
        <v>871</v>
      </c>
      <c r="I16" t="str">
        <f t="shared" si="2"/>
        <v>Mr. Barkworth Algernon</v>
      </c>
      <c r="J16" t="s">
        <v>20</v>
      </c>
      <c r="K16" t="str">
        <f t="shared" si="3"/>
        <v>Male</v>
      </c>
      <c r="L16">
        <v>80</v>
      </c>
      <c r="O16">
        <f t="shared" si="4"/>
        <v>80</v>
      </c>
      <c r="P16">
        <v>0</v>
      </c>
      <c r="R16" s="4">
        <v>0</v>
      </c>
      <c r="T16" s="5">
        <v>30</v>
      </c>
      <c r="W16" s="4">
        <v>80</v>
      </c>
      <c r="X16" s="4" t="str">
        <f t="shared" si="5"/>
        <v>Old Adult</v>
      </c>
      <c r="Y16" s="4" t="s">
        <v>69</v>
      </c>
      <c r="AA16" s="4" t="s">
        <v>69</v>
      </c>
      <c r="AB16" s="4" t="str">
        <f t="shared" si="6"/>
        <v>A</v>
      </c>
      <c r="AC16" s="4" t="str">
        <f t="shared" si="7"/>
        <v>A</v>
      </c>
      <c r="AD16" s="4" t="s">
        <v>457</v>
      </c>
      <c r="AF16" s="4" t="s">
        <v>70</v>
      </c>
      <c r="AG16" s="4" t="str">
        <f t="shared" si="8"/>
        <v>B</v>
      </c>
      <c r="AK16" s="4" t="s">
        <v>3573</v>
      </c>
      <c r="AL16" s="4" t="str">
        <f t="shared" si="9"/>
        <v>Found</v>
      </c>
      <c r="AN16" s="6">
        <v>30</v>
      </c>
      <c r="AO16" s="4" t="str">
        <f t="shared" si="10"/>
        <v>Mid</v>
      </c>
    </row>
    <row r="17" spans="1:41">
      <c r="A17">
        <v>1</v>
      </c>
      <c r="B17" t="str">
        <f t="shared" si="0"/>
        <v>First Class</v>
      </c>
      <c r="C17">
        <v>0</v>
      </c>
      <c r="E17" t="str">
        <f t="shared" si="1"/>
        <v>Died</v>
      </c>
      <c r="F17" t="s">
        <v>874</v>
      </c>
      <c r="G17" t="s">
        <v>848</v>
      </c>
      <c r="H17" t="s">
        <v>862</v>
      </c>
      <c r="I17" t="str">
        <f t="shared" si="2"/>
        <v>Mr. Baumann John</v>
      </c>
      <c r="J17" t="s">
        <v>20</v>
      </c>
      <c r="K17" t="str">
        <f t="shared" si="3"/>
        <v>Male</v>
      </c>
      <c r="L17">
        <v>28</v>
      </c>
      <c r="O17">
        <f t="shared" si="4"/>
        <v>28</v>
      </c>
      <c r="P17">
        <v>0</v>
      </c>
      <c r="R17" s="4">
        <v>0</v>
      </c>
      <c r="T17" s="5">
        <v>25.925000000000001</v>
      </c>
      <c r="W17" s="4">
        <v>28</v>
      </c>
      <c r="X17" s="4" t="str">
        <f t="shared" si="5"/>
        <v>Young Adult</v>
      </c>
      <c r="Y17" s="4" t="s">
        <v>3561</v>
      </c>
      <c r="AB17" s="4" t="str">
        <f t="shared" si="6"/>
        <v/>
      </c>
      <c r="AC17" s="4" t="str">
        <f t="shared" si="7"/>
        <v>Unknown</v>
      </c>
      <c r="AD17" s="4" t="s">
        <v>457</v>
      </c>
      <c r="AG17" s="4" t="str">
        <f t="shared" si="8"/>
        <v>Not Applicable</v>
      </c>
      <c r="AK17" s="4" t="s">
        <v>3573</v>
      </c>
      <c r="AL17" s="4" t="str">
        <f t="shared" si="9"/>
        <v>Found</v>
      </c>
      <c r="AN17" s="6">
        <v>25.925000000000001</v>
      </c>
      <c r="AO17" s="4" t="str">
        <f t="shared" si="10"/>
        <v>Mid</v>
      </c>
    </row>
    <row r="18" spans="1:41">
      <c r="A18">
        <v>1</v>
      </c>
      <c r="B18" t="str">
        <f t="shared" si="0"/>
        <v>First Class</v>
      </c>
      <c r="C18">
        <v>0</v>
      </c>
      <c r="E18" t="str">
        <f t="shared" si="1"/>
        <v>Died</v>
      </c>
      <c r="F18" t="s">
        <v>875</v>
      </c>
      <c r="G18" t="s">
        <v>848</v>
      </c>
      <c r="H18" t="s">
        <v>876</v>
      </c>
      <c r="I18" t="str">
        <f t="shared" si="2"/>
        <v>Mr. Baxter Quigg</v>
      </c>
      <c r="J18" t="s">
        <v>20</v>
      </c>
      <c r="K18" t="str">
        <f t="shared" si="3"/>
        <v>Male</v>
      </c>
      <c r="L18">
        <v>24</v>
      </c>
      <c r="O18">
        <f t="shared" si="4"/>
        <v>24</v>
      </c>
      <c r="P18">
        <v>0</v>
      </c>
      <c r="R18" s="4">
        <v>1</v>
      </c>
      <c r="T18" s="5">
        <v>247.52080000000001</v>
      </c>
      <c r="W18" s="4">
        <v>24</v>
      </c>
      <c r="X18" s="4" t="str">
        <f t="shared" si="5"/>
        <v>Young Adult</v>
      </c>
      <c r="Y18" s="4" t="s">
        <v>74</v>
      </c>
      <c r="AA18" s="4" t="s">
        <v>74</v>
      </c>
      <c r="AB18" s="4" t="str">
        <f t="shared" si="6"/>
        <v>B</v>
      </c>
      <c r="AC18" s="4" t="str">
        <f t="shared" si="7"/>
        <v>B</v>
      </c>
      <c r="AD18" s="4" t="s">
        <v>3566</v>
      </c>
      <c r="AG18" s="4" t="str">
        <f t="shared" si="8"/>
        <v>Not Applicable</v>
      </c>
      <c r="AK18" s="4" t="s">
        <v>3573</v>
      </c>
      <c r="AL18" s="4" t="str">
        <f t="shared" si="9"/>
        <v>Found</v>
      </c>
      <c r="AN18" s="6">
        <v>247.52080000000001</v>
      </c>
      <c r="AO18" s="4" t="str">
        <f t="shared" si="10"/>
        <v>High</v>
      </c>
    </row>
    <row r="19" spans="1:41">
      <c r="A19">
        <v>1</v>
      </c>
      <c r="B19" t="str">
        <f t="shared" si="0"/>
        <v>First Class</v>
      </c>
      <c r="C19">
        <v>1</v>
      </c>
      <c r="E19" t="str">
        <f t="shared" si="1"/>
        <v>Survived</v>
      </c>
      <c r="F19" t="s">
        <v>875</v>
      </c>
      <c r="G19" t="s">
        <v>849</v>
      </c>
      <c r="H19" t="s">
        <v>878</v>
      </c>
      <c r="I19" t="str">
        <f t="shared" si="2"/>
        <v>Mrs. Baxter James</v>
      </c>
      <c r="J19" t="s">
        <v>47</v>
      </c>
      <c r="K19" t="str">
        <f t="shared" si="3"/>
        <v>Female</v>
      </c>
      <c r="L19">
        <v>50</v>
      </c>
      <c r="O19">
        <f t="shared" si="4"/>
        <v>50</v>
      </c>
      <c r="P19">
        <v>0</v>
      </c>
      <c r="R19" s="4">
        <v>1</v>
      </c>
      <c r="T19" s="5">
        <v>247.52080000000001</v>
      </c>
      <c r="W19" s="4">
        <v>50</v>
      </c>
      <c r="X19" s="4" t="str">
        <f t="shared" si="5"/>
        <v>Adult</v>
      </c>
      <c r="Y19" s="4" t="s">
        <v>74</v>
      </c>
      <c r="AA19" s="4" t="s">
        <v>74</v>
      </c>
      <c r="AB19" s="4" t="str">
        <f t="shared" si="6"/>
        <v>B</v>
      </c>
      <c r="AC19" s="4" t="str">
        <f t="shared" si="7"/>
        <v>B</v>
      </c>
      <c r="AD19" s="4" t="s">
        <v>3566</v>
      </c>
      <c r="AF19" s="4">
        <v>6</v>
      </c>
      <c r="AG19" s="4">
        <f t="shared" si="8"/>
        <v>6</v>
      </c>
      <c r="AK19" s="4" t="s">
        <v>3573</v>
      </c>
      <c r="AL19" s="4" t="str">
        <f t="shared" si="9"/>
        <v>Found</v>
      </c>
      <c r="AN19" s="6">
        <v>247.52080000000001</v>
      </c>
      <c r="AO19" s="4" t="str">
        <f t="shared" si="10"/>
        <v>High</v>
      </c>
    </row>
    <row r="20" spans="1:41">
      <c r="A20">
        <v>1</v>
      </c>
      <c r="B20" t="str">
        <f t="shared" si="0"/>
        <v>First Class</v>
      </c>
      <c r="C20">
        <v>1</v>
      </c>
      <c r="E20" t="str">
        <f t="shared" si="1"/>
        <v>Survived</v>
      </c>
      <c r="F20" t="s">
        <v>879</v>
      </c>
      <c r="G20" t="s">
        <v>842</v>
      </c>
      <c r="H20" t="s">
        <v>880</v>
      </c>
      <c r="I20" t="str">
        <f t="shared" si="2"/>
        <v>Miss. Bazzani Albina</v>
      </c>
      <c r="J20" t="s">
        <v>47</v>
      </c>
      <c r="K20" t="str">
        <f t="shared" si="3"/>
        <v>Female</v>
      </c>
      <c r="L20">
        <v>32</v>
      </c>
      <c r="O20">
        <f t="shared" si="4"/>
        <v>32</v>
      </c>
      <c r="P20">
        <v>0</v>
      </c>
      <c r="R20" s="4">
        <v>0</v>
      </c>
      <c r="T20" s="5">
        <v>76.291700000000006</v>
      </c>
      <c r="W20" s="4">
        <v>32</v>
      </c>
      <c r="X20" s="4" t="str">
        <f t="shared" si="5"/>
        <v>Adult</v>
      </c>
      <c r="Y20" s="4" t="s">
        <v>76</v>
      </c>
      <c r="AA20" s="4" t="s">
        <v>76</v>
      </c>
      <c r="AB20" s="4" t="str">
        <f t="shared" si="6"/>
        <v>D</v>
      </c>
      <c r="AC20" s="4" t="str">
        <f t="shared" si="7"/>
        <v>D</v>
      </c>
      <c r="AD20" s="4" t="s">
        <v>3566</v>
      </c>
      <c r="AF20" s="4">
        <v>8</v>
      </c>
      <c r="AG20" s="4">
        <f t="shared" si="8"/>
        <v>8</v>
      </c>
      <c r="AK20" s="4" t="s">
        <v>3573</v>
      </c>
      <c r="AL20" s="4" t="str">
        <f t="shared" si="9"/>
        <v>Found</v>
      </c>
      <c r="AN20" s="6">
        <v>76.291700000000006</v>
      </c>
      <c r="AO20" s="4" t="str">
        <f t="shared" si="10"/>
        <v>High</v>
      </c>
    </row>
    <row r="21" spans="1:41">
      <c r="A21">
        <v>1</v>
      </c>
      <c r="B21" t="str">
        <f t="shared" si="0"/>
        <v>First Class</v>
      </c>
      <c r="C21">
        <v>0</v>
      </c>
      <c r="E21" t="str">
        <f t="shared" si="1"/>
        <v>Died</v>
      </c>
      <c r="F21" t="s">
        <v>881</v>
      </c>
      <c r="G21" t="s">
        <v>848</v>
      </c>
      <c r="H21" t="s">
        <v>882</v>
      </c>
      <c r="I21" t="str">
        <f t="shared" si="2"/>
        <v>Mr. Beattie Thomson</v>
      </c>
      <c r="J21" t="s">
        <v>20</v>
      </c>
      <c r="K21" t="str">
        <f t="shared" si="3"/>
        <v>Male</v>
      </c>
      <c r="L21">
        <v>36</v>
      </c>
      <c r="O21">
        <f t="shared" si="4"/>
        <v>36</v>
      </c>
      <c r="P21">
        <v>0</v>
      </c>
      <c r="R21" s="4">
        <v>0</v>
      </c>
      <c r="T21" s="5">
        <v>75.241699999999994</v>
      </c>
      <c r="W21" s="4">
        <v>36</v>
      </c>
      <c r="X21" s="4" t="str">
        <f t="shared" si="5"/>
        <v>Adult</v>
      </c>
      <c r="Y21" s="4" t="s">
        <v>77</v>
      </c>
      <c r="AA21" s="4" t="s">
        <v>77</v>
      </c>
      <c r="AB21" s="4" t="str">
        <f t="shared" si="6"/>
        <v>C</v>
      </c>
      <c r="AC21" s="4" t="str">
        <f t="shared" si="7"/>
        <v>C</v>
      </c>
      <c r="AD21" s="4" t="s">
        <v>3566</v>
      </c>
      <c r="AF21" s="4" t="s">
        <v>78</v>
      </c>
      <c r="AG21" s="4" t="str">
        <f t="shared" si="8"/>
        <v>A</v>
      </c>
      <c r="AK21" s="4" t="s">
        <v>3573</v>
      </c>
      <c r="AL21" s="4" t="str">
        <f t="shared" si="9"/>
        <v>Found</v>
      </c>
      <c r="AN21" s="6">
        <v>75.241699999999994</v>
      </c>
      <c r="AO21" s="4" t="str">
        <f t="shared" si="10"/>
        <v>High</v>
      </c>
    </row>
    <row r="22" spans="1:41">
      <c r="A22">
        <v>1</v>
      </c>
      <c r="B22" t="str">
        <f t="shared" si="0"/>
        <v>First Class</v>
      </c>
      <c r="C22">
        <v>1</v>
      </c>
      <c r="E22" t="str">
        <f t="shared" si="1"/>
        <v>Survived</v>
      </c>
      <c r="F22" t="s">
        <v>883</v>
      </c>
      <c r="G22" t="s">
        <v>848</v>
      </c>
      <c r="H22" t="s">
        <v>884</v>
      </c>
      <c r="I22" t="str">
        <f t="shared" si="2"/>
        <v>Mr. Beckwith Richard</v>
      </c>
      <c r="J22" t="s">
        <v>20</v>
      </c>
      <c r="K22" t="str">
        <f t="shared" si="3"/>
        <v>Male</v>
      </c>
      <c r="L22">
        <v>37</v>
      </c>
      <c r="O22">
        <f t="shared" si="4"/>
        <v>37</v>
      </c>
      <c r="P22">
        <v>1</v>
      </c>
      <c r="R22" s="4">
        <v>1</v>
      </c>
      <c r="T22" s="5">
        <v>52.554200000000002</v>
      </c>
      <c r="W22" s="4">
        <v>37</v>
      </c>
      <c r="X22" s="4" t="str">
        <f t="shared" si="5"/>
        <v>Adult</v>
      </c>
      <c r="Y22" s="4" t="s">
        <v>80</v>
      </c>
      <c r="AA22" s="4" t="s">
        <v>80</v>
      </c>
      <c r="AB22" s="4" t="str">
        <f t="shared" si="6"/>
        <v>D</v>
      </c>
      <c r="AC22" s="4" t="str">
        <f t="shared" si="7"/>
        <v>D</v>
      </c>
      <c r="AD22" s="4" t="s">
        <v>457</v>
      </c>
      <c r="AF22" s="4">
        <v>5</v>
      </c>
      <c r="AG22" s="4">
        <f t="shared" si="8"/>
        <v>5</v>
      </c>
      <c r="AK22" s="4" t="s">
        <v>3573</v>
      </c>
      <c r="AL22" s="4" t="str">
        <f t="shared" si="9"/>
        <v>Found</v>
      </c>
      <c r="AN22" s="6">
        <v>52.554200000000002</v>
      </c>
      <c r="AO22" s="4" t="str">
        <f t="shared" si="10"/>
        <v>High</v>
      </c>
    </row>
    <row r="23" spans="1:41">
      <c r="A23">
        <v>1</v>
      </c>
      <c r="B23" t="str">
        <f t="shared" si="0"/>
        <v>First Class</v>
      </c>
      <c r="C23">
        <v>1</v>
      </c>
      <c r="E23" t="str">
        <f t="shared" si="1"/>
        <v>Survived</v>
      </c>
      <c r="F23" t="s">
        <v>883</v>
      </c>
      <c r="G23" t="s">
        <v>849</v>
      </c>
      <c r="H23" t="s">
        <v>884</v>
      </c>
      <c r="I23" t="str">
        <f t="shared" si="2"/>
        <v>Mrs. Beckwith Richard</v>
      </c>
      <c r="J23" t="s">
        <v>47</v>
      </c>
      <c r="K23" t="str">
        <f t="shared" si="3"/>
        <v>Female</v>
      </c>
      <c r="L23">
        <v>47</v>
      </c>
      <c r="O23">
        <f t="shared" si="4"/>
        <v>47</v>
      </c>
      <c r="P23">
        <v>1</v>
      </c>
      <c r="R23" s="4">
        <v>1</v>
      </c>
      <c r="T23" s="5">
        <v>52.554200000000002</v>
      </c>
      <c r="W23" s="4">
        <v>47</v>
      </c>
      <c r="X23" s="4" t="str">
        <f t="shared" si="5"/>
        <v>Adult</v>
      </c>
      <c r="Y23" s="4" t="s">
        <v>80</v>
      </c>
      <c r="AA23" s="4" t="s">
        <v>80</v>
      </c>
      <c r="AB23" s="4" t="str">
        <f t="shared" si="6"/>
        <v>D</v>
      </c>
      <c r="AC23" s="4" t="str">
        <f t="shared" si="7"/>
        <v>D</v>
      </c>
      <c r="AD23" s="4" t="s">
        <v>457</v>
      </c>
      <c r="AF23" s="4">
        <v>5</v>
      </c>
      <c r="AG23" s="4">
        <f t="shared" si="8"/>
        <v>5</v>
      </c>
      <c r="AK23" s="4" t="s">
        <v>3573</v>
      </c>
      <c r="AL23" s="4" t="str">
        <f t="shared" si="9"/>
        <v>Found</v>
      </c>
      <c r="AN23" s="6">
        <v>52.554200000000002</v>
      </c>
      <c r="AO23" s="4" t="str">
        <f t="shared" si="10"/>
        <v>High</v>
      </c>
    </row>
    <row r="24" spans="1:41">
      <c r="A24">
        <v>1</v>
      </c>
      <c r="B24" t="str">
        <f t="shared" si="0"/>
        <v>First Class</v>
      </c>
      <c r="C24">
        <v>1</v>
      </c>
      <c r="E24" t="str">
        <f t="shared" si="1"/>
        <v>Survived</v>
      </c>
      <c r="F24" t="s">
        <v>886</v>
      </c>
      <c r="G24" t="s">
        <v>848</v>
      </c>
      <c r="H24" t="s">
        <v>887</v>
      </c>
      <c r="I24" t="str">
        <f t="shared" si="2"/>
        <v>Mr. Behr Karl</v>
      </c>
      <c r="J24" t="s">
        <v>20</v>
      </c>
      <c r="K24" t="str">
        <f t="shared" si="3"/>
        <v>Male</v>
      </c>
      <c r="L24">
        <v>26</v>
      </c>
      <c r="O24">
        <f t="shared" si="4"/>
        <v>26</v>
      </c>
      <c r="P24">
        <v>0</v>
      </c>
      <c r="R24" s="4">
        <v>0</v>
      </c>
      <c r="T24" s="5">
        <v>30</v>
      </c>
      <c r="W24" s="4">
        <v>26</v>
      </c>
      <c r="X24" s="4" t="str">
        <f t="shared" si="5"/>
        <v>Young Adult</v>
      </c>
      <c r="Y24" s="4" t="s">
        <v>81</v>
      </c>
      <c r="AA24" s="4" t="s">
        <v>81</v>
      </c>
      <c r="AB24" s="4" t="str">
        <f t="shared" si="6"/>
        <v>C</v>
      </c>
      <c r="AC24" s="4" t="str">
        <f t="shared" si="7"/>
        <v>C</v>
      </c>
      <c r="AD24" s="4" t="s">
        <v>3566</v>
      </c>
      <c r="AF24" s="4">
        <v>5</v>
      </c>
      <c r="AG24" s="4">
        <f t="shared" si="8"/>
        <v>5</v>
      </c>
      <c r="AK24" s="4" t="s">
        <v>3573</v>
      </c>
      <c r="AL24" s="4" t="str">
        <f t="shared" si="9"/>
        <v>Found</v>
      </c>
      <c r="AN24" s="6">
        <v>30</v>
      </c>
      <c r="AO24" s="4" t="str">
        <f t="shared" si="10"/>
        <v>Mid</v>
      </c>
    </row>
    <row r="25" spans="1:41">
      <c r="A25">
        <v>1</v>
      </c>
      <c r="B25" t="str">
        <f t="shared" si="0"/>
        <v>First Class</v>
      </c>
      <c r="C25">
        <v>1</v>
      </c>
      <c r="E25" t="str">
        <f t="shared" si="1"/>
        <v>Survived</v>
      </c>
      <c r="F25" t="s">
        <v>888</v>
      </c>
      <c r="G25" t="s">
        <v>842</v>
      </c>
      <c r="H25" t="s">
        <v>889</v>
      </c>
      <c r="I25" t="str">
        <f t="shared" si="2"/>
        <v>Miss. Bidois Rosalie</v>
      </c>
      <c r="J25" t="s">
        <v>47</v>
      </c>
      <c r="K25" t="str">
        <f t="shared" si="3"/>
        <v>Female</v>
      </c>
      <c r="L25">
        <v>42</v>
      </c>
      <c r="O25">
        <f t="shared" si="4"/>
        <v>42</v>
      </c>
      <c r="P25">
        <v>0</v>
      </c>
      <c r="R25" s="4">
        <v>0</v>
      </c>
      <c r="T25" s="5">
        <v>227.52500000000001</v>
      </c>
      <c r="W25" s="4">
        <v>42</v>
      </c>
      <c r="X25" s="4" t="str">
        <f t="shared" si="5"/>
        <v>Adult</v>
      </c>
      <c r="Y25" s="4" t="s">
        <v>3561</v>
      </c>
      <c r="AB25" s="4" t="str">
        <f t="shared" si="6"/>
        <v/>
      </c>
      <c r="AC25" s="4" t="str">
        <f t="shared" si="7"/>
        <v>Unknown</v>
      </c>
      <c r="AD25" s="4" t="s">
        <v>3566</v>
      </c>
      <c r="AF25" s="4">
        <v>4</v>
      </c>
      <c r="AG25" s="4">
        <f t="shared" si="8"/>
        <v>4</v>
      </c>
      <c r="AK25" s="4" t="s">
        <v>3573</v>
      </c>
      <c r="AL25" s="4" t="str">
        <f t="shared" si="9"/>
        <v>Found</v>
      </c>
      <c r="AN25" s="6">
        <v>227.52500000000001</v>
      </c>
      <c r="AO25" s="4" t="str">
        <f t="shared" si="10"/>
        <v>High</v>
      </c>
    </row>
    <row r="26" spans="1:41">
      <c r="A26">
        <v>1</v>
      </c>
      <c r="B26" t="str">
        <f t="shared" si="0"/>
        <v>First Class</v>
      </c>
      <c r="C26">
        <v>1</v>
      </c>
      <c r="E26" t="str">
        <f t="shared" si="1"/>
        <v>Survived</v>
      </c>
      <c r="F26" t="s">
        <v>890</v>
      </c>
      <c r="G26" t="s">
        <v>842</v>
      </c>
      <c r="H26" t="s">
        <v>868</v>
      </c>
      <c r="I26" t="str">
        <f t="shared" si="2"/>
        <v>Miss. Bird Ellen</v>
      </c>
      <c r="J26" t="s">
        <v>47</v>
      </c>
      <c r="K26" t="str">
        <f t="shared" si="3"/>
        <v>Female</v>
      </c>
      <c r="L26">
        <v>29</v>
      </c>
      <c r="O26">
        <f t="shared" si="4"/>
        <v>29</v>
      </c>
      <c r="P26">
        <v>0</v>
      </c>
      <c r="R26" s="4">
        <v>0</v>
      </c>
      <c r="T26" s="5">
        <v>221.7792</v>
      </c>
      <c r="W26" s="4">
        <v>29</v>
      </c>
      <c r="X26" s="4" t="str">
        <f t="shared" si="5"/>
        <v>Young Adult</v>
      </c>
      <c r="Y26" s="4" t="s">
        <v>83</v>
      </c>
      <c r="AA26" s="4" t="s">
        <v>83</v>
      </c>
      <c r="AB26" s="4" t="str">
        <f t="shared" si="6"/>
        <v>C</v>
      </c>
      <c r="AC26" s="4" t="str">
        <f t="shared" si="7"/>
        <v>C</v>
      </c>
      <c r="AD26" s="4" t="s">
        <v>457</v>
      </c>
      <c r="AF26" s="4">
        <v>8</v>
      </c>
      <c r="AG26" s="4">
        <f t="shared" si="8"/>
        <v>8</v>
      </c>
      <c r="AK26" s="4" t="s">
        <v>3573</v>
      </c>
      <c r="AL26" s="4" t="str">
        <f t="shared" si="9"/>
        <v>Found</v>
      </c>
      <c r="AN26" s="6">
        <v>221.7792</v>
      </c>
      <c r="AO26" s="4" t="str">
        <f t="shared" si="10"/>
        <v>High</v>
      </c>
    </row>
    <row r="27" spans="1:41">
      <c r="A27">
        <v>1</v>
      </c>
      <c r="B27" t="str">
        <f t="shared" si="0"/>
        <v>First Class</v>
      </c>
      <c r="C27">
        <v>0</v>
      </c>
      <c r="E27" t="str">
        <f t="shared" si="1"/>
        <v>Died</v>
      </c>
      <c r="F27" t="s">
        <v>891</v>
      </c>
      <c r="G27" t="s">
        <v>848</v>
      </c>
      <c r="H27" t="s">
        <v>892</v>
      </c>
      <c r="I27" t="str">
        <f t="shared" si="2"/>
        <v>Mr. Birnbaum Jakob</v>
      </c>
      <c r="J27" t="s">
        <v>20</v>
      </c>
      <c r="K27" t="str">
        <f t="shared" si="3"/>
        <v>Male</v>
      </c>
      <c r="L27">
        <v>25</v>
      </c>
      <c r="O27">
        <f t="shared" si="4"/>
        <v>25</v>
      </c>
      <c r="P27">
        <v>0</v>
      </c>
      <c r="R27" s="4">
        <v>0</v>
      </c>
      <c r="T27" s="5">
        <v>26</v>
      </c>
      <c r="W27" s="4">
        <v>25</v>
      </c>
      <c r="X27" s="4" t="str">
        <f t="shared" si="5"/>
        <v>Young Adult</v>
      </c>
      <c r="Y27" s="4" t="s">
        <v>3561</v>
      </c>
      <c r="AB27" s="4" t="str">
        <f t="shared" si="6"/>
        <v/>
      </c>
      <c r="AC27" s="4" t="str">
        <f t="shared" si="7"/>
        <v>Unknown</v>
      </c>
      <c r="AD27" s="4" t="s">
        <v>3566</v>
      </c>
      <c r="AG27" s="4" t="str">
        <f t="shared" si="8"/>
        <v>Not Applicable</v>
      </c>
      <c r="AH27" s="4">
        <v>148</v>
      </c>
      <c r="AK27" s="4">
        <v>148</v>
      </c>
      <c r="AL27" s="4" t="str">
        <f t="shared" si="9"/>
        <v>Found</v>
      </c>
      <c r="AN27" s="6">
        <v>26</v>
      </c>
      <c r="AO27" s="4" t="str">
        <f t="shared" si="10"/>
        <v>Mid</v>
      </c>
    </row>
    <row r="28" spans="1:41">
      <c r="A28">
        <v>1</v>
      </c>
      <c r="B28" t="str">
        <f t="shared" si="0"/>
        <v>First Class</v>
      </c>
      <c r="C28">
        <v>1</v>
      </c>
      <c r="E28" t="str">
        <f t="shared" si="1"/>
        <v>Survived</v>
      </c>
      <c r="F28" t="s">
        <v>893</v>
      </c>
      <c r="G28" t="s">
        <v>848</v>
      </c>
      <c r="H28" t="s">
        <v>894</v>
      </c>
      <c r="I28" t="str">
        <f t="shared" si="2"/>
        <v>Mr. Bishop Dickinson</v>
      </c>
      <c r="J28" t="s">
        <v>20</v>
      </c>
      <c r="K28" t="str">
        <f t="shared" si="3"/>
        <v>Male</v>
      </c>
      <c r="L28">
        <v>25</v>
      </c>
      <c r="O28">
        <f t="shared" si="4"/>
        <v>25</v>
      </c>
      <c r="P28">
        <v>1</v>
      </c>
      <c r="R28" s="4">
        <v>0</v>
      </c>
      <c r="T28" s="5">
        <v>91.0792</v>
      </c>
      <c r="W28" s="4">
        <v>25</v>
      </c>
      <c r="X28" s="4" t="str">
        <f t="shared" si="5"/>
        <v>Young Adult</v>
      </c>
      <c r="Y28" s="4" t="s">
        <v>85</v>
      </c>
      <c r="AA28" s="4" t="s">
        <v>85</v>
      </c>
      <c r="AB28" s="4" t="str">
        <f t="shared" si="6"/>
        <v>B</v>
      </c>
      <c r="AC28" s="4" t="str">
        <f t="shared" si="7"/>
        <v>B</v>
      </c>
      <c r="AD28" s="4" t="s">
        <v>3566</v>
      </c>
      <c r="AF28" s="4">
        <v>7</v>
      </c>
      <c r="AG28" s="4">
        <f t="shared" si="8"/>
        <v>7</v>
      </c>
      <c r="AK28" s="4" t="s">
        <v>3573</v>
      </c>
      <c r="AL28" s="4" t="str">
        <f t="shared" si="9"/>
        <v>Found</v>
      </c>
      <c r="AN28" s="6">
        <v>91.0792</v>
      </c>
      <c r="AO28" s="4" t="str">
        <f t="shared" si="10"/>
        <v>High</v>
      </c>
    </row>
    <row r="29" spans="1:41">
      <c r="A29">
        <v>1</v>
      </c>
      <c r="B29" t="str">
        <f t="shared" si="0"/>
        <v>First Class</v>
      </c>
      <c r="C29">
        <v>1</v>
      </c>
      <c r="E29" t="str">
        <f t="shared" si="1"/>
        <v>Survived</v>
      </c>
      <c r="F29" t="s">
        <v>893</v>
      </c>
      <c r="G29" t="s">
        <v>849</v>
      </c>
      <c r="H29" t="s">
        <v>894</v>
      </c>
      <c r="I29" t="str">
        <f t="shared" si="2"/>
        <v>Mrs. Bishop Dickinson</v>
      </c>
      <c r="J29" t="s">
        <v>47</v>
      </c>
      <c r="K29" t="str">
        <f t="shared" si="3"/>
        <v>Female</v>
      </c>
      <c r="L29">
        <v>19</v>
      </c>
      <c r="O29">
        <f t="shared" si="4"/>
        <v>19</v>
      </c>
      <c r="P29">
        <v>1</v>
      </c>
      <c r="R29" s="4">
        <v>0</v>
      </c>
      <c r="T29" s="5">
        <v>91.0792</v>
      </c>
      <c r="W29" s="4">
        <v>19</v>
      </c>
      <c r="X29" s="4" t="str">
        <f t="shared" si="5"/>
        <v>Young Adult</v>
      </c>
      <c r="Y29" s="4" t="s">
        <v>85</v>
      </c>
      <c r="AA29" s="4" t="s">
        <v>85</v>
      </c>
      <c r="AB29" s="4" t="str">
        <f t="shared" si="6"/>
        <v>B</v>
      </c>
      <c r="AC29" s="4" t="str">
        <f t="shared" si="7"/>
        <v>B</v>
      </c>
      <c r="AD29" s="4" t="s">
        <v>3566</v>
      </c>
      <c r="AF29" s="4">
        <v>7</v>
      </c>
      <c r="AG29" s="4">
        <f t="shared" si="8"/>
        <v>7</v>
      </c>
      <c r="AK29" s="4" t="s">
        <v>3573</v>
      </c>
      <c r="AL29" s="4" t="str">
        <f t="shared" si="9"/>
        <v>Found</v>
      </c>
      <c r="AN29" s="6">
        <v>91.0792</v>
      </c>
      <c r="AO29" s="4" t="str">
        <f t="shared" si="10"/>
        <v>High</v>
      </c>
    </row>
    <row r="30" spans="1:41">
      <c r="A30">
        <v>1</v>
      </c>
      <c r="B30" t="str">
        <f t="shared" si="0"/>
        <v>First Class</v>
      </c>
      <c r="C30">
        <v>1</v>
      </c>
      <c r="E30" t="str">
        <f t="shared" si="1"/>
        <v>Survived</v>
      </c>
      <c r="F30" t="s">
        <v>895</v>
      </c>
      <c r="G30" t="s">
        <v>842</v>
      </c>
      <c r="H30" t="s">
        <v>896</v>
      </c>
      <c r="I30" t="str">
        <f t="shared" si="2"/>
        <v>Miss. Bissette Amelia</v>
      </c>
      <c r="J30" t="s">
        <v>47</v>
      </c>
      <c r="K30" t="str">
        <f t="shared" si="3"/>
        <v>Female</v>
      </c>
      <c r="L30">
        <v>35</v>
      </c>
      <c r="O30">
        <f t="shared" si="4"/>
        <v>35</v>
      </c>
      <c r="P30">
        <v>0</v>
      </c>
      <c r="R30" s="4">
        <v>0</v>
      </c>
      <c r="T30" s="5">
        <v>135.63329999999999</v>
      </c>
      <c r="W30" s="4">
        <v>35</v>
      </c>
      <c r="X30" s="4" t="str">
        <f t="shared" si="5"/>
        <v>Adult</v>
      </c>
      <c r="Y30" s="4" t="s">
        <v>88</v>
      </c>
      <c r="AA30" s="4" t="s">
        <v>88</v>
      </c>
      <c r="AB30" s="4" t="str">
        <f t="shared" si="6"/>
        <v>C</v>
      </c>
      <c r="AC30" s="4" t="str">
        <f t="shared" si="7"/>
        <v>C</v>
      </c>
      <c r="AD30" s="4" t="s">
        <v>457</v>
      </c>
      <c r="AF30" s="4">
        <v>8</v>
      </c>
      <c r="AG30" s="4">
        <f t="shared" si="8"/>
        <v>8</v>
      </c>
      <c r="AK30" s="4" t="s">
        <v>3573</v>
      </c>
      <c r="AL30" s="4" t="str">
        <f t="shared" si="9"/>
        <v>Found</v>
      </c>
      <c r="AN30" s="6">
        <v>135.63329999999999</v>
      </c>
      <c r="AO30" s="4" t="str">
        <f t="shared" si="10"/>
        <v>High</v>
      </c>
    </row>
    <row r="31" spans="1:41">
      <c r="A31">
        <v>1</v>
      </c>
      <c r="B31" t="str">
        <f t="shared" si="0"/>
        <v>First Class</v>
      </c>
      <c r="C31">
        <v>1</v>
      </c>
      <c r="E31" t="str">
        <f t="shared" si="1"/>
        <v>Survived</v>
      </c>
      <c r="F31" t="s">
        <v>897</v>
      </c>
      <c r="G31" t="s">
        <v>848</v>
      </c>
      <c r="H31" t="s">
        <v>898</v>
      </c>
      <c r="I31" t="str">
        <f t="shared" si="2"/>
        <v>Mr. Bjornstrom-Steffansson Mauritz</v>
      </c>
      <c r="J31" t="s">
        <v>20</v>
      </c>
      <c r="K31" t="str">
        <f t="shared" si="3"/>
        <v>Male</v>
      </c>
      <c r="L31">
        <v>28</v>
      </c>
      <c r="O31">
        <f t="shared" si="4"/>
        <v>28</v>
      </c>
      <c r="P31">
        <v>0</v>
      </c>
      <c r="R31" s="4">
        <v>0</v>
      </c>
      <c r="T31" s="5">
        <v>26.55</v>
      </c>
      <c r="W31" s="4">
        <v>28</v>
      </c>
      <c r="X31" s="4" t="str">
        <f t="shared" si="5"/>
        <v>Young Adult</v>
      </c>
      <c r="Y31" s="4" t="s">
        <v>89</v>
      </c>
      <c r="AA31" s="4" t="s">
        <v>89</v>
      </c>
      <c r="AB31" s="4" t="str">
        <f t="shared" si="6"/>
        <v>C</v>
      </c>
      <c r="AC31" s="4" t="str">
        <f t="shared" si="7"/>
        <v>C</v>
      </c>
      <c r="AD31" s="4" t="s">
        <v>457</v>
      </c>
      <c r="AF31" s="4" t="s">
        <v>59</v>
      </c>
      <c r="AG31" s="4" t="str">
        <f t="shared" si="8"/>
        <v>D</v>
      </c>
      <c r="AK31" s="4" t="s">
        <v>3573</v>
      </c>
      <c r="AL31" s="4" t="str">
        <f t="shared" si="9"/>
        <v>Found</v>
      </c>
      <c r="AN31" s="6">
        <v>26.55</v>
      </c>
      <c r="AO31" s="4" t="str">
        <f t="shared" si="10"/>
        <v>Mid</v>
      </c>
    </row>
    <row r="32" spans="1:41">
      <c r="A32">
        <v>1</v>
      </c>
      <c r="B32" t="str">
        <f t="shared" si="0"/>
        <v>First Class</v>
      </c>
      <c r="C32">
        <v>0</v>
      </c>
      <c r="E32" t="str">
        <f t="shared" si="1"/>
        <v>Died</v>
      </c>
      <c r="F32" t="s">
        <v>899</v>
      </c>
      <c r="G32" t="s">
        <v>848</v>
      </c>
      <c r="H32" t="s">
        <v>900</v>
      </c>
      <c r="I32" t="str">
        <f t="shared" si="2"/>
        <v>Mr. Blackwell Stephen</v>
      </c>
      <c r="J32" t="s">
        <v>20</v>
      </c>
      <c r="K32" t="str">
        <f t="shared" si="3"/>
        <v>Male</v>
      </c>
      <c r="L32">
        <v>45</v>
      </c>
      <c r="O32">
        <f t="shared" si="4"/>
        <v>45</v>
      </c>
      <c r="P32">
        <v>0</v>
      </c>
      <c r="R32" s="4">
        <v>0</v>
      </c>
      <c r="T32" s="5">
        <v>35.5</v>
      </c>
      <c r="W32" s="4">
        <v>45</v>
      </c>
      <c r="X32" s="4" t="str">
        <f t="shared" si="5"/>
        <v>Adult</v>
      </c>
      <c r="Y32" s="4" t="s">
        <v>91</v>
      </c>
      <c r="AA32" s="4" t="s">
        <v>91</v>
      </c>
      <c r="AB32" s="4" t="str">
        <f t="shared" si="6"/>
        <v>T</v>
      </c>
      <c r="AC32" s="4" t="str">
        <f t="shared" si="7"/>
        <v>T</v>
      </c>
      <c r="AD32" s="4" t="s">
        <v>457</v>
      </c>
      <c r="AG32" s="4" t="str">
        <f t="shared" si="8"/>
        <v>Not Applicable</v>
      </c>
      <c r="AK32" s="4" t="s">
        <v>3573</v>
      </c>
      <c r="AL32" s="4" t="str">
        <f t="shared" si="9"/>
        <v>Found</v>
      </c>
      <c r="AN32" s="6">
        <v>35.5</v>
      </c>
      <c r="AO32" s="4" t="str">
        <f t="shared" si="10"/>
        <v>Mid</v>
      </c>
    </row>
    <row r="33" spans="1:41">
      <c r="A33">
        <v>1</v>
      </c>
      <c r="B33" t="str">
        <f t="shared" si="0"/>
        <v>First Class</v>
      </c>
      <c r="C33">
        <v>1</v>
      </c>
      <c r="E33" t="str">
        <f t="shared" si="1"/>
        <v>Survived</v>
      </c>
      <c r="F33" t="s">
        <v>901</v>
      </c>
      <c r="G33" t="s">
        <v>848</v>
      </c>
      <c r="H33" t="s">
        <v>872</v>
      </c>
      <c r="I33" t="str">
        <f t="shared" si="2"/>
        <v>Mr. Blank Henry</v>
      </c>
      <c r="J33" t="s">
        <v>20</v>
      </c>
      <c r="K33" t="str">
        <f t="shared" si="3"/>
        <v>Male</v>
      </c>
      <c r="L33">
        <v>40</v>
      </c>
      <c r="O33">
        <f t="shared" si="4"/>
        <v>40</v>
      </c>
      <c r="P33">
        <v>0</v>
      </c>
      <c r="R33" s="4">
        <v>0</v>
      </c>
      <c r="T33" s="5">
        <v>31</v>
      </c>
      <c r="W33" s="4">
        <v>40</v>
      </c>
      <c r="X33" s="4" t="str">
        <f t="shared" si="5"/>
        <v>Adult</v>
      </c>
      <c r="Y33" s="4" t="s">
        <v>93</v>
      </c>
      <c r="AA33" s="4" t="s">
        <v>93</v>
      </c>
      <c r="AB33" s="4" t="str">
        <f t="shared" si="6"/>
        <v>A</v>
      </c>
      <c r="AC33" s="4" t="str">
        <f t="shared" si="7"/>
        <v>A</v>
      </c>
      <c r="AD33" s="4" t="s">
        <v>3566</v>
      </c>
      <c r="AF33" s="4">
        <v>7</v>
      </c>
      <c r="AG33" s="4">
        <f t="shared" si="8"/>
        <v>7</v>
      </c>
      <c r="AK33" s="4" t="s">
        <v>3573</v>
      </c>
      <c r="AL33" s="4" t="str">
        <f t="shared" si="9"/>
        <v>Found</v>
      </c>
      <c r="AN33" s="6">
        <v>31</v>
      </c>
      <c r="AO33" s="4" t="str">
        <f t="shared" si="10"/>
        <v>Mid</v>
      </c>
    </row>
    <row r="34" spans="1:41">
      <c r="A34">
        <v>1</v>
      </c>
      <c r="B34" t="str">
        <f t="shared" si="0"/>
        <v>First Class</v>
      </c>
      <c r="C34">
        <v>1</v>
      </c>
      <c r="E34" t="str">
        <f t="shared" si="1"/>
        <v>Survived</v>
      </c>
      <c r="F34" t="s">
        <v>902</v>
      </c>
      <c r="G34" t="s">
        <v>842</v>
      </c>
      <c r="H34" t="s">
        <v>903</v>
      </c>
      <c r="I34" t="str">
        <f t="shared" si="2"/>
        <v>Miss. Bonnell Caroline</v>
      </c>
      <c r="J34" t="s">
        <v>47</v>
      </c>
      <c r="K34" t="str">
        <f t="shared" si="3"/>
        <v>Female</v>
      </c>
      <c r="L34">
        <v>30</v>
      </c>
      <c r="O34">
        <f t="shared" si="4"/>
        <v>30</v>
      </c>
      <c r="P34">
        <v>0</v>
      </c>
      <c r="R34" s="4">
        <v>0</v>
      </c>
      <c r="T34" s="5">
        <v>164.86670000000001</v>
      </c>
      <c r="W34" s="4">
        <v>30</v>
      </c>
      <c r="X34" s="4" t="str">
        <f t="shared" si="5"/>
        <v>Adult</v>
      </c>
      <c r="Y34" s="4" t="s">
        <v>95</v>
      </c>
      <c r="AA34" s="4" t="s">
        <v>95</v>
      </c>
      <c r="AB34" s="4" t="str">
        <f t="shared" si="6"/>
        <v>C</v>
      </c>
      <c r="AC34" s="4" t="str">
        <f t="shared" si="7"/>
        <v>C</v>
      </c>
      <c r="AD34" s="4" t="s">
        <v>457</v>
      </c>
      <c r="AF34" s="4">
        <v>8</v>
      </c>
      <c r="AG34" s="4">
        <f t="shared" si="8"/>
        <v>8</v>
      </c>
      <c r="AK34" s="4" t="s">
        <v>3573</v>
      </c>
      <c r="AL34" s="4" t="str">
        <f t="shared" si="9"/>
        <v>Found</v>
      </c>
      <c r="AN34" s="6">
        <v>164.86670000000001</v>
      </c>
      <c r="AO34" s="4" t="str">
        <f t="shared" si="10"/>
        <v>High</v>
      </c>
    </row>
    <row r="35" spans="1:41">
      <c r="A35">
        <v>1</v>
      </c>
      <c r="B35" t="str">
        <f t="shared" si="0"/>
        <v>First Class</v>
      </c>
      <c r="C35">
        <v>1</v>
      </c>
      <c r="E35" t="str">
        <f t="shared" si="1"/>
        <v>Survived</v>
      </c>
      <c r="F35" t="s">
        <v>902</v>
      </c>
      <c r="G35" t="s">
        <v>842</v>
      </c>
      <c r="H35" t="s">
        <v>904</v>
      </c>
      <c r="I35" t="str">
        <f t="shared" si="2"/>
        <v>Miss. Bonnell Elizabeth</v>
      </c>
      <c r="J35" t="s">
        <v>47</v>
      </c>
      <c r="K35" t="str">
        <f t="shared" si="3"/>
        <v>Female</v>
      </c>
      <c r="L35">
        <v>58</v>
      </c>
      <c r="O35">
        <f t="shared" si="4"/>
        <v>58</v>
      </c>
      <c r="P35">
        <v>0</v>
      </c>
      <c r="R35" s="4">
        <v>0</v>
      </c>
      <c r="T35" s="5">
        <v>26.55</v>
      </c>
      <c r="W35" s="4">
        <v>58</v>
      </c>
      <c r="X35" s="4" t="str">
        <f t="shared" si="5"/>
        <v>Adult</v>
      </c>
      <c r="Y35" s="4" t="s">
        <v>97</v>
      </c>
      <c r="AA35" s="4" t="s">
        <v>97</v>
      </c>
      <c r="AB35" s="4" t="str">
        <f t="shared" si="6"/>
        <v>C</v>
      </c>
      <c r="AC35" s="4" t="str">
        <f t="shared" si="7"/>
        <v>C</v>
      </c>
      <c r="AD35" s="4" t="s">
        <v>457</v>
      </c>
      <c r="AF35" s="4">
        <v>8</v>
      </c>
      <c r="AG35" s="4">
        <f t="shared" si="8"/>
        <v>8</v>
      </c>
      <c r="AK35" s="4" t="s">
        <v>3573</v>
      </c>
      <c r="AL35" s="4" t="str">
        <f t="shared" si="9"/>
        <v>Found</v>
      </c>
      <c r="AN35" s="6">
        <v>26.55</v>
      </c>
      <c r="AO35" s="4" t="str">
        <f t="shared" si="10"/>
        <v>Mid</v>
      </c>
    </row>
    <row r="36" spans="1:41">
      <c r="A36">
        <v>1</v>
      </c>
      <c r="B36" t="str">
        <f t="shared" si="0"/>
        <v>First Class</v>
      </c>
      <c r="C36">
        <v>0</v>
      </c>
      <c r="E36" t="str">
        <f t="shared" si="1"/>
        <v>Died</v>
      </c>
      <c r="F36" t="s">
        <v>905</v>
      </c>
      <c r="G36" t="s">
        <v>848</v>
      </c>
      <c r="H36" t="s">
        <v>862</v>
      </c>
      <c r="I36" t="str">
        <f t="shared" si="2"/>
        <v>Mr. Borebank John</v>
      </c>
      <c r="J36" t="s">
        <v>20</v>
      </c>
      <c r="K36" t="str">
        <f t="shared" si="3"/>
        <v>Male</v>
      </c>
      <c r="L36">
        <v>42</v>
      </c>
      <c r="O36">
        <f t="shared" si="4"/>
        <v>42</v>
      </c>
      <c r="P36">
        <v>0</v>
      </c>
      <c r="R36" s="4">
        <v>0</v>
      </c>
      <c r="T36" s="5">
        <v>26.55</v>
      </c>
      <c r="W36" s="4">
        <v>42</v>
      </c>
      <c r="X36" s="4" t="str">
        <f t="shared" si="5"/>
        <v>Adult</v>
      </c>
      <c r="Y36" s="4" t="s">
        <v>99</v>
      </c>
      <c r="AA36" s="4" t="s">
        <v>99</v>
      </c>
      <c r="AB36" s="4" t="str">
        <f t="shared" si="6"/>
        <v>D</v>
      </c>
      <c r="AC36" s="4" t="str">
        <f t="shared" si="7"/>
        <v>D</v>
      </c>
      <c r="AD36" s="4" t="s">
        <v>457</v>
      </c>
      <c r="AG36" s="4" t="str">
        <f t="shared" si="8"/>
        <v>Not Applicable</v>
      </c>
      <c r="AK36" s="4" t="s">
        <v>3573</v>
      </c>
      <c r="AL36" s="4" t="str">
        <f t="shared" si="9"/>
        <v>Found</v>
      </c>
      <c r="AN36" s="6">
        <v>26.55</v>
      </c>
      <c r="AO36" s="4" t="str">
        <f t="shared" si="10"/>
        <v>Mid</v>
      </c>
    </row>
    <row r="37" spans="1:41">
      <c r="A37">
        <v>1</v>
      </c>
      <c r="B37" t="str">
        <f t="shared" si="0"/>
        <v>First Class</v>
      </c>
      <c r="C37">
        <v>1</v>
      </c>
      <c r="E37" t="str">
        <f t="shared" si="1"/>
        <v>Survived</v>
      </c>
      <c r="F37" t="s">
        <v>906</v>
      </c>
      <c r="G37" t="s">
        <v>842</v>
      </c>
      <c r="H37" t="s">
        <v>907</v>
      </c>
      <c r="I37" t="str">
        <f t="shared" si="2"/>
        <v>Miss. Bowen Grace</v>
      </c>
      <c r="J37" t="s">
        <v>47</v>
      </c>
      <c r="K37" t="str">
        <f t="shared" si="3"/>
        <v>Female</v>
      </c>
      <c r="L37">
        <v>45</v>
      </c>
      <c r="O37">
        <f t="shared" si="4"/>
        <v>45</v>
      </c>
      <c r="P37">
        <v>0</v>
      </c>
      <c r="R37" s="4">
        <v>0</v>
      </c>
      <c r="T37" s="5">
        <v>262.375</v>
      </c>
      <c r="W37" s="4">
        <v>45</v>
      </c>
      <c r="X37" s="4" t="str">
        <f t="shared" si="5"/>
        <v>Adult</v>
      </c>
      <c r="Y37" s="4" t="s">
        <v>3561</v>
      </c>
      <c r="AB37" s="4" t="str">
        <f t="shared" si="6"/>
        <v/>
      </c>
      <c r="AC37" s="4" t="str">
        <f t="shared" si="7"/>
        <v>Unknown</v>
      </c>
      <c r="AD37" s="4" t="s">
        <v>3566</v>
      </c>
      <c r="AF37" s="4">
        <v>4</v>
      </c>
      <c r="AG37" s="4">
        <f t="shared" si="8"/>
        <v>4</v>
      </c>
      <c r="AK37" s="4" t="s">
        <v>3573</v>
      </c>
      <c r="AL37" s="4" t="str">
        <f t="shared" si="9"/>
        <v>Found</v>
      </c>
      <c r="AN37" s="6">
        <v>262.375</v>
      </c>
      <c r="AO37" s="4" t="str">
        <f t="shared" si="10"/>
        <v>High</v>
      </c>
    </row>
    <row r="38" spans="1:41">
      <c r="A38">
        <v>1</v>
      </c>
      <c r="B38" t="str">
        <f t="shared" si="0"/>
        <v>First Class</v>
      </c>
      <c r="C38">
        <v>1</v>
      </c>
      <c r="E38" t="str">
        <f t="shared" si="1"/>
        <v>Survived</v>
      </c>
      <c r="F38" t="s">
        <v>908</v>
      </c>
      <c r="G38" t="s">
        <v>842</v>
      </c>
      <c r="H38" t="s">
        <v>909</v>
      </c>
      <c r="I38" t="str">
        <f t="shared" si="2"/>
        <v>Miss. Bowerman Elsie</v>
      </c>
      <c r="J38" t="s">
        <v>47</v>
      </c>
      <c r="K38" t="str">
        <f t="shared" si="3"/>
        <v>Female</v>
      </c>
      <c r="L38">
        <v>22</v>
      </c>
      <c r="O38">
        <f t="shared" si="4"/>
        <v>22</v>
      </c>
      <c r="P38">
        <v>0</v>
      </c>
      <c r="R38" s="4">
        <v>1</v>
      </c>
      <c r="T38" s="5">
        <v>55</v>
      </c>
      <c r="W38" s="4">
        <v>22</v>
      </c>
      <c r="X38" s="4" t="str">
        <f t="shared" si="5"/>
        <v>Young Adult</v>
      </c>
      <c r="Y38" s="4" t="s">
        <v>103</v>
      </c>
      <c r="AA38" s="4" t="s">
        <v>103</v>
      </c>
      <c r="AB38" s="4" t="str">
        <f t="shared" si="6"/>
        <v>E</v>
      </c>
      <c r="AC38" s="4" t="str">
        <f t="shared" si="7"/>
        <v>E</v>
      </c>
      <c r="AD38" s="4" t="s">
        <v>457</v>
      </c>
      <c r="AF38" s="4">
        <v>6</v>
      </c>
      <c r="AG38" s="4">
        <f t="shared" si="8"/>
        <v>6</v>
      </c>
      <c r="AK38" s="4" t="s">
        <v>3573</v>
      </c>
      <c r="AL38" s="4" t="str">
        <f t="shared" si="9"/>
        <v>Found</v>
      </c>
      <c r="AN38" s="6">
        <v>55</v>
      </c>
      <c r="AO38" s="4" t="str">
        <f t="shared" si="10"/>
        <v>High</v>
      </c>
    </row>
    <row r="39" spans="1:41">
      <c r="A39">
        <v>1</v>
      </c>
      <c r="B39" t="str">
        <f t="shared" si="0"/>
        <v>First Class</v>
      </c>
      <c r="C39">
        <v>1</v>
      </c>
      <c r="E39" t="str">
        <f t="shared" si="1"/>
        <v>Survived</v>
      </c>
      <c r="F39" t="s">
        <v>911</v>
      </c>
      <c r="G39" t="s">
        <v>848</v>
      </c>
      <c r="H39" t="s">
        <v>912</v>
      </c>
      <c r="I39" t="str">
        <f t="shared" si="2"/>
        <v>Mr. Bradley George</v>
      </c>
      <c r="J39" t="s">
        <v>20</v>
      </c>
      <c r="K39" t="str">
        <f t="shared" si="3"/>
        <v>Male</v>
      </c>
      <c r="L39">
        <v>28</v>
      </c>
      <c r="O39">
        <f t="shared" si="4"/>
        <v>28</v>
      </c>
      <c r="P39">
        <v>0</v>
      </c>
      <c r="R39" s="4">
        <v>0</v>
      </c>
      <c r="T39" s="5">
        <v>26.55</v>
      </c>
      <c r="W39" s="4">
        <v>28</v>
      </c>
      <c r="X39" s="4" t="str">
        <f t="shared" si="5"/>
        <v>Young Adult</v>
      </c>
      <c r="Y39" s="4" t="s">
        <v>3561</v>
      </c>
      <c r="AB39" s="4" t="str">
        <f t="shared" si="6"/>
        <v/>
      </c>
      <c r="AC39" s="4" t="str">
        <f t="shared" si="7"/>
        <v>Unknown</v>
      </c>
      <c r="AD39" s="4" t="s">
        <v>457</v>
      </c>
      <c r="AF39" s="4">
        <v>9</v>
      </c>
      <c r="AG39" s="4">
        <f t="shared" si="8"/>
        <v>9</v>
      </c>
      <c r="AK39" s="4" t="s">
        <v>3573</v>
      </c>
      <c r="AL39" s="4" t="str">
        <f t="shared" si="9"/>
        <v>Found</v>
      </c>
      <c r="AN39" s="6">
        <v>26.55</v>
      </c>
      <c r="AO39" s="4" t="str">
        <f t="shared" si="10"/>
        <v>Mid</v>
      </c>
    </row>
    <row r="40" spans="1:41">
      <c r="A40">
        <v>1</v>
      </c>
      <c r="B40" t="str">
        <f t="shared" si="0"/>
        <v>First Class</v>
      </c>
      <c r="C40">
        <v>0</v>
      </c>
      <c r="E40" t="str">
        <f t="shared" si="1"/>
        <v>Died</v>
      </c>
      <c r="F40" t="s">
        <v>914</v>
      </c>
      <c r="G40" t="s">
        <v>848</v>
      </c>
      <c r="H40" t="s">
        <v>862</v>
      </c>
      <c r="I40" t="str">
        <f t="shared" si="2"/>
        <v>Mr. Brady John</v>
      </c>
      <c r="J40" t="s">
        <v>20</v>
      </c>
      <c r="K40" t="str">
        <f t="shared" si="3"/>
        <v>Male</v>
      </c>
      <c r="L40">
        <v>41</v>
      </c>
      <c r="O40">
        <f t="shared" si="4"/>
        <v>41</v>
      </c>
      <c r="P40">
        <v>0</v>
      </c>
      <c r="R40" s="4">
        <v>0</v>
      </c>
      <c r="T40" s="5">
        <v>30.5</v>
      </c>
      <c r="W40" s="4">
        <v>41</v>
      </c>
      <c r="X40" s="4" t="str">
        <f t="shared" si="5"/>
        <v>Adult</v>
      </c>
      <c r="Y40" s="4" t="s">
        <v>106</v>
      </c>
      <c r="AA40" s="4" t="s">
        <v>106</v>
      </c>
      <c r="AB40" s="4" t="str">
        <f t="shared" si="6"/>
        <v>A</v>
      </c>
      <c r="AC40" s="4" t="str">
        <f t="shared" si="7"/>
        <v>A</v>
      </c>
      <c r="AD40" s="4" t="s">
        <v>457</v>
      </c>
      <c r="AG40" s="4" t="str">
        <f t="shared" si="8"/>
        <v>Not Applicable</v>
      </c>
      <c r="AK40" s="4" t="s">
        <v>3573</v>
      </c>
      <c r="AL40" s="4" t="str">
        <f t="shared" si="9"/>
        <v>Found</v>
      </c>
      <c r="AN40" s="6">
        <v>30.5</v>
      </c>
      <c r="AO40" s="4" t="str">
        <f t="shared" si="10"/>
        <v>Mid</v>
      </c>
    </row>
    <row r="41" spans="1:41">
      <c r="A41">
        <v>1</v>
      </c>
      <c r="B41" t="str">
        <f t="shared" si="0"/>
        <v>First Class</v>
      </c>
      <c r="C41">
        <v>0</v>
      </c>
      <c r="E41" t="str">
        <f t="shared" si="1"/>
        <v>Died</v>
      </c>
      <c r="F41" t="s">
        <v>916</v>
      </c>
      <c r="G41" t="s">
        <v>848</v>
      </c>
      <c r="H41" t="s">
        <v>917</v>
      </c>
      <c r="I41" t="str">
        <f t="shared" si="2"/>
        <v>Mr. Brandeis Emil</v>
      </c>
      <c r="J41" t="s">
        <v>20</v>
      </c>
      <c r="K41" t="str">
        <f t="shared" si="3"/>
        <v>Male</v>
      </c>
      <c r="L41">
        <v>48</v>
      </c>
      <c r="O41">
        <f t="shared" si="4"/>
        <v>48</v>
      </c>
      <c r="P41">
        <v>0</v>
      </c>
      <c r="R41" s="4">
        <v>0</v>
      </c>
      <c r="T41" s="5">
        <v>50.495800000000003</v>
      </c>
      <c r="W41" s="4">
        <v>48</v>
      </c>
      <c r="X41" s="4" t="str">
        <f t="shared" si="5"/>
        <v>Adult</v>
      </c>
      <c r="Y41" s="4" t="s">
        <v>109</v>
      </c>
      <c r="AA41" s="4" t="s">
        <v>109</v>
      </c>
      <c r="AB41" s="4" t="str">
        <f t="shared" si="6"/>
        <v>B</v>
      </c>
      <c r="AC41" s="4" t="str">
        <f t="shared" si="7"/>
        <v>B</v>
      </c>
      <c r="AD41" s="4" t="s">
        <v>3566</v>
      </c>
      <c r="AG41" s="4" t="str">
        <f t="shared" si="8"/>
        <v>Not Applicable</v>
      </c>
      <c r="AH41" s="4">
        <v>208</v>
      </c>
      <c r="AK41" s="4">
        <v>208</v>
      </c>
      <c r="AL41" s="4" t="str">
        <f t="shared" si="9"/>
        <v>Found</v>
      </c>
      <c r="AN41" s="6">
        <v>50.495800000000003</v>
      </c>
      <c r="AO41" s="4" t="str">
        <f t="shared" si="10"/>
        <v>High</v>
      </c>
    </row>
    <row r="42" spans="1:41">
      <c r="A42">
        <v>1</v>
      </c>
      <c r="B42" t="str">
        <f t="shared" si="0"/>
        <v>First Class</v>
      </c>
      <c r="C42">
        <v>0</v>
      </c>
      <c r="E42" t="str">
        <f t="shared" si="1"/>
        <v>Died</v>
      </c>
      <c r="F42" t="s">
        <v>918</v>
      </c>
      <c r="G42" t="s">
        <v>919</v>
      </c>
      <c r="H42" t="s">
        <v>913</v>
      </c>
      <c r="I42" t="str">
        <f t="shared" si="2"/>
        <v>Dr. Brewe Arthur</v>
      </c>
      <c r="J42" t="s">
        <v>20</v>
      </c>
      <c r="K42" t="str">
        <f t="shared" si="3"/>
        <v>Male</v>
      </c>
      <c r="L42">
        <v>28</v>
      </c>
      <c r="O42">
        <f t="shared" si="4"/>
        <v>28</v>
      </c>
      <c r="P42">
        <v>0</v>
      </c>
      <c r="R42" s="4">
        <v>0</v>
      </c>
      <c r="T42" s="5">
        <v>39.6</v>
      </c>
      <c r="W42" s="4">
        <v>28</v>
      </c>
      <c r="X42" s="4" t="str">
        <f t="shared" si="5"/>
        <v>Young Adult</v>
      </c>
      <c r="Y42" s="4" t="s">
        <v>3561</v>
      </c>
      <c r="AB42" s="4" t="str">
        <f t="shared" si="6"/>
        <v/>
      </c>
      <c r="AC42" s="4" t="str">
        <f t="shared" si="7"/>
        <v>Unknown</v>
      </c>
      <c r="AD42" s="4" t="s">
        <v>3566</v>
      </c>
      <c r="AG42" s="4" t="str">
        <f t="shared" si="8"/>
        <v>Not Applicable</v>
      </c>
      <c r="AK42" s="4" t="s">
        <v>3573</v>
      </c>
      <c r="AL42" s="4" t="str">
        <f t="shared" si="9"/>
        <v>Found</v>
      </c>
      <c r="AN42" s="6">
        <v>39.6</v>
      </c>
      <c r="AO42" s="4" t="str">
        <f t="shared" si="10"/>
        <v>Mid</v>
      </c>
    </row>
    <row r="43" spans="1:41">
      <c r="A43">
        <v>1</v>
      </c>
      <c r="B43" t="str">
        <f t="shared" si="0"/>
        <v>First Class</v>
      </c>
      <c r="C43">
        <v>1</v>
      </c>
      <c r="E43" t="str">
        <f t="shared" si="1"/>
        <v>Survived</v>
      </c>
      <c r="F43" t="s">
        <v>920</v>
      </c>
      <c r="G43" t="s">
        <v>849</v>
      </c>
      <c r="H43" t="s">
        <v>878</v>
      </c>
      <c r="I43" t="str">
        <f t="shared" si="2"/>
        <v>Mrs. Brown James</v>
      </c>
      <c r="J43" t="s">
        <v>47</v>
      </c>
      <c r="K43" t="str">
        <f t="shared" si="3"/>
        <v>Female</v>
      </c>
      <c r="L43">
        <v>44</v>
      </c>
      <c r="O43">
        <f t="shared" si="4"/>
        <v>44</v>
      </c>
      <c r="P43">
        <v>0</v>
      </c>
      <c r="R43" s="4">
        <v>0</v>
      </c>
      <c r="T43" s="5">
        <v>27.720800000000001</v>
      </c>
      <c r="W43" s="4">
        <v>44</v>
      </c>
      <c r="X43" s="4" t="str">
        <f t="shared" si="5"/>
        <v>Adult</v>
      </c>
      <c r="Y43" s="4" t="s">
        <v>113</v>
      </c>
      <c r="AA43" s="4" t="s">
        <v>113</v>
      </c>
      <c r="AB43" s="4" t="str">
        <f t="shared" si="6"/>
        <v>B</v>
      </c>
      <c r="AC43" s="4" t="str">
        <f t="shared" si="7"/>
        <v>B</v>
      </c>
      <c r="AD43" s="4" t="s">
        <v>3566</v>
      </c>
      <c r="AF43" s="4">
        <v>6</v>
      </c>
      <c r="AG43" s="4">
        <f t="shared" si="8"/>
        <v>6</v>
      </c>
      <c r="AK43" s="4" t="s">
        <v>3573</v>
      </c>
      <c r="AL43" s="4" t="str">
        <f t="shared" si="9"/>
        <v>Found</v>
      </c>
      <c r="AN43" s="6">
        <v>27.720800000000001</v>
      </c>
      <c r="AO43" s="4" t="str">
        <f t="shared" si="10"/>
        <v>Mid</v>
      </c>
    </row>
    <row r="44" spans="1:41">
      <c r="A44">
        <v>1</v>
      </c>
      <c r="B44" t="str">
        <f t="shared" si="0"/>
        <v>First Class</v>
      </c>
      <c r="C44">
        <v>1</v>
      </c>
      <c r="E44" t="str">
        <f t="shared" si="1"/>
        <v>Survived</v>
      </c>
      <c r="F44" t="s">
        <v>920</v>
      </c>
      <c r="G44" t="s">
        <v>849</v>
      </c>
      <c r="H44" t="s">
        <v>862</v>
      </c>
      <c r="I44" t="str">
        <f t="shared" si="2"/>
        <v>Mrs. Brown John</v>
      </c>
      <c r="J44" t="s">
        <v>47</v>
      </c>
      <c r="K44" t="str">
        <f t="shared" si="3"/>
        <v>Female</v>
      </c>
      <c r="L44">
        <v>59</v>
      </c>
      <c r="O44">
        <f t="shared" si="4"/>
        <v>59</v>
      </c>
      <c r="P44">
        <v>2</v>
      </c>
      <c r="R44" s="4">
        <v>0</v>
      </c>
      <c r="T44" s="5">
        <v>51.479199999999999</v>
      </c>
      <c r="W44" s="4">
        <v>59</v>
      </c>
      <c r="X44" s="4" t="str">
        <f t="shared" si="5"/>
        <v>Adult</v>
      </c>
      <c r="Y44" s="4" t="s">
        <v>58</v>
      </c>
      <c r="AA44" s="4" t="s">
        <v>58</v>
      </c>
      <c r="AB44" s="4" t="str">
        <f t="shared" si="6"/>
        <v>C</v>
      </c>
      <c r="AC44" s="4" t="str">
        <f t="shared" si="7"/>
        <v>C</v>
      </c>
      <c r="AD44" s="4" t="s">
        <v>457</v>
      </c>
      <c r="AF44" s="4" t="s">
        <v>59</v>
      </c>
      <c r="AG44" s="4" t="str">
        <f t="shared" si="8"/>
        <v>D</v>
      </c>
      <c r="AK44" s="4" t="s">
        <v>3573</v>
      </c>
      <c r="AL44" s="4" t="str">
        <f t="shared" si="9"/>
        <v>Found</v>
      </c>
      <c r="AN44" s="6">
        <v>51.479199999999999</v>
      </c>
      <c r="AO44" s="4" t="str">
        <f t="shared" si="10"/>
        <v>High</v>
      </c>
    </row>
    <row r="45" spans="1:41">
      <c r="A45">
        <v>1</v>
      </c>
      <c r="B45" t="str">
        <f t="shared" si="0"/>
        <v>First Class</v>
      </c>
      <c r="C45">
        <v>1</v>
      </c>
      <c r="E45" t="str">
        <f t="shared" si="1"/>
        <v>Survived</v>
      </c>
      <c r="F45" t="s">
        <v>923</v>
      </c>
      <c r="G45" t="s">
        <v>849</v>
      </c>
      <c r="H45" t="s">
        <v>924</v>
      </c>
      <c r="I45" t="str">
        <f t="shared" si="2"/>
        <v>Mrs. Bucknell William</v>
      </c>
      <c r="J45" t="s">
        <v>47</v>
      </c>
      <c r="K45" t="str">
        <f t="shared" si="3"/>
        <v>Female</v>
      </c>
      <c r="L45">
        <v>60</v>
      </c>
      <c r="O45">
        <f t="shared" si="4"/>
        <v>60</v>
      </c>
      <c r="P45">
        <v>0</v>
      </c>
      <c r="R45" s="4">
        <v>0</v>
      </c>
      <c r="T45" s="5">
        <v>76.291700000000006</v>
      </c>
      <c r="W45" s="4">
        <v>60</v>
      </c>
      <c r="X45" s="4" t="str">
        <f t="shared" si="5"/>
        <v>Old Adult</v>
      </c>
      <c r="Y45" s="4" t="s">
        <v>76</v>
      </c>
      <c r="AA45" s="4" t="s">
        <v>76</v>
      </c>
      <c r="AB45" s="4" t="str">
        <f t="shared" si="6"/>
        <v>D</v>
      </c>
      <c r="AC45" s="4" t="str">
        <f t="shared" si="7"/>
        <v>D</v>
      </c>
      <c r="AD45" s="4" t="s">
        <v>3566</v>
      </c>
      <c r="AF45" s="4">
        <v>8</v>
      </c>
      <c r="AG45" s="4">
        <f t="shared" si="8"/>
        <v>8</v>
      </c>
      <c r="AK45" s="4" t="s">
        <v>3573</v>
      </c>
      <c r="AL45" s="4" t="str">
        <f t="shared" si="9"/>
        <v>Found</v>
      </c>
      <c r="AN45" s="6">
        <v>76.291700000000006</v>
      </c>
      <c r="AO45" s="4" t="str">
        <f t="shared" si="10"/>
        <v>High</v>
      </c>
    </row>
    <row r="46" spans="1:41">
      <c r="A46">
        <v>1</v>
      </c>
      <c r="B46" t="str">
        <f t="shared" si="0"/>
        <v>First Class</v>
      </c>
      <c r="C46">
        <v>1</v>
      </c>
      <c r="E46" t="str">
        <f t="shared" si="1"/>
        <v>Survived</v>
      </c>
      <c r="F46" t="s">
        <v>926</v>
      </c>
      <c r="G46" t="s">
        <v>842</v>
      </c>
      <c r="H46" t="s">
        <v>904</v>
      </c>
      <c r="I46" t="str">
        <f t="shared" si="2"/>
        <v>Miss. Burns Elizabeth</v>
      </c>
      <c r="J46" t="s">
        <v>47</v>
      </c>
      <c r="K46" t="str">
        <f t="shared" si="3"/>
        <v>Female</v>
      </c>
      <c r="L46">
        <v>41</v>
      </c>
      <c r="O46">
        <f t="shared" si="4"/>
        <v>41</v>
      </c>
      <c r="P46">
        <v>0</v>
      </c>
      <c r="R46" s="4">
        <v>0</v>
      </c>
      <c r="T46" s="5">
        <v>134.5</v>
      </c>
      <c r="W46" s="4">
        <v>41</v>
      </c>
      <c r="X46" s="4" t="str">
        <f t="shared" si="5"/>
        <v>Adult</v>
      </c>
      <c r="Y46" s="4" t="s">
        <v>116</v>
      </c>
      <c r="AA46" s="4" t="s">
        <v>116</v>
      </c>
      <c r="AB46" s="4" t="str">
        <f t="shared" si="6"/>
        <v>E</v>
      </c>
      <c r="AC46" s="4" t="str">
        <f t="shared" si="7"/>
        <v>E</v>
      </c>
      <c r="AD46" s="4" t="s">
        <v>3566</v>
      </c>
      <c r="AF46" s="4">
        <v>3</v>
      </c>
      <c r="AG46" s="4">
        <f t="shared" si="8"/>
        <v>3</v>
      </c>
      <c r="AK46" s="4" t="s">
        <v>3573</v>
      </c>
      <c r="AL46" s="4" t="str">
        <f t="shared" si="9"/>
        <v>Found</v>
      </c>
      <c r="AN46" s="6">
        <v>134.5</v>
      </c>
      <c r="AO46" s="4" t="str">
        <f t="shared" si="10"/>
        <v>High</v>
      </c>
    </row>
    <row r="47" spans="1:41">
      <c r="A47">
        <v>1</v>
      </c>
      <c r="B47" t="str">
        <f t="shared" si="0"/>
        <v>First Class</v>
      </c>
      <c r="C47">
        <v>0</v>
      </c>
      <c r="E47" t="str">
        <f t="shared" si="1"/>
        <v>Died</v>
      </c>
      <c r="F47" t="s">
        <v>928</v>
      </c>
      <c r="G47" t="s">
        <v>929</v>
      </c>
      <c r="H47" t="s">
        <v>930</v>
      </c>
      <c r="I47" t="str">
        <f t="shared" si="2"/>
        <v>Major. Butt Archibald</v>
      </c>
      <c r="J47" t="s">
        <v>20</v>
      </c>
      <c r="K47" t="str">
        <f t="shared" si="3"/>
        <v>Male</v>
      </c>
      <c r="L47">
        <v>45</v>
      </c>
      <c r="O47">
        <f t="shared" si="4"/>
        <v>45</v>
      </c>
      <c r="P47">
        <v>0</v>
      </c>
      <c r="R47" s="4">
        <v>0</v>
      </c>
      <c r="T47" s="5">
        <v>26.55</v>
      </c>
      <c r="W47" s="4">
        <v>45</v>
      </c>
      <c r="X47" s="4" t="str">
        <f t="shared" si="5"/>
        <v>Adult</v>
      </c>
      <c r="Y47" s="4" t="s">
        <v>117</v>
      </c>
      <c r="AA47" s="4" t="s">
        <v>117</v>
      </c>
      <c r="AB47" s="4" t="str">
        <f t="shared" si="6"/>
        <v>B</v>
      </c>
      <c r="AC47" s="4" t="str">
        <f t="shared" si="7"/>
        <v>B</v>
      </c>
      <c r="AD47" s="4" t="s">
        <v>457</v>
      </c>
      <c r="AG47" s="4" t="str">
        <f t="shared" si="8"/>
        <v>Not Applicable</v>
      </c>
      <c r="AK47" s="4" t="s">
        <v>3573</v>
      </c>
      <c r="AL47" s="4" t="str">
        <f t="shared" si="9"/>
        <v>Found</v>
      </c>
      <c r="AN47" s="6">
        <v>26.55</v>
      </c>
      <c r="AO47" s="4" t="str">
        <f t="shared" si="10"/>
        <v>Mid</v>
      </c>
    </row>
    <row r="48" spans="1:41">
      <c r="A48">
        <v>1</v>
      </c>
      <c r="B48" t="str">
        <f t="shared" si="0"/>
        <v>First Class</v>
      </c>
      <c r="C48">
        <v>0</v>
      </c>
      <c r="E48" t="str">
        <f t="shared" si="1"/>
        <v>Died</v>
      </c>
      <c r="F48" t="s">
        <v>931</v>
      </c>
      <c r="G48" t="s">
        <v>848</v>
      </c>
      <c r="H48" t="s">
        <v>932</v>
      </c>
      <c r="I48" t="str">
        <f t="shared" si="2"/>
        <v>Mr. Cairns Alexander</v>
      </c>
      <c r="J48" t="s">
        <v>20</v>
      </c>
      <c r="K48" t="str">
        <f t="shared" si="3"/>
        <v>Male</v>
      </c>
      <c r="L48">
        <v>28</v>
      </c>
      <c r="O48">
        <f t="shared" si="4"/>
        <v>28</v>
      </c>
      <c r="P48">
        <v>0</v>
      </c>
      <c r="R48" s="4">
        <v>0</v>
      </c>
      <c r="T48" s="5">
        <v>31</v>
      </c>
      <c r="W48" s="4">
        <v>28</v>
      </c>
      <c r="X48" s="4" t="str">
        <f t="shared" si="5"/>
        <v>Young Adult</v>
      </c>
      <c r="Y48" s="4" t="s">
        <v>3561</v>
      </c>
      <c r="AB48" s="4" t="str">
        <f t="shared" si="6"/>
        <v/>
      </c>
      <c r="AC48" s="4" t="str">
        <f t="shared" si="7"/>
        <v>Unknown</v>
      </c>
      <c r="AD48" s="4" t="s">
        <v>457</v>
      </c>
      <c r="AG48" s="4" t="str">
        <f t="shared" si="8"/>
        <v>Not Applicable</v>
      </c>
      <c r="AK48" s="4" t="s">
        <v>3573</v>
      </c>
      <c r="AL48" s="4" t="str">
        <f t="shared" si="9"/>
        <v>Found</v>
      </c>
      <c r="AN48" s="6">
        <v>31</v>
      </c>
      <c r="AO48" s="4" t="str">
        <f t="shared" si="10"/>
        <v>Mid</v>
      </c>
    </row>
    <row r="49" spans="1:41">
      <c r="A49">
        <v>1</v>
      </c>
      <c r="B49" t="str">
        <f t="shared" si="0"/>
        <v>First Class</v>
      </c>
      <c r="C49">
        <v>1</v>
      </c>
      <c r="E49" t="str">
        <f t="shared" si="1"/>
        <v>Survived</v>
      </c>
      <c r="F49" t="s">
        <v>933</v>
      </c>
      <c r="G49" t="s">
        <v>848</v>
      </c>
      <c r="H49" t="s">
        <v>857</v>
      </c>
      <c r="I49" t="str">
        <f t="shared" si="2"/>
        <v>Mr. Calderhead Edward</v>
      </c>
      <c r="J49" t="s">
        <v>20</v>
      </c>
      <c r="K49" t="str">
        <f t="shared" si="3"/>
        <v>Male</v>
      </c>
      <c r="L49">
        <v>42</v>
      </c>
      <c r="O49">
        <f t="shared" si="4"/>
        <v>42</v>
      </c>
      <c r="P49">
        <v>0</v>
      </c>
      <c r="R49" s="4">
        <v>0</v>
      </c>
      <c r="T49" s="5">
        <v>26.287500000000001</v>
      </c>
      <c r="W49" s="4">
        <v>42</v>
      </c>
      <c r="X49" s="4" t="str">
        <f t="shared" si="5"/>
        <v>Adult</v>
      </c>
      <c r="Y49" s="4" t="s">
        <v>120</v>
      </c>
      <c r="AA49" s="4" t="s">
        <v>120</v>
      </c>
      <c r="AB49" s="4" t="str">
        <f t="shared" si="6"/>
        <v>E</v>
      </c>
      <c r="AC49" s="4" t="str">
        <f t="shared" si="7"/>
        <v>E</v>
      </c>
      <c r="AD49" s="4" t="s">
        <v>457</v>
      </c>
      <c r="AF49" s="4">
        <v>5</v>
      </c>
      <c r="AG49" s="4">
        <f t="shared" si="8"/>
        <v>5</v>
      </c>
      <c r="AK49" s="4" t="s">
        <v>3573</v>
      </c>
      <c r="AL49" s="4" t="str">
        <f t="shared" si="9"/>
        <v>Found</v>
      </c>
      <c r="AN49" s="6">
        <v>26.287500000000001</v>
      </c>
      <c r="AO49" s="4" t="str">
        <f t="shared" si="10"/>
        <v>Mid</v>
      </c>
    </row>
    <row r="50" spans="1:41">
      <c r="A50">
        <v>1</v>
      </c>
      <c r="B50" t="str">
        <f t="shared" si="0"/>
        <v>First Class</v>
      </c>
      <c r="C50">
        <v>1</v>
      </c>
      <c r="E50" t="str">
        <f t="shared" si="1"/>
        <v>Survived</v>
      </c>
      <c r="F50" t="s">
        <v>934</v>
      </c>
      <c r="G50" t="s">
        <v>849</v>
      </c>
      <c r="H50" t="s">
        <v>857</v>
      </c>
      <c r="I50" t="str">
        <f t="shared" si="2"/>
        <v>Mrs. Candee Edward</v>
      </c>
      <c r="J50" t="s">
        <v>47</v>
      </c>
      <c r="K50" t="str">
        <f t="shared" si="3"/>
        <v>Female</v>
      </c>
      <c r="L50">
        <v>53</v>
      </c>
      <c r="O50">
        <f t="shared" si="4"/>
        <v>53</v>
      </c>
      <c r="P50">
        <v>0</v>
      </c>
      <c r="R50" s="4">
        <v>0</v>
      </c>
      <c r="T50" s="5">
        <v>27.445799999999998</v>
      </c>
      <c r="W50" s="4">
        <v>53</v>
      </c>
      <c r="X50" s="4" t="str">
        <f t="shared" si="5"/>
        <v>Adult</v>
      </c>
      <c r="Y50" s="4" t="s">
        <v>3561</v>
      </c>
      <c r="AB50" s="4" t="str">
        <f t="shared" si="6"/>
        <v/>
      </c>
      <c r="AC50" s="4" t="str">
        <f t="shared" si="7"/>
        <v>Unknown</v>
      </c>
      <c r="AD50" s="4" t="s">
        <v>3566</v>
      </c>
      <c r="AF50" s="4">
        <v>6</v>
      </c>
      <c r="AG50" s="4">
        <f t="shared" si="8"/>
        <v>6</v>
      </c>
      <c r="AK50" s="4" t="s">
        <v>3573</v>
      </c>
      <c r="AL50" s="4" t="str">
        <f t="shared" si="9"/>
        <v>Found</v>
      </c>
      <c r="AN50" s="6">
        <v>27.445799999999998</v>
      </c>
      <c r="AO50" s="4" t="str">
        <f t="shared" si="10"/>
        <v>Mid</v>
      </c>
    </row>
    <row r="51" spans="1:41">
      <c r="A51">
        <v>1</v>
      </c>
      <c r="B51" t="str">
        <f t="shared" si="0"/>
        <v>First Class</v>
      </c>
      <c r="C51">
        <v>1</v>
      </c>
      <c r="E51" t="str">
        <f t="shared" si="1"/>
        <v>Survived</v>
      </c>
      <c r="F51" t="s">
        <v>935</v>
      </c>
      <c r="G51" t="s">
        <v>848</v>
      </c>
      <c r="H51" t="s">
        <v>855</v>
      </c>
      <c r="I51" t="str">
        <f t="shared" si="2"/>
        <v>Mr. Cardeza Thomas</v>
      </c>
      <c r="J51" t="s">
        <v>20</v>
      </c>
      <c r="K51" t="str">
        <f t="shared" si="3"/>
        <v>Male</v>
      </c>
      <c r="L51">
        <v>36</v>
      </c>
      <c r="O51">
        <f t="shared" si="4"/>
        <v>36</v>
      </c>
      <c r="P51">
        <v>0</v>
      </c>
      <c r="R51" s="4">
        <v>1</v>
      </c>
      <c r="T51" s="5">
        <v>512.32920000000001</v>
      </c>
      <c r="W51" s="4">
        <v>36</v>
      </c>
      <c r="X51" s="4" t="str">
        <f t="shared" si="5"/>
        <v>Adult</v>
      </c>
      <c r="Y51" s="4" t="s">
        <v>123</v>
      </c>
      <c r="AA51" s="4" t="s">
        <v>123</v>
      </c>
      <c r="AB51" s="4" t="str">
        <f t="shared" si="6"/>
        <v>B</v>
      </c>
      <c r="AC51" s="4" t="str">
        <f t="shared" si="7"/>
        <v>B</v>
      </c>
      <c r="AD51" s="4" t="s">
        <v>3566</v>
      </c>
      <c r="AF51" s="4">
        <v>3</v>
      </c>
      <c r="AG51" s="4">
        <f t="shared" si="8"/>
        <v>3</v>
      </c>
      <c r="AK51" s="4" t="s">
        <v>3573</v>
      </c>
      <c r="AL51" s="4" t="str">
        <f t="shared" si="9"/>
        <v>Found</v>
      </c>
      <c r="AN51" s="6">
        <v>512.32920000000001</v>
      </c>
      <c r="AO51" s="4" t="str">
        <f t="shared" si="10"/>
        <v>High</v>
      </c>
    </row>
    <row r="52" spans="1:41">
      <c r="A52">
        <v>1</v>
      </c>
      <c r="B52" t="str">
        <f t="shared" si="0"/>
        <v>First Class</v>
      </c>
      <c r="C52">
        <v>1</v>
      </c>
      <c r="E52" t="str">
        <f t="shared" si="1"/>
        <v>Survived</v>
      </c>
      <c r="F52" t="s">
        <v>935</v>
      </c>
      <c r="G52" t="s">
        <v>849</v>
      </c>
      <c r="H52" t="s">
        <v>878</v>
      </c>
      <c r="I52" t="str">
        <f t="shared" si="2"/>
        <v>Mrs. Cardeza James</v>
      </c>
      <c r="J52" t="s">
        <v>47</v>
      </c>
      <c r="K52" t="str">
        <f t="shared" si="3"/>
        <v>Female</v>
      </c>
      <c r="L52">
        <v>58</v>
      </c>
      <c r="O52">
        <f t="shared" si="4"/>
        <v>58</v>
      </c>
      <c r="P52">
        <v>0</v>
      </c>
      <c r="R52" s="4">
        <v>1</v>
      </c>
      <c r="T52" s="5">
        <v>512.32920000000001</v>
      </c>
      <c r="W52" s="4">
        <v>58</v>
      </c>
      <c r="X52" s="4" t="str">
        <f t="shared" si="5"/>
        <v>Adult</v>
      </c>
      <c r="Y52" s="4" t="s">
        <v>123</v>
      </c>
      <c r="AA52" s="4" t="s">
        <v>123</v>
      </c>
      <c r="AB52" s="4" t="str">
        <f t="shared" si="6"/>
        <v>B</v>
      </c>
      <c r="AC52" s="4" t="str">
        <f t="shared" si="7"/>
        <v>B</v>
      </c>
      <c r="AD52" s="4" t="s">
        <v>3566</v>
      </c>
      <c r="AF52" s="4">
        <v>3</v>
      </c>
      <c r="AG52" s="4">
        <f t="shared" si="8"/>
        <v>3</v>
      </c>
      <c r="AK52" s="4" t="s">
        <v>3573</v>
      </c>
      <c r="AL52" s="4" t="str">
        <f t="shared" si="9"/>
        <v>Found</v>
      </c>
      <c r="AN52" s="6">
        <v>512.32920000000001</v>
      </c>
      <c r="AO52" s="4" t="str">
        <f t="shared" si="10"/>
        <v>High</v>
      </c>
    </row>
    <row r="53" spans="1:41">
      <c r="A53">
        <v>1</v>
      </c>
      <c r="B53" t="str">
        <f t="shared" si="0"/>
        <v>First Class</v>
      </c>
      <c r="C53">
        <v>0</v>
      </c>
      <c r="E53" t="str">
        <f t="shared" si="1"/>
        <v>Died</v>
      </c>
      <c r="F53" t="s">
        <v>936</v>
      </c>
      <c r="G53" t="s">
        <v>848</v>
      </c>
      <c r="H53" t="s">
        <v>937</v>
      </c>
      <c r="I53" t="str">
        <f t="shared" si="2"/>
        <v>Mr. Carlsson Frans</v>
      </c>
      <c r="J53" t="s">
        <v>20</v>
      </c>
      <c r="K53" t="str">
        <f t="shared" si="3"/>
        <v>Male</v>
      </c>
      <c r="L53">
        <v>33</v>
      </c>
      <c r="O53">
        <f t="shared" si="4"/>
        <v>33</v>
      </c>
      <c r="P53">
        <v>0</v>
      </c>
      <c r="R53" s="4">
        <v>0</v>
      </c>
      <c r="T53" s="5">
        <v>5</v>
      </c>
      <c r="W53" s="4">
        <v>33</v>
      </c>
      <c r="X53" s="4" t="str">
        <f t="shared" si="5"/>
        <v>Adult</v>
      </c>
      <c r="Y53" s="4" t="s">
        <v>123</v>
      </c>
      <c r="AA53" s="4" t="s">
        <v>123</v>
      </c>
      <c r="AB53" s="4" t="str">
        <f t="shared" si="6"/>
        <v>B</v>
      </c>
      <c r="AC53" s="4" t="str">
        <f t="shared" si="7"/>
        <v>B</v>
      </c>
      <c r="AD53" s="4" t="s">
        <v>457</v>
      </c>
      <c r="AG53" s="4" t="str">
        <f t="shared" si="8"/>
        <v>Not Applicable</v>
      </c>
      <c r="AK53" s="4" t="s">
        <v>3573</v>
      </c>
      <c r="AL53" s="4" t="str">
        <f t="shared" si="9"/>
        <v>Found</v>
      </c>
      <c r="AN53" s="6">
        <v>5</v>
      </c>
      <c r="AO53" s="4" t="str">
        <f t="shared" si="10"/>
        <v>Low</v>
      </c>
    </row>
    <row r="54" spans="1:41">
      <c r="A54">
        <v>1</v>
      </c>
      <c r="B54" t="str">
        <f t="shared" si="0"/>
        <v>First Class</v>
      </c>
      <c r="C54">
        <v>0</v>
      </c>
      <c r="E54" t="str">
        <f t="shared" si="1"/>
        <v>Died</v>
      </c>
      <c r="F54" t="s">
        <v>939</v>
      </c>
      <c r="G54" t="s">
        <v>848</v>
      </c>
      <c r="H54" t="s">
        <v>940</v>
      </c>
      <c r="I54" t="str">
        <f t="shared" si="2"/>
        <v>Mr. Carrau Francisco</v>
      </c>
      <c r="J54" t="s">
        <v>20</v>
      </c>
      <c r="K54" t="str">
        <f t="shared" si="3"/>
        <v>Male</v>
      </c>
      <c r="L54">
        <v>28</v>
      </c>
      <c r="O54">
        <f t="shared" si="4"/>
        <v>28</v>
      </c>
      <c r="P54">
        <v>0</v>
      </c>
      <c r="R54" s="4">
        <v>0</v>
      </c>
      <c r="T54" s="5">
        <v>47.1</v>
      </c>
      <c r="W54" s="4">
        <v>28</v>
      </c>
      <c r="X54" s="4" t="str">
        <f t="shared" si="5"/>
        <v>Young Adult</v>
      </c>
      <c r="Y54" s="4" t="s">
        <v>3561</v>
      </c>
      <c r="AB54" s="4" t="str">
        <f t="shared" si="6"/>
        <v/>
      </c>
      <c r="AC54" s="4" t="str">
        <f t="shared" si="7"/>
        <v>Unknown</v>
      </c>
      <c r="AD54" s="4" t="s">
        <v>457</v>
      </c>
      <c r="AG54" s="4" t="str">
        <f t="shared" si="8"/>
        <v>Not Applicable</v>
      </c>
      <c r="AK54" s="4" t="s">
        <v>3573</v>
      </c>
      <c r="AL54" s="4" t="str">
        <f t="shared" si="9"/>
        <v>Found</v>
      </c>
      <c r="AN54" s="6">
        <v>47.1</v>
      </c>
      <c r="AO54" s="4" t="str">
        <f t="shared" si="10"/>
        <v>Mid</v>
      </c>
    </row>
    <row r="55" spans="1:41">
      <c r="A55">
        <v>1</v>
      </c>
      <c r="B55" t="str">
        <f t="shared" si="0"/>
        <v>First Class</v>
      </c>
      <c r="C55">
        <v>0</v>
      </c>
      <c r="E55" t="str">
        <f t="shared" si="1"/>
        <v>Died</v>
      </c>
      <c r="F55" t="s">
        <v>939</v>
      </c>
      <c r="G55" t="s">
        <v>848</v>
      </c>
      <c r="H55" t="s">
        <v>941</v>
      </c>
      <c r="I55" t="str">
        <f t="shared" si="2"/>
        <v>Mr. Carrau Jose</v>
      </c>
      <c r="J55" t="s">
        <v>20</v>
      </c>
      <c r="K55" t="str">
        <f t="shared" si="3"/>
        <v>Male</v>
      </c>
      <c r="L55">
        <v>17</v>
      </c>
      <c r="O55">
        <f t="shared" si="4"/>
        <v>17</v>
      </c>
      <c r="P55">
        <v>0</v>
      </c>
      <c r="R55" s="4">
        <v>0</v>
      </c>
      <c r="T55" s="5">
        <v>47.1</v>
      </c>
      <c r="W55" s="4">
        <v>17</v>
      </c>
      <c r="X55" s="4" t="str">
        <f t="shared" si="5"/>
        <v>Teenager</v>
      </c>
      <c r="Y55" s="4" t="s">
        <v>3561</v>
      </c>
      <c r="AB55" s="4" t="str">
        <f t="shared" si="6"/>
        <v/>
      </c>
      <c r="AC55" s="4" t="str">
        <f t="shared" si="7"/>
        <v>Unknown</v>
      </c>
      <c r="AD55" s="4" t="s">
        <v>457</v>
      </c>
      <c r="AG55" s="4" t="str">
        <f t="shared" si="8"/>
        <v>Not Applicable</v>
      </c>
      <c r="AK55" s="4" t="s">
        <v>3573</v>
      </c>
      <c r="AL55" s="4" t="str">
        <f t="shared" si="9"/>
        <v>Found</v>
      </c>
      <c r="AN55" s="6">
        <v>47.1</v>
      </c>
      <c r="AO55" s="4" t="str">
        <f t="shared" si="10"/>
        <v>Mid</v>
      </c>
    </row>
    <row r="56" spans="1:41">
      <c r="A56">
        <v>1</v>
      </c>
      <c r="B56" t="str">
        <f t="shared" si="0"/>
        <v>First Class</v>
      </c>
      <c r="C56">
        <v>1</v>
      </c>
      <c r="E56" t="str">
        <f t="shared" si="1"/>
        <v>Survived</v>
      </c>
      <c r="F56" t="s">
        <v>942</v>
      </c>
      <c r="G56" t="s">
        <v>845</v>
      </c>
      <c r="H56" t="s">
        <v>924</v>
      </c>
      <c r="I56" t="str">
        <f t="shared" si="2"/>
        <v>Master. Carter William</v>
      </c>
      <c r="J56" t="s">
        <v>20</v>
      </c>
      <c r="K56" t="str">
        <f t="shared" si="3"/>
        <v>Male</v>
      </c>
      <c r="L56">
        <v>11</v>
      </c>
      <c r="O56">
        <f t="shared" si="4"/>
        <v>11</v>
      </c>
      <c r="P56">
        <v>1</v>
      </c>
      <c r="R56" s="4">
        <v>2</v>
      </c>
      <c r="T56" s="5">
        <v>120</v>
      </c>
      <c r="W56" s="4">
        <v>11</v>
      </c>
      <c r="X56" s="4" t="str">
        <f t="shared" si="5"/>
        <v>Teenager</v>
      </c>
      <c r="Y56" s="4" t="s">
        <v>126</v>
      </c>
      <c r="AA56" s="4" t="s">
        <v>126</v>
      </c>
      <c r="AB56" s="4" t="str">
        <f t="shared" si="6"/>
        <v>B</v>
      </c>
      <c r="AC56" s="4" t="str">
        <f t="shared" si="7"/>
        <v>B</v>
      </c>
      <c r="AD56" s="4" t="s">
        <v>457</v>
      </c>
      <c r="AF56" s="4">
        <v>4</v>
      </c>
      <c r="AG56" s="4">
        <f t="shared" si="8"/>
        <v>4</v>
      </c>
      <c r="AK56" s="4" t="s">
        <v>3573</v>
      </c>
      <c r="AL56" s="4" t="str">
        <f t="shared" si="9"/>
        <v>Found</v>
      </c>
      <c r="AN56" s="6">
        <v>120</v>
      </c>
      <c r="AO56" s="4" t="str">
        <f t="shared" si="10"/>
        <v>High</v>
      </c>
    </row>
    <row r="57" spans="1:41">
      <c r="A57">
        <v>1</v>
      </c>
      <c r="B57" t="str">
        <f t="shared" si="0"/>
        <v>First Class</v>
      </c>
      <c r="C57">
        <v>1</v>
      </c>
      <c r="E57" t="str">
        <f t="shared" si="1"/>
        <v>Survived</v>
      </c>
      <c r="F57" t="s">
        <v>942</v>
      </c>
      <c r="G57" t="s">
        <v>842</v>
      </c>
      <c r="H57" t="s">
        <v>944</v>
      </c>
      <c r="I57" t="str">
        <f t="shared" si="2"/>
        <v>Miss. Carter Lucile</v>
      </c>
      <c r="J57" t="s">
        <v>47</v>
      </c>
      <c r="K57" t="str">
        <f t="shared" si="3"/>
        <v>Female</v>
      </c>
      <c r="L57">
        <v>14</v>
      </c>
      <c r="O57">
        <f t="shared" si="4"/>
        <v>14</v>
      </c>
      <c r="P57">
        <v>1</v>
      </c>
      <c r="R57" s="4">
        <v>2</v>
      </c>
      <c r="T57" s="5">
        <v>120</v>
      </c>
      <c r="W57" s="4">
        <v>14</v>
      </c>
      <c r="X57" s="4" t="str">
        <f t="shared" si="5"/>
        <v>Teenager</v>
      </c>
      <c r="Y57" s="4" t="s">
        <v>126</v>
      </c>
      <c r="AA57" s="4" t="s">
        <v>126</v>
      </c>
      <c r="AB57" s="4" t="str">
        <f t="shared" si="6"/>
        <v>B</v>
      </c>
      <c r="AC57" s="4" t="str">
        <f t="shared" si="7"/>
        <v>B</v>
      </c>
      <c r="AD57" s="4" t="s">
        <v>457</v>
      </c>
      <c r="AF57" s="4">
        <v>4</v>
      </c>
      <c r="AG57" s="4">
        <f t="shared" si="8"/>
        <v>4</v>
      </c>
      <c r="AK57" s="4" t="s">
        <v>3573</v>
      </c>
      <c r="AL57" s="4" t="str">
        <f t="shared" si="9"/>
        <v>Found</v>
      </c>
      <c r="AN57" s="6">
        <v>120</v>
      </c>
      <c r="AO57" s="4" t="str">
        <f t="shared" si="10"/>
        <v>High</v>
      </c>
    </row>
    <row r="58" spans="1:41">
      <c r="A58">
        <v>1</v>
      </c>
      <c r="B58" t="str">
        <f t="shared" si="0"/>
        <v>First Class</v>
      </c>
      <c r="C58">
        <v>1</v>
      </c>
      <c r="E58" t="str">
        <f t="shared" si="1"/>
        <v>Survived</v>
      </c>
      <c r="F58" t="s">
        <v>942</v>
      </c>
      <c r="G58" t="s">
        <v>848</v>
      </c>
      <c r="H58" t="s">
        <v>924</v>
      </c>
      <c r="I58" t="str">
        <f t="shared" si="2"/>
        <v>Mr. Carter William</v>
      </c>
      <c r="J58" t="s">
        <v>20</v>
      </c>
      <c r="K58" t="str">
        <f t="shared" si="3"/>
        <v>Male</v>
      </c>
      <c r="L58">
        <v>36</v>
      </c>
      <c r="O58">
        <f t="shared" si="4"/>
        <v>36</v>
      </c>
      <c r="P58">
        <v>1</v>
      </c>
      <c r="R58" s="4">
        <v>2</v>
      </c>
      <c r="T58" s="5">
        <v>120</v>
      </c>
      <c r="W58" s="4">
        <v>36</v>
      </c>
      <c r="X58" s="4" t="str">
        <f t="shared" si="5"/>
        <v>Adult</v>
      </c>
      <c r="Y58" s="4" t="s">
        <v>126</v>
      </c>
      <c r="AA58" s="4" t="s">
        <v>126</v>
      </c>
      <c r="AB58" s="4" t="str">
        <f t="shared" si="6"/>
        <v>B</v>
      </c>
      <c r="AC58" s="4" t="str">
        <f t="shared" si="7"/>
        <v>B</v>
      </c>
      <c r="AD58" s="4" t="s">
        <v>457</v>
      </c>
      <c r="AF58" s="4" t="s">
        <v>62</v>
      </c>
      <c r="AG58" s="4" t="str">
        <f t="shared" si="8"/>
        <v>C</v>
      </c>
      <c r="AK58" s="4" t="s">
        <v>3573</v>
      </c>
      <c r="AL58" s="4" t="str">
        <f t="shared" si="9"/>
        <v>Found</v>
      </c>
      <c r="AN58" s="6">
        <v>120</v>
      </c>
      <c r="AO58" s="4" t="str">
        <f t="shared" si="10"/>
        <v>High</v>
      </c>
    </row>
    <row r="59" spans="1:41">
      <c r="A59">
        <v>1</v>
      </c>
      <c r="B59" t="str">
        <f t="shared" si="0"/>
        <v>First Class</v>
      </c>
      <c r="C59">
        <v>1</v>
      </c>
      <c r="E59" t="str">
        <f t="shared" si="1"/>
        <v>Survived</v>
      </c>
      <c r="F59" t="s">
        <v>942</v>
      </c>
      <c r="G59" t="s">
        <v>849</v>
      </c>
      <c r="H59" t="s">
        <v>924</v>
      </c>
      <c r="I59" t="str">
        <f t="shared" si="2"/>
        <v>Mrs. Carter William</v>
      </c>
      <c r="J59" t="s">
        <v>47</v>
      </c>
      <c r="K59" t="str">
        <f t="shared" si="3"/>
        <v>Female</v>
      </c>
      <c r="L59">
        <v>36</v>
      </c>
      <c r="O59">
        <f t="shared" si="4"/>
        <v>36</v>
      </c>
      <c r="P59">
        <v>1</v>
      </c>
      <c r="R59" s="4">
        <v>2</v>
      </c>
      <c r="T59" s="5">
        <v>120</v>
      </c>
      <c r="W59" s="4">
        <v>36</v>
      </c>
      <c r="X59" s="4" t="str">
        <f t="shared" si="5"/>
        <v>Adult</v>
      </c>
      <c r="Y59" s="4" t="s">
        <v>126</v>
      </c>
      <c r="AA59" s="4" t="s">
        <v>126</v>
      </c>
      <c r="AB59" s="4" t="str">
        <f t="shared" si="6"/>
        <v>B</v>
      </c>
      <c r="AC59" s="4" t="str">
        <f t="shared" si="7"/>
        <v>B</v>
      </c>
      <c r="AD59" s="4" t="s">
        <v>457</v>
      </c>
      <c r="AF59" s="4">
        <v>4</v>
      </c>
      <c r="AG59" s="4">
        <f t="shared" si="8"/>
        <v>4</v>
      </c>
      <c r="AK59" s="4" t="s">
        <v>3573</v>
      </c>
      <c r="AL59" s="4" t="str">
        <f t="shared" si="9"/>
        <v>Found</v>
      </c>
      <c r="AN59" s="6">
        <v>120</v>
      </c>
      <c r="AO59" s="4" t="str">
        <f t="shared" si="10"/>
        <v>High</v>
      </c>
    </row>
    <row r="60" spans="1:41">
      <c r="A60">
        <v>1</v>
      </c>
      <c r="B60" t="str">
        <f t="shared" si="0"/>
        <v>First Class</v>
      </c>
      <c r="C60">
        <v>0</v>
      </c>
      <c r="E60" t="str">
        <f t="shared" si="1"/>
        <v>Died</v>
      </c>
      <c r="F60" t="s">
        <v>946</v>
      </c>
      <c r="G60" t="s">
        <v>848</v>
      </c>
      <c r="H60" t="s">
        <v>947</v>
      </c>
      <c r="I60" t="str">
        <f t="shared" si="2"/>
        <v>Mr. Case Howard</v>
      </c>
      <c r="J60" t="s">
        <v>20</v>
      </c>
      <c r="K60" t="str">
        <f t="shared" si="3"/>
        <v>Male</v>
      </c>
      <c r="L60">
        <v>49</v>
      </c>
      <c r="O60">
        <f t="shared" si="4"/>
        <v>49</v>
      </c>
      <c r="P60">
        <v>0</v>
      </c>
      <c r="R60" s="4">
        <v>0</v>
      </c>
      <c r="T60" s="5">
        <v>26</v>
      </c>
      <c r="W60" s="4">
        <v>49</v>
      </c>
      <c r="X60" s="4" t="str">
        <f t="shared" si="5"/>
        <v>Adult</v>
      </c>
      <c r="Y60" s="4" t="s">
        <v>3561</v>
      </c>
      <c r="AB60" s="4" t="str">
        <f t="shared" si="6"/>
        <v/>
      </c>
      <c r="AC60" s="4" t="str">
        <f t="shared" si="7"/>
        <v>Unknown</v>
      </c>
      <c r="AD60" s="4" t="s">
        <v>457</v>
      </c>
      <c r="AG60" s="4" t="str">
        <f t="shared" si="8"/>
        <v>Not Applicable</v>
      </c>
      <c r="AK60" s="4" t="s">
        <v>3573</v>
      </c>
      <c r="AL60" s="4" t="str">
        <f t="shared" si="9"/>
        <v>Found</v>
      </c>
      <c r="AN60" s="6">
        <v>26</v>
      </c>
      <c r="AO60" s="4" t="str">
        <f t="shared" si="10"/>
        <v>Mid</v>
      </c>
    </row>
    <row r="61" spans="1:41">
      <c r="A61">
        <v>1</v>
      </c>
      <c r="B61" t="str">
        <f t="shared" si="0"/>
        <v>First Class</v>
      </c>
      <c r="C61">
        <v>1</v>
      </c>
      <c r="E61" t="str">
        <f t="shared" si="1"/>
        <v>Survived</v>
      </c>
      <c r="F61" t="s">
        <v>948</v>
      </c>
      <c r="G61" t="s">
        <v>849</v>
      </c>
      <c r="H61" t="s">
        <v>872</v>
      </c>
      <c r="I61" t="str">
        <f t="shared" si="2"/>
        <v>Mrs. Cassebeer Henry</v>
      </c>
      <c r="J61" t="s">
        <v>47</v>
      </c>
      <c r="K61" t="str">
        <f t="shared" si="3"/>
        <v>Female</v>
      </c>
      <c r="L61">
        <v>28</v>
      </c>
      <c r="O61">
        <f t="shared" si="4"/>
        <v>28</v>
      </c>
      <c r="P61">
        <v>0</v>
      </c>
      <c r="R61" s="4">
        <v>0</v>
      </c>
      <c r="T61" s="5">
        <v>27.720800000000001</v>
      </c>
      <c r="W61" s="4">
        <v>28</v>
      </c>
      <c r="X61" s="4" t="str">
        <f t="shared" si="5"/>
        <v>Young Adult</v>
      </c>
      <c r="Y61" s="4" t="s">
        <v>3561</v>
      </c>
      <c r="AB61" s="4" t="str">
        <f t="shared" si="6"/>
        <v/>
      </c>
      <c r="AC61" s="4" t="str">
        <f t="shared" si="7"/>
        <v>Unknown</v>
      </c>
      <c r="AD61" s="4" t="s">
        <v>3566</v>
      </c>
      <c r="AF61" s="4">
        <v>5</v>
      </c>
      <c r="AG61" s="4">
        <f t="shared" si="8"/>
        <v>5</v>
      </c>
      <c r="AK61" s="4" t="s">
        <v>3573</v>
      </c>
      <c r="AL61" s="4" t="str">
        <f t="shared" si="9"/>
        <v>Found</v>
      </c>
      <c r="AN61" s="6">
        <v>27.720800000000001</v>
      </c>
      <c r="AO61" s="4" t="str">
        <f t="shared" si="10"/>
        <v>Mid</v>
      </c>
    </row>
    <row r="62" spans="1:41">
      <c r="A62">
        <v>1</v>
      </c>
      <c r="B62" t="str">
        <f t="shared" si="0"/>
        <v>First Class</v>
      </c>
      <c r="C62">
        <v>0</v>
      </c>
      <c r="E62" t="str">
        <f t="shared" si="1"/>
        <v>Died</v>
      </c>
      <c r="F62" t="s">
        <v>949</v>
      </c>
      <c r="G62" t="s">
        <v>848</v>
      </c>
      <c r="H62" t="s">
        <v>950</v>
      </c>
      <c r="I62" t="str">
        <f t="shared" si="2"/>
        <v>Mr. Cavendish Tyrell</v>
      </c>
      <c r="J62" t="s">
        <v>20</v>
      </c>
      <c r="K62" t="str">
        <f t="shared" si="3"/>
        <v>Male</v>
      </c>
      <c r="L62">
        <v>36</v>
      </c>
      <c r="O62">
        <f t="shared" si="4"/>
        <v>36</v>
      </c>
      <c r="P62">
        <v>1</v>
      </c>
      <c r="R62" s="4">
        <v>0</v>
      </c>
      <c r="T62" s="5">
        <v>78.849999999999994</v>
      </c>
      <c r="W62" s="4">
        <v>36</v>
      </c>
      <c r="X62" s="4" t="str">
        <f t="shared" si="5"/>
        <v>Adult</v>
      </c>
      <c r="Y62" s="4" t="s">
        <v>129</v>
      </c>
      <c r="AA62" s="4" t="s">
        <v>129</v>
      </c>
      <c r="AB62" s="4" t="str">
        <f t="shared" si="6"/>
        <v>C</v>
      </c>
      <c r="AC62" s="4" t="str">
        <f t="shared" si="7"/>
        <v>C</v>
      </c>
      <c r="AD62" s="4" t="s">
        <v>457</v>
      </c>
      <c r="AG62" s="4" t="str">
        <f t="shared" si="8"/>
        <v>Not Applicable</v>
      </c>
      <c r="AH62" s="4">
        <v>172</v>
      </c>
      <c r="AK62" s="4">
        <v>172</v>
      </c>
      <c r="AL62" s="4" t="str">
        <f t="shared" si="9"/>
        <v>Found</v>
      </c>
      <c r="AN62" s="6">
        <v>78.849999999999994</v>
      </c>
      <c r="AO62" s="4" t="str">
        <f t="shared" si="10"/>
        <v>High</v>
      </c>
    </row>
    <row r="63" spans="1:41">
      <c r="A63">
        <v>1</v>
      </c>
      <c r="B63" t="str">
        <f t="shared" si="0"/>
        <v>First Class</v>
      </c>
      <c r="C63">
        <v>1</v>
      </c>
      <c r="E63" t="str">
        <f t="shared" si="1"/>
        <v>Survived</v>
      </c>
      <c r="F63" t="s">
        <v>949</v>
      </c>
      <c r="G63" t="s">
        <v>849</v>
      </c>
      <c r="H63" t="s">
        <v>950</v>
      </c>
      <c r="I63" t="str">
        <f t="shared" si="2"/>
        <v>Mrs. Cavendish Tyrell</v>
      </c>
      <c r="J63" t="s">
        <v>47</v>
      </c>
      <c r="K63" t="str">
        <f t="shared" si="3"/>
        <v>Female</v>
      </c>
      <c r="L63">
        <v>76</v>
      </c>
      <c r="O63">
        <f t="shared" si="4"/>
        <v>76</v>
      </c>
      <c r="P63">
        <v>1</v>
      </c>
      <c r="R63" s="4">
        <v>0</v>
      </c>
      <c r="T63" s="5">
        <v>78.849999999999994</v>
      </c>
      <c r="W63" s="4">
        <v>76</v>
      </c>
      <c r="X63" s="4" t="str">
        <f t="shared" si="5"/>
        <v>Old Adult</v>
      </c>
      <c r="Y63" s="4" t="s">
        <v>129</v>
      </c>
      <c r="AA63" s="4" t="s">
        <v>129</v>
      </c>
      <c r="AB63" s="4" t="str">
        <f t="shared" si="6"/>
        <v>C</v>
      </c>
      <c r="AC63" s="4" t="str">
        <f t="shared" si="7"/>
        <v>C</v>
      </c>
      <c r="AD63" s="4" t="s">
        <v>457</v>
      </c>
      <c r="AF63" s="4">
        <v>6</v>
      </c>
      <c r="AG63" s="4">
        <f t="shared" si="8"/>
        <v>6</v>
      </c>
      <c r="AK63" s="4" t="s">
        <v>3573</v>
      </c>
      <c r="AL63" s="4" t="str">
        <f t="shared" si="9"/>
        <v>Found</v>
      </c>
      <c r="AN63" s="6">
        <v>78.849999999999994</v>
      </c>
      <c r="AO63" s="4" t="str">
        <f t="shared" si="10"/>
        <v>High</v>
      </c>
    </row>
    <row r="64" spans="1:41">
      <c r="A64">
        <v>1</v>
      </c>
      <c r="B64" t="str">
        <f t="shared" si="0"/>
        <v>First Class</v>
      </c>
      <c r="C64">
        <v>0</v>
      </c>
      <c r="E64" t="str">
        <f t="shared" si="1"/>
        <v>Died</v>
      </c>
      <c r="F64" t="s">
        <v>952</v>
      </c>
      <c r="G64" t="s">
        <v>848</v>
      </c>
      <c r="H64" t="s">
        <v>953</v>
      </c>
      <c r="I64" t="str">
        <f t="shared" si="2"/>
        <v>Mr. Chaffee Herbert</v>
      </c>
      <c r="J64" t="s">
        <v>20</v>
      </c>
      <c r="K64" t="str">
        <f t="shared" si="3"/>
        <v>Male</v>
      </c>
      <c r="L64">
        <v>46</v>
      </c>
      <c r="O64">
        <f t="shared" si="4"/>
        <v>46</v>
      </c>
      <c r="P64">
        <v>1</v>
      </c>
      <c r="R64" s="4">
        <v>0</v>
      </c>
      <c r="T64" s="5">
        <v>61.174999999999997</v>
      </c>
      <c r="W64" s="4">
        <v>46</v>
      </c>
      <c r="X64" s="4" t="str">
        <f t="shared" si="5"/>
        <v>Adult</v>
      </c>
      <c r="Y64" s="4" t="s">
        <v>132</v>
      </c>
      <c r="AA64" s="4" t="s">
        <v>132</v>
      </c>
      <c r="AB64" s="4" t="str">
        <f t="shared" si="6"/>
        <v>E</v>
      </c>
      <c r="AC64" s="4" t="str">
        <f t="shared" si="7"/>
        <v>E</v>
      </c>
      <c r="AD64" s="4" t="s">
        <v>457</v>
      </c>
      <c r="AG64" s="4" t="str">
        <f t="shared" si="8"/>
        <v>Not Applicable</v>
      </c>
      <c r="AK64" s="4" t="s">
        <v>3573</v>
      </c>
      <c r="AL64" s="4" t="str">
        <f t="shared" si="9"/>
        <v>Found</v>
      </c>
      <c r="AN64" s="6">
        <v>61.174999999999997</v>
      </c>
      <c r="AO64" s="4" t="str">
        <f t="shared" si="10"/>
        <v>High</v>
      </c>
    </row>
    <row r="65" spans="1:41">
      <c r="A65">
        <v>1</v>
      </c>
      <c r="B65" t="str">
        <f t="shared" si="0"/>
        <v>First Class</v>
      </c>
      <c r="C65">
        <v>1</v>
      </c>
      <c r="E65" t="str">
        <f t="shared" si="1"/>
        <v>Survived</v>
      </c>
      <c r="F65" t="s">
        <v>952</v>
      </c>
      <c r="G65" t="s">
        <v>849</v>
      </c>
      <c r="H65" t="s">
        <v>953</v>
      </c>
      <c r="I65" t="str">
        <f t="shared" si="2"/>
        <v>Mrs. Chaffee Herbert</v>
      </c>
      <c r="J65" t="s">
        <v>47</v>
      </c>
      <c r="K65" t="str">
        <f t="shared" si="3"/>
        <v>Female</v>
      </c>
      <c r="L65">
        <v>47</v>
      </c>
      <c r="O65">
        <f t="shared" si="4"/>
        <v>47</v>
      </c>
      <c r="P65">
        <v>1</v>
      </c>
      <c r="R65" s="4">
        <v>0</v>
      </c>
      <c r="T65" s="5">
        <v>61.174999999999997</v>
      </c>
      <c r="W65" s="4">
        <v>47</v>
      </c>
      <c r="X65" s="4" t="str">
        <f t="shared" si="5"/>
        <v>Adult</v>
      </c>
      <c r="Y65" s="4" t="s">
        <v>132</v>
      </c>
      <c r="AA65" s="4" t="s">
        <v>132</v>
      </c>
      <c r="AB65" s="4" t="str">
        <f t="shared" si="6"/>
        <v>E</v>
      </c>
      <c r="AC65" s="4" t="str">
        <f t="shared" si="7"/>
        <v>E</v>
      </c>
      <c r="AD65" s="4" t="s">
        <v>457</v>
      </c>
      <c r="AF65" s="4">
        <v>4</v>
      </c>
      <c r="AG65" s="4">
        <f t="shared" si="8"/>
        <v>4</v>
      </c>
      <c r="AK65" s="4" t="s">
        <v>3573</v>
      </c>
      <c r="AL65" s="4" t="str">
        <f t="shared" si="9"/>
        <v>Found</v>
      </c>
      <c r="AN65" s="6">
        <v>61.174999999999997</v>
      </c>
      <c r="AO65" s="4" t="str">
        <f t="shared" si="10"/>
        <v>High</v>
      </c>
    </row>
    <row r="66" spans="1:41">
      <c r="A66">
        <v>1</v>
      </c>
      <c r="B66" t="str">
        <f t="shared" si="0"/>
        <v>First Class</v>
      </c>
      <c r="C66">
        <v>1</v>
      </c>
      <c r="E66" t="str">
        <f t="shared" si="1"/>
        <v>Survived</v>
      </c>
      <c r="F66" t="s">
        <v>955</v>
      </c>
      <c r="G66" t="s">
        <v>848</v>
      </c>
      <c r="H66" t="s">
        <v>956</v>
      </c>
      <c r="I66" t="str">
        <f t="shared" si="2"/>
        <v>Mr. Chambers Norman</v>
      </c>
      <c r="J66" t="s">
        <v>20</v>
      </c>
      <c r="K66" t="str">
        <f t="shared" si="3"/>
        <v>Male</v>
      </c>
      <c r="L66">
        <v>27</v>
      </c>
      <c r="O66">
        <f t="shared" si="4"/>
        <v>27</v>
      </c>
      <c r="P66">
        <v>1</v>
      </c>
      <c r="R66" s="4">
        <v>0</v>
      </c>
      <c r="T66" s="5">
        <v>53.1</v>
      </c>
      <c r="W66" s="4">
        <v>27</v>
      </c>
      <c r="X66" s="4" t="str">
        <f t="shared" si="5"/>
        <v>Young Adult</v>
      </c>
      <c r="Y66" s="4" t="s">
        <v>134</v>
      </c>
      <c r="AA66" s="4" t="s">
        <v>134</v>
      </c>
      <c r="AB66" s="4" t="str">
        <f t="shared" si="6"/>
        <v>E</v>
      </c>
      <c r="AC66" s="4" t="str">
        <f t="shared" si="7"/>
        <v>E</v>
      </c>
      <c r="AD66" s="4" t="s">
        <v>457</v>
      </c>
      <c r="AF66" s="4">
        <v>5</v>
      </c>
      <c r="AG66" s="4">
        <f t="shared" si="8"/>
        <v>5</v>
      </c>
      <c r="AK66" s="4" t="s">
        <v>3573</v>
      </c>
      <c r="AL66" s="4" t="str">
        <f t="shared" si="9"/>
        <v>Found</v>
      </c>
      <c r="AN66" s="6">
        <v>53.1</v>
      </c>
      <c r="AO66" s="4" t="str">
        <f t="shared" si="10"/>
        <v>High</v>
      </c>
    </row>
    <row r="67" spans="1:41">
      <c r="A67">
        <v>1</v>
      </c>
      <c r="B67" t="str">
        <f t="shared" ref="B67:B130" si="11">IF(A67=1,"First Class",IF(A67=2,"Second Class",IF(A67=3,"Third Class"," ")))</f>
        <v>First Class</v>
      </c>
      <c r="C67">
        <v>1</v>
      </c>
      <c r="E67" t="str">
        <f t="shared" ref="E67:E130" si="12">IF(C67=1,"Survived",IF(C67=0,"Died"))</f>
        <v>Survived</v>
      </c>
      <c r="F67" t="s">
        <v>955</v>
      </c>
      <c r="G67" t="s">
        <v>849</v>
      </c>
      <c r="H67" t="s">
        <v>956</v>
      </c>
      <c r="I67" t="str">
        <f t="shared" ref="I67:I130" si="13">_xlfn.CONCAT(G67," ",F67," ",H67)</f>
        <v>Mrs. Chambers Norman</v>
      </c>
      <c r="J67" t="s">
        <v>47</v>
      </c>
      <c r="K67" t="str">
        <f t="shared" ref="K67:K130" si="14">PROPER(J67)</f>
        <v>Female</v>
      </c>
      <c r="L67">
        <v>33</v>
      </c>
      <c r="O67">
        <f t="shared" ref="O67:O130" si="15">IF(L67&lt;1,1,ROUND(L67,0))</f>
        <v>33</v>
      </c>
      <c r="P67">
        <v>1</v>
      </c>
      <c r="R67" s="4">
        <v>0</v>
      </c>
      <c r="T67" s="5">
        <v>53.1</v>
      </c>
      <c r="W67" s="4">
        <v>33</v>
      </c>
      <c r="X67" s="4" t="str">
        <f t="shared" ref="X67:X130" si="16">IF(W67&lt;10,"Child",IF(W67&lt;18,"Teenager",IF(W67&lt;30,"Young Adult",IF(W67&lt;60,"Adult","Old Adult"))))</f>
        <v>Adult</v>
      </c>
      <c r="Y67" s="4" t="s">
        <v>134</v>
      </c>
      <c r="AA67" s="4" t="s">
        <v>134</v>
      </c>
      <c r="AB67" s="4" t="str">
        <f t="shared" ref="AB67:AB130" si="17">LEFT(AA67,1)</f>
        <v>E</v>
      </c>
      <c r="AC67" s="4" t="str">
        <f t="shared" ref="AC67:AC130" si="18">IF(AB67="","Unknown",LEFT(AB67,1))</f>
        <v>E</v>
      </c>
      <c r="AD67" s="4" t="s">
        <v>457</v>
      </c>
      <c r="AF67" s="4">
        <v>5</v>
      </c>
      <c r="AG67" s="4">
        <f t="shared" ref="AG67:AG130" si="19">IF(AF67="",IF(E67=1,"Unknown","Not Applicable"),AF67)</f>
        <v>5</v>
      </c>
      <c r="AK67" s="4" t="s">
        <v>3573</v>
      </c>
      <c r="AL67" s="4" t="str">
        <f t="shared" ref="AL67:AL130" si="20">IF(AK67="","Not Found","Found")</f>
        <v>Found</v>
      </c>
      <c r="AN67" s="6">
        <v>53.1</v>
      </c>
      <c r="AO67" s="4" t="str">
        <f t="shared" ref="AO67:AO130" si="21">IF(AN67&lt;=10,"Low",IF(AN67&lt;=50,"Mid","High"))</f>
        <v>High</v>
      </c>
    </row>
    <row r="68" spans="1:41">
      <c r="A68">
        <v>1</v>
      </c>
      <c r="B68" t="str">
        <f t="shared" si="11"/>
        <v>First Class</v>
      </c>
      <c r="C68">
        <v>1</v>
      </c>
      <c r="E68" t="str">
        <f t="shared" si="12"/>
        <v>Survived</v>
      </c>
      <c r="F68" t="s">
        <v>958</v>
      </c>
      <c r="G68" t="s">
        <v>842</v>
      </c>
      <c r="H68" t="s">
        <v>959</v>
      </c>
      <c r="I68" t="str">
        <f t="shared" si="13"/>
        <v>Miss. Chaudanson Victorine</v>
      </c>
      <c r="J68" t="s">
        <v>47</v>
      </c>
      <c r="K68" t="str">
        <f t="shared" si="14"/>
        <v>Female</v>
      </c>
      <c r="L68">
        <v>36</v>
      </c>
      <c r="O68">
        <f t="shared" si="15"/>
        <v>36</v>
      </c>
      <c r="P68">
        <v>0</v>
      </c>
      <c r="R68" s="4">
        <v>0</v>
      </c>
      <c r="T68" s="5">
        <v>262.375</v>
      </c>
      <c r="W68" s="4">
        <v>36</v>
      </c>
      <c r="X68" s="4" t="str">
        <f t="shared" si="16"/>
        <v>Adult</v>
      </c>
      <c r="Y68" s="4" t="s">
        <v>136</v>
      </c>
      <c r="AA68" s="4" t="s">
        <v>136</v>
      </c>
      <c r="AB68" s="4" t="str">
        <f t="shared" si="17"/>
        <v>B</v>
      </c>
      <c r="AC68" s="4" t="str">
        <f t="shared" si="18"/>
        <v>B</v>
      </c>
      <c r="AD68" s="4" t="s">
        <v>3566</v>
      </c>
      <c r="AF68" s="4">
        <v>4</v>
      </c>
      <c r="AG68" s="4">
        <f t="shared" si="19"/>
        <v>4</v>
      </c>
      <c r="AK68" s="4" t="s">
        <v>3573</v>
      </c>
      <c r="AL68" s="4" t="str">
        <f t="shared" si="20"/>
        <v>Found</v>
      </c>
      <c r="AN68" s="6">
        <v>262.375</v>
      </c>
      <c r="AO68" s="4" t="str">
        <f t="shared" si="21"/>
        <v>High</v>
      </c>
    </row>
    <row r="69" spans="1:41">
      <c r="A69">
        <v>1</v>
      </c>
      <c r="B69" t="str">
        <f t="shared" si="11"/>
        <v>First Class</v>
      </c>
      <c r="C69">
        <v>1</v>
      </c>
      <c r="E69" t="str">
        <f t="shared" si="12"/>
        <v>Survived</v>
      </c>
      <c r="F69" t="s">
        <v>960</v>
      </c>
      <c r="G69" t="s">
        <v>842</v>
      </c>
      <c r="H69" t="s">
        <v>961</v>
      </c>
      <c r="I69" t="str">
        <f t="shared" si="13"/>
        <v>Miss. Cherry Gladys</v>
      </c>
      <c r="J69" t="s">
        <v>47</v>
      </c>
      <c r="K69" t="str">
        <f t="shared" si="14"/>
        <v>Female</v>
      </c>
      <c r="L69">
        <v>30</v>
      </c>
      <c r="O69">
        <f t="shared" si="15"/>
        <v>30</v>
      </c>
      <c r="P69">
        <v>0</v>
      </c>
      <c r="R69" s="4">
        <v>0</v>
      </c>
      <c r="T69" s="5">
        <v>86.5</v>
      </c>
      <c r="W69" s="4">
        <v>30</v>
      </c>
      <c r="X69" s="4" t="str">
        <f t="shared" si="16"/>
        <v>Adult</v>
      </c>
      <c r="Y69" s="4" t="s">
        <v>137</v>
      </c>
      <c r="AA69" s="4" t="s">
        <v>137</v>
      </c>
      <c r="AB69" s="4" t="str">
        <f t="shared" si="17"/>
        <v>B</v>
      </c>
      <c r="AC69" s="4" t="str">
        <f t="shared" si="18"/>
        <v>B</v>
      </c>
      <c r="AD69" s="4" t="s">
        <v>457</v>
      </c>
      <c r="AF69" s="4">
        <v>8</v>
      </c>
      <c r="AG69" s="4">
        <f t="shared" si="19"/>
        <v>8</v>
      </c>
      <c r="AK69" s="4" t="s">
        <v>3573</v>
      </c>
      <c r="AL69" s="4" t="str">
        <f t="shared" si="20"/>
        <v>Found</v>
      </c>
      <c r="AN69" s="6">
        <v>86.5</v>
      </c>
      <c r="AO69" s="4" t="str">
        <f t="shared" si="21"/>
        <v>High</v>
      </c>
    </row>
    <row r="70" spans="1:41">
      <c r="A70">
        <v>1</v>
      </c>
      <c r="B70" t="str">
        <f t="shared" si="11"/>
        <v>First Class</v>
      </c>
      <c r="C70">
        <v>1</v>
      </c>
      <c r="E70" t="str">
        <f t="shared" si="12"/>
        <v>Survived</v>
      </c>
      <c r="F70" t="s">
        <v>962</v>
      </c>
      <c r="G70" t="s">
        <v>848</v>
      </c>
      <c r="H70" t="s">
        <v>963</v>
      </c>
      <c r="I70" t="str">
        <f t="shared" si="13"/>
        <v>Mr. Chevre Paul</v>
      </c>
      <c r="J70" t="s">
        <v>20</v>
      </c>
      <c r="K70" t="str">
        <f t="shared" si="14"/>
        <v>Male</v>
      </c>
      <c r="L70">
        <v>45</v>
      </c>
      <c r="O70">
        <f t="shared" si="15"/>
        <v>45</v>
      </c>
      <c r="P70">
        <v>0</v>
      </c>
      <c r="R70" s="4">
        <v>0</v>
      </c>
      <c r="T70" s="5">
        <v>29.7</v>
      </c>
      <c r="W70" s="4">
        <v>45</v>
      </c>
      <c r="X70" s="4" t="str">
        <f t="shared" si="16"/>
        <v>Adult</v>
      </c>
      <c r="Y70" s="4" t="s">
        <v>140</v>
      </c>
      <c r="AA70" s="4" t="s">
        <v>140</v>
      </c>
      <c r="AB70" s="4" t="str">
        <f t="shared" si="17"/>
        <v>A</v>
      </c>
      <c r="AC70" s="4" t="str">
        <f t="shared" si="18"/>
        <v>A</v>
      </c>
      <c r="AD70" s="4" t="s">
        <v>3566</v>
      </c>
      <c r="AF70" s="4">
        <v>7</v>
      </c>
      <c r="AG70" s="4">
        <f t="shared" si="19"/>
        <v>7</v>
      </c>
      <c r="AK70" s="4" t="s">
        <v>3573</v>
      </c>
      <c r="AL70" s="4" t="str">
        <f t="shared" si="20"/>
        <v>Found</v>
      </c>
      <c r="AN70" s="6">
        <v>29.7</v>
      </c>
      <c r="AO70" s="4" t="str">
        <f t="shared" si="21"/>
        <v>Mid</v>
      </c>
    </row>
    <row r="71" spans="1:41">
      <c r="A71">
        <v>1</v>
      </c>
      <c r="B71" t="str">
        <f t="shared" si="11"/>
        <v>First Class</v>
      </c>
      <c r="C71">
        <v>1</v>
      </c>
      <c r="E71" t="str">
        <f t="shared" si="12"/>
        <v>Survived</v>
      </c>
      <c r="F71" t="s">
        <v>965</v>
      </c>
      <c r="G71" t="s">
        <v>849</v>
      </c>
      <c r="H71" t="s">
        <v>966</v>
      </c>
      <c r="I71" t="str">
        <f t="shared" si="13"/>
        <v>Mrs. Chibnall (Edith</v>
      </c>
      <c r="J71" t="s">
        <v>47</v>
      </c>
      <c r="K71" t="str">
        <f t="shared" si="14"/>
        <v>Female</v>
      </c>
      <c r="L71">
        <v>28</v>
      </c>
      <c r="O71">
        <f t="shared" si="15"/>
        <v>28</v>
      </c>
      <c r="P71">
        <v>0</v>
      </c>
      <c r="R71" s="4">
        <v>1</v>
      </c>
      <c r="T71" s="5">
        <v>55</v>
      </c>
      <c r="W71" s="4">
        <v>28</v>
      </c>
      <c r="X71" s="4" t="str">
        <f t="shared" si="16"/>
        <v>Young Adult</v>
      </c>
      <c r="Y71" s="4" t="s">
        <v>103</v>
      </c>
      <c r="AA71" s="4" t="s">
        <v>103</v>
      </c>
      <c r="AB71" s="4" t="str">
        <f t="shared" si="17"/>
        <v>E</v>
      </c>
      <c r="AC71" s="4" t="str">
        <f t="shared" si="18"/>
        <v>E</v>
      </c>
      <c r="AD71" s="4" t="s">
        <v>457</v>
      </c>
      <c r="AF71" s="4">
        <v>6</v>
      </c>
      <c r="AG71" s="4">
        <f t="shared" si="19"/>
        <v>6</v>
      </c>
      <c r="AK71" s="4" t="s">
        <v>3573</v>
      </c>
      <c r="AL71" s="4" t="str">
        <f t="shared" si="20"/>
        <v>Found</v>
      </c>
      <c r="AN71" s="6">
        <v>55</v>
      </c>
      <c r="AO71" s="4" t="str">
        <f t="shared" si="21"/>
        <v>High</v>
      </c>
    </row>
    <row r="72" spans="1:41">
      <c r="A72">
        <v>1</v>
      </c>
      <c r="B72" t="str">
        <f t="shared" si="11"/>
        <v>First Class</v>
      </c>
      <c r="C72">
        <v>0</v>
      </c>
      <c r="E72" t="str">
        <f t="shared" si="12"/>
        <v>Died</v>
      </c>
      <c r="F72" t="s">
        <v>967</v>
      </c>
      <c r="G72" t="s">
        <v>848</v>
      </c>
      <c r="H72" t="s">
        <v>968</v>
      </c>
      <c r="I72" t="str">
        <f t="shared" si="13"/>
        <v>Mr. Chisholm Roderick</v>
      </c>
      <c r="J72" t="s">
        <v>20</v>
      </c>
      <c r="K72" t="str">
        <f t="shared" si="14"/>
        <v>Male</v>
      </c>
      <c r="L72">
        <v>28</v>
      </c>
      <c r="O72">
        <f t="shared" si="15"/>
        <v>28</v>
      </c>
      <c r="P72">
        <v>0</v>
      </c>
      <c r="R72" s="4">
        <v>0</v>
      </c>
      <c r="T72" s="5">
        <v>0</v>
      </c>
      <c r="W72" s="4">
        <v>28</v>
      </c>
      <c r="X72" s="4" t="str">
        <f t="shared" si="16"/>
        <v>Young Adult</v>
      </c>
      <c r="Y72" s="4" t="s">
        <v>3561</v>
      </c>
      <c r="AB72" s="4" t="str">
        <f t="shared" si="17"/>
        <v/>
      </c>
      <c r="AC72" s="4" t="str">
        <f t="shared" si="18"/>
        <v>Unknown</v>
      </c>
      <c r="AD72" s="4" t="s">
        <v>457</v>
      </c>
      <c r="AG72" s="4" t="str">
        <f t="shared" si="19"/>
        <v>Not Applicable</v>
      </c>
      <c r="AK72" s="4" t="s">
        <v>3573</v>
      </c>
      <c r="AL72" s="4" t="str">
        <f t="shared" si="20"/>
        <v>Found</v>
      </c>
      <c r="AN72" s="6">
        <v>0</v>
      </c>
      <c r="AO72" s="4" t="str">
        <f t="shared" si="21"/>
        <v>Low</v>
      </c>
    </row>
    <row r="73" spans="1:41">
      <c r="A73">
        <v>1</v>
      </c>
      <c r="B73" t="str">
        <f t="shared" si="11"/>
        <v>First Class</v>
      </c>
      <c r="C73">
        <v>0</v>
      </c>
      <c r="E73" t="str">
        <f t="shared" si="12"/>
        <v>Died</v>
      </c>
      <c r="F73" t="s">
        <v>969</v>
      </c>
      <c r="G73" t="s">
        <v>848</v>
      </c>
      <c r="H73" t="s">
        <v>970</v>
      </c>
      <c r="I73" t="str">
        <f t="shared" si="13"/>
        <v>Mr. Clark Walter</v>
      </c>
      <c r="J73" t="s">
        <v>20</v>
      </c>
      <c r="K73" t="str">
        <f t="shared" si="14"/>
        <v>Male</v>
      </c>
      <c r="L73">
        <v>27</v>
      </c>
      <c r="O73">
        <f t="shared" si="15"/>
        <v>27</v>
      </c>
      <c r="P73">
        <v>1</v>
      </c>
      <c r="R73" s="4">
        <v>0</v>
      </c>
      <c r="T73" s="5">
        <v>136.7792</v>
      </c>
      <c r="W73" s="4">
        <v>27</v>
      </c>
      <c r="X73" s="4" t="str">
        <f t="shared" si="16"/>
        <v>Young Adult</v>
      </c>
      <c r="Y73" s="4" t="s">
        <v>142</v>
      </c>
      <c r="AA73" s="4" t="s">
        <v>142</v>
      </c>
      <c r="AB73" s="4" t="str">
        <f t="shared" si="17"/>
        <v>C</v>
      </c>
      <c r="AC73" s="4" t="str">
        <f t="shared" si="18"/>
        <v>C</v>
      </c>
      <c r="AD73" s="4" t="s">
        <v>3566</v>
      </c>
      <c r="AG73" s="4" t="str">
        <f t="shared" si="19"/>
        <v>Not Applicable</v>
      </c>
      <c r="AK73" s="4" t="s">
        <v>3573</v>
      </c>
      <c r="AL73" s="4" t="str">
        <f t="shared" si="20"/>
        <v>Found</v>
      </c>
      <c r="AN73" s="6">
        <v>136.7792</v>
      </c>
      <c r="AO73" s="4" t="str">
        <f t="shared" si="21"/>
        <v>High</v>
      </c>
    </row>
    <row r="74" spans="1:41">
      <c r="A74">
        <v>1</v>
      </c>
      <c r="B74" t="str">
        <f t="shared" si="11"/>
        <v>First Class</v>
      </c>
      <c r="C74">
        <v>1</v>
      </c>
      <c r="E74" t="str">
        <f t="shared" si="12"/>
        <v>Survived</v>
      </c>
      <c r="F74" t="s">
        <v>969</v>
      </c>
      <c r="G74" t="s">
        <v>849</v>
      </c>
      <c r="H74" t="s">
        <v>970</v>
      </c>
      <c r="I74" t="str">
        <f t="shared" si="13"/>
        <v>Mrs. Clark Walter</v>
      </c>
      <c r="J74" t="s">
        <v>47</v>
      </c>
      <c r="K74" t="str">
        <f t="shared" si="14"/>
        <v>Female</v>
      </c>
      <c r="L74">
        <v>26</v>
      </c>
      <c r="O74">
        <f t="shared" si="15"/>
        <v>26</v>
      </c>
      <c r="P74">
        <v>1</v>
      </c>
      <c r="R74" s="4">
        <v>0</v>
      </c>
      <c r="T74" s="5">
        <v>136.7792</v>
      </c>
      <c r="W74" s="4">
        <v>26</v>
      </c>
      <c r="X74" s="4" t="str">
        <f t="shared" si="16"/>
        <v>Young Adult</v>
      </c>
      <c r="Y74" s="4" t="s">
        <v>142</v>
      </c>
      <c r="AA74" s="4" t="s">
        <v>142</v>
      </c>
      <c r="AB74" s="4" t="str">
        <f t="shared" si="17"/>
        <v>C</v>
      </c>
      <c r="AC74" s="4" t="str">
        <f t="shared" si="18"/>
        <v>C</v>
      </c>
      <c r="AD74" s="4" t="s">
        <v>3566</v>
      </c>
      <c r="AF74" s="4">
        <v>4</v>
      </c>
      <c r="AG74" s="4">
        <f t="shared" si="19"/>
        <v>4</v>
      </c>
      <c r="AK74" s="4" t="s">
        <v>3573</v>
      </c>
      <c r="AL74" s="4" t="str">
        <f t="shared" si="20"/>
        <v>Found</v>
      </c>
      <c r="AN74" s="6">
        <v>136.7792</v>
      </c>
      <c r="AO74" s="4" t="str">
        <f t="shared" si="21"/>
        <v>High</v>
      </c>
    </row>
    <row r="75" spans="1:41">
      <c r="A75">
        <v>1</v>
      </c>
      <c r="B75" t="str">
        <f t="shared" si="11"/>
        <v>First Class</v>
      </c>
      <c r="C75">
        <v>1</v>
      </c>
      <c r="E75" t="str">
        <f t="shared" si="12"/>
        <v>Survived</v>
      </c>
      <c r="F75" t="s">
        <v>971</v>
      </c>
      <c r="G75" t="s">
        <v>842</v>
      </c>
      <c r="H75" t="s">
        <v>972</v>
      </c>
      <c r="I75" t="str">
        <f t="shared" si="13"/>
        <v>Miss. Cleaver Alice</v>
      </c>
      <c r="J75" t="s">
        <v>47</v>
      </c>
      <c r="K75" t="str">
        <f t="shared" si="14"/>
        <v>Female</v>
      </c>
      <c r="L75">
        <v>22</v>
      </c>
      <c r="O75">
        <f t="shared" si="15"/>
        <v>22</v>
      </c>
      <c r="P75">
        <v>0</v>
      </c>
      <c r="R75" s="4">
        <v>0</v>
      </c>
      <c r="T75" s="5">
        <v>151.55000000000001</v>
      </c>
      <c r="W75" s="4">
        <v>22</v>
      </c>
      <c r="X75" s="4" t="str">
        <f t="shared" si="16"/>
        <v>Young Adult</v>
      </c>
      <c r="Y75" s="4" t="s">
        <v>3561</v>
      </c>
      <c r="AB75" s="4" t="str">
        <f t="shared" si="17"/>
        <v/>
      </c>
      <c r="AC75" s="4" t="str">
        <f t="shared" si="18"/>
        <v>Unknown</v>
      </c>
      <c r="AD75" s="4" t="s">
        <v>457</v>
      </c>
      <c r="AF75" s="4">
        <v>11</v>
      </c>
      <c r="AG75" s="4">
        <f t="shared" si="19"/>
        <v>11</v>
      </c>
      <c r="AK75" s="4" t="s">
        <v>3573</v>
      </c>
      <c r="AL75" s="4" t="str">
        <f t="shared" si="20"/>
        <v>Found</v>
      </c>
      <c r="AN75" s="6">
        <v>151.55000000000001</v>
      </c>
      <c r="AO75" s="4" t="str">
        <f t="shared" si="21"/>
        <v>High</v>
      </c>
    </row>
    <row r="76" spans="1:41">
      <c r="A76">
        <v>1</v>
      </c>
      <c r="B76" t="str">
        <f t="shared" si="11"/>
        <v>First Class</v>
      </c>
      <c r="C76">
        <v>0</v>
      </c>
      <c r="E76" t="str">
        <f t="shared" si="12"/>
        <v>Died</v>
      </c>
      <c r="F76" t="s">
        <v>973</v>
      </c>
      <c r="G76" t="s">
        <v>848</v>
      </c>
      <c r="H76" t="s">
        <v>912</v>
      </c>
      <c r="I76" t="str">
        <f t="shared" si="13"/>
        <v>Mr. Clifford George</v>
      </c>
      <c r="J76" t="s">
        <v>20</v>
      </c>
      <c r="K76" t="str">
        <f t="shared" si="14"/>
        <v>Male</v>
      </c>
      <c r="L76">
        <v>28</v>
      </c>
      <c r="O76">
        <f t="shared" si="15"/>
        <v>28</v>
      </c>
      <c r="P76">
        <v>0</v>
      </c>
      <c r="R76" s="4">
        <v>0</v>
      </c>
      <c r="T76" s="5">
        <v>52</v>
      </c>
      <c r="W76" s="4">
        <v>28</v>
      </c>
      <c r="X76" s="4" t="str">
        <f t="shared" si="16"/>
        <v>Young Adult</v>
      </c>
      <c r="Y76" s="4" t="s">
        <v>143</v>
      </c>
      <c r="AA76" s="4" t="s">
        <v>143</v>
      </c>
      <c r="AB76" s="4" t="str">
        <f t="shared" si="17"/>
        <v>A</v>
      </c>
      <c r="AC76" s="4" t="str">
        <f t="shared" si="18"/>
        <v>A</v>
      </c>
      <c r="AD76" s="4" t="s">
        <v>457</v>
      </c>
      <c r="AG76" s="4" t="str">
        <f t="shared" si="19"/>
        <v>Not Applicable</v>
      </c>
      <c r="AK76" s="4" t="s">
        <v>3573</v>
      </c>
      <c r="AL76" s="4" t="str">
        <f t="shared" si="20"/>
        <v>Found</v>
      </c>
      <c r="AN76" s="6">
        <v>52</v>
      </c>
      <c r="AO76" s="4" t="str">
        <f t="shared" si="21"/>
        <v>High</v>
      </c>
    </row>
    <row r="77" spans="1:41">
      <c r="A77">
        <v>1</v>
      </c>
      <c r="B77" t="str">
        <f t="shared" si="11"/>
        <v>First Class</v>
      </c>
      <c r="C77">
        <v>0</v>
      </c>
      <c r="E77" t="str">
        <f t="shared" si="12"/>
        <v>Died</v>
      </c>
      <c r="F77" t="s">
        <v>974</v>
      </c>
      <c r="G77" t="s">
        <v>848</v>
      </c>
      <c r="H77" t="s">
        <v>857</v>
      </c>
      <c r="I77" t="str">
        <f t="shared" si="13"/>
        <v>Mr. Colley Edward</v>
      </c>
      <c r="J77" t="s">
        <v>20</v>
      </c>
      <c r="K77" t="str">
        <f t="shared" si="14"/>
        <v>Male</v>
      </c>
      <c r="L77">
        <v>47</v>
      </c>
      <c r="O77">
        <f t="shared" si="15"/>
        <v>47</v>
      </c>
      <c r="P77">
        <v>0</v>
      </c>
      <c r="R77" s="4">
        <v>0</v>
      </c>
      <c r="T77" s="5">
        <v>25.587499999999999</v>
      </c>
      <c r="W77" s="4">
        <v>47</v>
      </c>
      <c r="X77" s="4" t="str">
        <f t="shared" si="16"/>
        <v>Adult</v>
      </c>
      <c r="Y77" s="4" t="s">
        <v>145</v>
      </c>
      <c r="AA77" s="4" t="s">
        <v>145</v>
      </c>
      <c r="AB77" s="4" t="str">
        <f t="shared" si="17"/>
        <v>E</v>
      </c>
      <c r="AC77" s="4" t="str">
        <f t="shared" si="18"/>
        <v>E</v>
      </c>
      <c r="AD77" s="4" t="s">
        <v>457</v>
      </c>
      <c r="AG77" s="4" t="str">
        <f t="shared" si="19"/>
        <v>Not Applicable</v>
      </c>
      <c r="AK77" s="4" t="s">
        <v>3573</v>
      </c>
      <c r="AL77" s="4" t="str">
        <f t="shared" si="20"/>
        <v>Found</v>
      </c>
      <c r="AN77" s="6">
        <v>25.587499999999999</v>
      </c>
      <c r="AO77" s="4" t="str">
        <f t="shared" si="21"/>
        <v>Mid</v>
      </c>
    </row>
    <row r="78" spans="1:41">
      <c r="A78">
        <v>1</v>
      </c>
      <c r="B78" t="str">
        <f t="shared" si="11"/>
        <v>First Class</v>
      </c>
      <c r="C78">
        <v>1</v>
      </c>
      <c r="E78" t="str">
        <f t="shared" si="12"/>
        <v>Survived</v>
      </c>
      <c r="F78" t="s">
        <v>975</v>
      </c>
      <c r="G78" t="s">
        <v>842</v>
      </c>
      <c r="H78" t="s">
        <v>976</v>
      </c>
      <c r="I78" t="str">
        <f t="shared" si="13"/>
        <v>Miss. Compton Sara</v>
      </c>
      <c r="J78" t="s">
        <v>47</v>
      </c>
      <c r="K78" t="str">
        <f t="shared" si="14"/>
        <v>Female</v>
      </c>
      <c r="L78">
        <v>39</v>
      </c>
      <c r="O78">
        <f t="shared" si="15"/>
        <v>39</v>
      </c>
      <c r="P78">
        <v>1</v>
      </c>
      <c r="R78" s="4">
        <v>1</v>
      </c>
      <c r="T78" s="5">
        <v>83.158299999999997</v>
      </c>
      <c r="W78" s="4">
        <v>39</v>
      </c>
      <c r="X78" s="4" t="str">
        <f t="shared" si="16"/>
        <v>Adult</v>
      </c>
      <c r="Y78" s="4" t="s">
        <v>148</v>
      </c>
      <c r="AA78" s="4" t="s">
        <v>148</v>
      </c>
      <c r="AB78" s="4" t="str">
        <f t="shared" si="17"/>
        <v>E</v>
      </c>
      <c r="AC78" s="4" t="str">
        <f t="shared" si="18"/>
        <v>E</v>
      </c>
      <c r="AD78" s="4" t="s">
        <v>3566</v>
      </c>
      <c r="AF78" s="4">
        <v>14</v>
      </c>
      <c r="AG78" s="4">
        <f t="shared" si="19"/>
        <v>14</v>
      </c>
      <c r="AK78" s="4" t="s">
        <v>3573</v>
      </c>
      <c r="AL78" s="4" t="str">
        <f t="shared" si="20"/>
        <v>Found</v>
      </c>
      <c r="AN78" s="6">
        <v>83.158299999999997</v>
      </c>
      <c r="AO78" s="4" t="str">
        <f t="shared" si="21"/>
        <v>High</v>
      </c>
    </row>
    <row r="79" spans="1:41">
      <c r="A79">
        <v>1</v>
      </c>
      <c r="B79" t="str">
        <f t="shared" si="11"/>
        <v>First Class</v>
      </c>
      <c r="C79">
        <v>0</v>
      </c>
      <c r="E79" t="str">
        <f t="shared" si="12"/>
        <v>Died</v>
      </c>
      <c r="F79" t="s">
        <v>975</v>
      </c>
      <c r="G79" t="s">
        <v>848</v>
      </c>
      <c r="H79" t="s">
        <v>932</v>
      </c>
      <c r="I79" t="str">
        <f t="shared" si="13"/>
        <v>Mr. Compton Alexander</v>
      </c>
      <c r="J79" t="s">
        <v>20</v>
      </c>
      <c r="K79" t="str">
        <f t="shared" si="14"/>
        <v>Male</v>
      </c>
      <c r="L79">
        <v>37</v>
      </c>
      <c r="O79">
        <f t="shared" si="15"/>
        <v>37</v>
      </c>
      <c r="P79">
        <v>1</v>
      </c>
      <c r="R79" s="4">
        <v>1</v>
      </c>
      <c r="T79" s="5">
        <v>83.158299999999997</v>
      </c>
      <c r="W79" s="4">
        <v>37</v>
      </c>
      <c r="X79" s="4" t="str">
        <f t="shared" si="16"/>
        <v>Adult</v>
      </c>
      <c r="Y79" s="4" t="s">
        <v>150</v>
      </c>
      <c r="AA79" s="4" t="s">
        <v>150</v>
      </c>
      <c r="AB79" s="4" t="str">
        <f t="shared" si="17"/>
        <v>E</v>
      </c>
      <c r="AC79" s="4" t="str">
        <f t="shared" si="18"/>
        <v>E</v>
      </c>
      <c r="AD79" s="4" t="s">
        <v>3566</v>
      </c>
      <c r="AG79" s="4" t="str">
        <f t="shared" si="19"/>
        <v>Not Applicable</v>
      </c>
      <c r="AK79" s="4" t="s">
        <v>3573</v>
      </c>
      <c r="AL79" s="4" t="str">
        <f t="shared" si="20"/>
        <v>Found</v>
      </c>
      <c r="AN79" s="6">
        <v>83.158299999999997</v>
      </c>
      <c r="AO79" s="4" t="str">
        <f t="shared" si="21"/>
        <v>High</v>
      </c>
    </row>
    <row r="80" spans="1:41">
      <c r="A80">
        <v>1</v>
      </c>
      <c r="B80" t="str">
        <f t="shared" si="11"/>
        <v>First Class</v>
      </c>
      <c r="C80">
        <v>1</v>
      </c>
      <c r="E80" t="str">
        <f t="shared" si="12"/>
        <v>Survived</v>
      </c>
      <c r="F80" t="s">
        <v>975</v>
      </c>
      <c r="G80" t="s">
        <v>849</v>
      </c>
      <c r="H80" t="s">
        <v>932</v>
      </c>
      <c r="I80" t="str">
        <f t="shared" si="13"/>
        <v>Mrs. Compton Alexander</v>
      </c>
      <c r="J80" t="s">
        <v>47</v>
      </c>
      <c r="K80" t="str">
        <f t="shared" si="14"/>
        <v>Female</v>
      </c>
      <c r="L80">
        <v>64</v>
      </c>
      <c r="O80">
        <f t="shared" si="15"/>
        <v>64</v>
      </c>
      <c r="P80">
        <v>0</v>
      </c>
      <c r="R80" s="4">
        <v>2</v>
      </c>
      <c r="T80" s="5">
        <v>83.158299999999997</v>
      </c>
      <c r="W80" s="4">
        <v>64</v>
      </c>
      <c r="X80" s="4" t="str">
        <f t="shared" si="16"/>
        <v>Old Adult</v>
      </c>
      <c r="Y80" s="4" t="s">
        <v>151</v>
      </c>
      <c r="AA80" s="4" t="s">
        <v>151</v>
      </c>
      <c r="AB80" s="4" t="str">
        <f t="shared" si="17"/>
        <v>E</v>
      </c>
      <c r="AC80" s="4" t="str">
        <f t="shared" si="18"/>
        <v>E</v>
      </c>
      <c r="AD80" s="4" t="s">
        <v>3566</v>
      </c>
      <c r="AF80" s="4">
        <v>14</v>
      </c>
      <c r="AG80" s="4">
        <f t="shared" si="19"/>
        <v>14</v>
      </c>
      <c r="AK80" s="4" t="s">
        <v>3573</v>
      </c>
      <c r="AL80" s="4" t="str">
        <f t="shared" si="20"/>
        <v>Found</v>
      </c>
      <c r="AN80" s="6">
        <v>83.158299999999997</v>
      </c>
      <c r="AO80" s="4" t="str">
        <f t="shared" si="21"/>
        <v>High</v>
      </c>
    </row>
    <row r="81" spans="1:41">
      <c r="A81">
        <v>1</v>
      </c>
      <c r="B81" t="str">
        <f t="shared" si="11"/>
        <v>First Class</v>
      </c>
      <c r="C81">
        <v>1</v>
      </c>
      <c r="E81" t="str">
        <f t="shared" si="12"/>
        <v>Survived</v>
      </c>
      <c r="F81" t="s">
        <v>979</v>
      </c>
      <c r="G81" t="s">
        <v>849</v>
      </c>
      <c r="H81" t="s">
        <v>925</v>
      </c>
      <c r="I81" t="str">
        <f t="shared" si="13"/>
        <v>Mrs. Cornell Robert</v>
      </c>
      <c r="J81" t="s">
        <v>47</v>
      </c>
      <c r="K81" t="str">
        <f t="shared" si="14"/>
        <v>Female</v>
      </c>
      <c r="L81">
        <v>55</v>
      </c>
      <c r="O81">
        <f t="shared" si="15"/>
        <v>55</v>
      </c>
      <c r="P81">
        <v>2</v>
      </c>
      <c r="R81" s="4">
        <v>0</v>
      </c>
      <c r="T81" s="5">
        <v>25.7</v>
      </c>
      <c r="W81" s="4">
        <v>55</v>
      </c>
      <c r="X81" s="4" t="str">
        <f t="shared" si="16"/>
        <v>Adult</v>
      </c>
      <c r="Y81" s="4" t="s">
        <v>58</v>
      </c>
      <c r="AA81" s="4" t="s">
        <v>58</v>
      </c>
      <c r="AB81" s="4" t="str">
        <f t="shared" si="17"/>
        <v>C</v>
      </c>
      <c r="AC81" s="4" t="str">
        <f t="shared" si="18"/>
        <v>C</v>
      </c>
      <c r="AD81" s="4" t="s">
        <v>457</v>
      </c>
      <c r="AF81" s="4">
        <v>2</v>
      </c>
      <c r="AG81" s="4">
        <f t="shared" si="19"/>
        <v>2</v>
      </c>
      <c r="AK81" s="4" t="s">
        <v>3573</v>
      </c>
      <c r="AL81" s="4" t="str">
        <f t="shared" si="20"/>
        <v>Found</v>
      </c>
      <c r="AN81" s="6">
        <v>25.7</v>
      </c>
      <c r="AO81" s="4" t="str">
        <f t="shared" si="21"/>
        <v>Mid</v>
      </c>
    </row>
    <row r="82" spans="1:41">
      <c r="A82">
        <v>1</v>
      </c>
      <c r="B82" t="str">
        <f t="shared" si="11"/>
        <v>First Class</v>
      </c>
      <c r="C82">
        <v>0</v>
      </c>
      <c r="E82" t="str">
        <f t="shared" si="12"/>
        <v>Died</v>
      </c>
      <c r="F82" t="s">
        <v>980</v>
      </c>
      <c r="G82" t="s">
        <v>848</v>
      </c>
      <c r="H82" t="s">
        <v>862</v>
      </c>
      <c r="I82" t="str">
        <f t="shared" si="13"/>
        <v>Mr. Crafton John</v>
      </c>
      <c r="J82" t="s">
        <v>20</v>
      </c>
      <c r="K82" t="str">
        <f t="shared" si="14"/>
        <v>Male</v>
      </c>
      <c r="L82">
        <v>28</v>
      </c>
      <c r="O82">
        <f t="shared" si="15"/>
        <v>28</v>
      </c>
      <c r="P82">
        <v>0</v>
      </c>
      <c r="R82" s="4">
        <v>0</v>
      </c>
      <c r="T82" s="5">
        <v>26.55</v>
      </c>
      <c r="W82" s="4">
        <v>28</v>
      </c>
      <c r="X82" s="4" t="str">
        <f t="shared" si="16"/>
        <v>Young Adult</v>
      </c>
      <c r="Y82" s="4" t="s">
        <v>3561</v>
      </c>
      <c r="AB82" s="4" t="str">
        <f t="shared" si="17"/>
        <v/>
      </c>
      <c r="AC82" s="4" t="str">
        <f t="shared" si="18"/>
        <v>Unknown</v>
      </c>
      <c r="AD82" s="4" t="s">
        <v>457</v>
      </c>
      <c r="AG82" s="4" t="str">
        <f t="shared" si="19"/>
        <v>Not Applicable</v>
      </c>
      <c r="AK82" s="4" t="s">
        <v>3573</v>
      </c>
      <c r="AL82" s="4" t="str">
        <f t="shared" si="20"/>
        <v>Found</v>
      </c>
      <c r="AN82" s="6">
        <v>26.55</v>
      </c>
      <c r="AO82" s="4" t="str">
        <f t="shared" si="21"/>
        <v>Mid</v>
      </c>
    </row>
    <row r="83" spans="1:41">
      <c r="A83">
        <v>1</v>
      </c>
      <c r="B83" t="str">
        <f t="shared" si="11"/>
        <v>First Class</v>
      </c>
      <c r="C83">
        <v>0</v>
      </c>
      <c r="E83" t="str">
        <f t="shared" si="12"/>
        <v>Died</v>
      </c>
      <c r="F83" t="s">
        <v>981</v>
      </c>
      <c r="G83" t="s">
        <v>982</v>
      </c>
      <c r="H83" t="s">
        <v>857</v>
      </c>
      <c r="I83" t="str">
        <f t="shared" si="13"/>
        <v>Capt. Crosby Edward</v>
      </c>
      <c r="J83" t="s">
        <v>20</v>
      </c>
      <c r="K83" t="str">
        <f t="shared" si="14"/>
        <v>Male</v>
      </c>
      <c r="L83">
        <v>70</v>
      </c>
      <c r="O83">
        <f t="shared" si="15"/>
        <v>70</v>
      </c>
      <c r="P83">
        <v>1</v>
      </c>
      <c r="R83" s="4">
        <v>1</v>
      </c>
      <c r="T83" s="5">
        <v>71</v>
      </c>
      <c r="W83" s="4">
        <v>70</v>
      </c>
      <c r="X83" s="4" t="str">
        <f t="shared" si="16"/>
        <v>Old Adult</v>
      </c>
      <c r="Y83" s="4" t="s">
        <v>154</v>
      </c>
      <c r="AA83" s="4" t="s">
        <v>154</v>
      </c>
      <c r="AB83" s="4" t="str">
        <f t="shared" si="17"/>
        <v>B</v>
      </c>
      <c r="AC83" s="4" t="str">
        <f t="shared" si="18"/>
        <v>B</v>
      </c>
      <c r="AD83" s="4" t="s">
        <v>457</v>
      </c>
      <c r="AG83" s="4" t="str">
        <f t="shared" si="19"/>
        <v>Not Applicable</v>
      </c>
      <c r="AH83" s="4">
        <v>269</v>
      </c>
      <c r="AK83" s="4">
        <v>269</v>
      </c>
      <c r="AL83" s="4" t="str">
        <f t="shared" si="20"/>
        <v>Found</v>
      </c>
      <c r="AN83" s="6">
        <v>71</v>
      </c>
      <c r="AO83" s="4" t="str">
        <f t="shared" si="21"/>
        <v>High</v>
      </c>
    </row>
    <row r="84" spans="1:41">
      <c r="A84">
        <v>1</v>
      </c>
      <c r="B84" t="str">
        <f t="shared" si="11"/>
        <v>First Class</v>
      </c>
      <c r="C84">
        <v>1</v>
      </c>
      <c r="E84" t="str">
        <f t="shared" si="12"/>
        <v>Survived</v>
      </c>
      <c r="F84" t="s">
        <v>981</v>
      </c>
      <c r="G84" t="s">
        <v>842</v>
      </c>
      <c r="H84" t="s">
        <v>983</v>
      </c>
      <c r="I84" t="str">
        <f t="shared" si="13"/>
        <v>Miss. Crosby Harriet</v>
      </c>
      <c r="J84" t="s">
        <v>47</v>
      </c>
      <c r="K84" t="str">
        <f t="shared" si="14"/>
        <v>Female</v>
      </c>
      <c r="L84">
        <v>36</v>
      </c>
      <c r="O84">
        <f t="shared" si="15"/>
        <v>36</v>
      </c>
      <c r="P84">
        <v>0</v>
      </c>
      <c r="R84" s="4">
        <v>2</v>
      </c>
      <c r="T84" s="5">
        <v>71</v>
      </c>
      <c r="W84" s="4">
        <v>36</v>
      </c>
      <c r="X84" s="4" t="str">
        <f t="shared" si="16"/>
        <v>Adult</v>
      </c>
      <c r="Y84" s="4" t="s">
        <v>154</v>
      </c>
      <c r="AA84" s="4" t="s">
        <v>154</v>
      </c>
      <c r="AB84" s="4" t="str">
        <f t="shared" si="17"/>
        <v>B</v>
      </c>
      <c r="AC84" s="4" t="str">
        <f t="shared" si="18"/>
        <v>B</v>
      </c>
      <c r="AD84" s="4" t="s">
        <v>457</v>
      </c>
      <c r="AF84" s="4">
        <v>7</v>
      </c>
      <c r="AG84" s="4">
        <f t="shared" si="19"/>
        <v>7</v>
      </c>
      <c r="AK84" s="4" t="s">
        <v>3573</v>
      </c>
      <c r="AL84" s="4" t="str">
        <f t="shared" si="20"/>
        <v>Found</v>
      </c>
      <c r="AN84" s="6">
        <v>71</v>
      </c>
      <c r="AO84" s="4" t="str">
        <f t="shared" si="21"/>
        <v>High</v>
      </c>
    </row>
    <row r="85" spans="1:41">
      <c r="A85">
        <v>1</v>
      </c>
      <c r="B85" t="str">
        <f t="shared" si="11"/>
        <v>First Class</v>
      </c>
      <c r="C85">
        <v>1</v>
      </c>
      <c r="E85" t="str">
        <f t="shared" si="12"/>
        <v>Survived</v>
      </c>
      <c r="F85" t="s">
        <v>981</v>
      </c>
      <c r="G85" t="s">
        <v>849</v>
      </c>
      <c r="H85" t="s">
        <v>857</v>
      </c>
      <c r="I85" t="str">
        <f t="shared" si="13"/>
        <v>Mrs. Crosby Edward</v>
      </c>
      <c r="J85" t="s">
        <v>47</v>
      </c>
      <c r="K85" t="str">
        <f t="shared" si="14"/>
        <v>Female</v>
      </c>
      <c r="L85">
        <v>64</v>
      </c>
      <c r="O85">
        <f t="shared" si="15"/>
        <v>64</v>
      </c>
      <c r="P85">
        <v>1</v>
      </c>
      <c r="R85" s="4">
        <v>1</v>
      </c>
      <c r="T85" s="5">
        <v>26.55</v>
      </c>
      <c r="W85" s="4">
        <v>64</v>
      </c>
      <c r="X85" s="4" t="str">
        <f t="shared" si="16"/>
        <v>Old Adult</v>
      </c>
      <c r="Y85" s="4" t="s">
        <v>156</v>
      </c>
      <c r="AA85" s="4" t="s">
        <v>156</v>
      </c>
      <c r="AB85" s="4" t="str">
        <f t="shared" si="17"/>
        <v>B</v>
      </c>
      <c r="AC85" s="4" t="str">
        <f t="shared" si="18"/>
        <v>B</v>
      </c>
      <c r="AD85" s="4" t="s">
        <v>457</v>
      </c>
      <c r="AF85" s="4">
        <v>7</v>
      </c>
      <c r="AG85" s="4">
        <f t="shared" si="19"/>
        <v>7</v>
      </c>
      <c r="AK85" s="4" t="s">
        <v>3573</v>
      </c>
      <c r="AL85" s="4" t="str">
        <f t="shared" si="20"/>
        <v>Found</v>
      </c>
      <c r="AN85" s="6">
        <v>26.55</v>
      </c>
      <c r="AO85" s="4" t="str">
        <f t="shared" si="21"/>
        <v>Mid</v>
      </c>
    </row>
    <row r="86" spans="1:41">
      <c r="A86">
        <v>1</v>
      </c>
      <c r="B86" t="str">
        <f t="shared" si="11"/>
        <v>First Class</v>
      </c>
      <c r="C86">
        <v>0</v>
      </c>
      <c r="E86" t="str">
        <f t="shared" si="12"/>
        <v>Died</v>
      </c>
      <c r="F86" t="s">
        <v>985</v>
      </c>
      <c r="G86" t="s">
        <v>848</v>
      </c>
      <c r="H86" t="s">
        <v>862</v>
      </c>
      <c r="I86" t="str">
        <f t="shared" si="13"/>
        <v>Mr. Cumings John</v>
      </c>
      <c r="J86" t="s">
        <v>20</v>
      </c>
      <c r="K86" t="str">
        <f t="shared" si="14"/>
        <v>Male</v>
      </c>
      <c r="L86">
        <v>39</v>
      </c>
      <c r="O86">
        <f t="shared" si="15"/>
        <v>39</v>
      </c>
      <c r="P86">
        <v>1</v>
      </c>
      <c r="R86" s="4">
        <v>0</v>
      </c>
      <c r="T86" s="5">
        <v>71.283299999999997</v>
      </c>
      <c r="W86" s="4">
        <v>39</v>
      </c>
      <c r="X86" s="4" t="str">
        <f t="shared" si="16"/>
        <v>Adult</v>
      </c>
      <c r="Y86" s="4" t="s">
        <v>35</v>
      </c>
      <c r="AA86" s="4" t="s">
        <v>35</v>
      </c>
      <c r="AB86" s="4" t="str">
        <f t="shared" si="17"/>
        <v>C</v>
      </c>
      <c r="AC86" s="4" t="str">
        <f t="shared" si="18"/>
        <v>C</v>
      </c>
      <c r="AD86" s="4" t="s">
        <v>3566</v>
      </c>
      <c r="AG86" s="4" t="str">
        <f t="shared" si="19"/>
        <v>Not Applicable</v>
      </c>
      <c r="AK86" s="4" t="s">
        <v>3573</v>
      </c>
      <c r="AL86" s="4" t="str">
        <f t="shared" si="20"/>
        <v>Found</v>
      </c>
      <c r="AN86" s="6">
        <v>71.283299999999997</v>
      </c>
      <c r="AO86" s="4" t="str">
        <f t="shared" si="21"/>
        <v>High</v>
      </c>
    </row>
    <row r="87" spans="1:41">
      <c r="A87">
        <v>1</v>
      </c>
      <c r="B87" t="str">
        <f t="shared" si="11"/>
        <v>First Class</v>
      </c>
      <c r="C87">
        <v>1</v>
      </c>
      <c r="E87" t="str">
        <f t="shared" si="12"/>
        <v>Survived</v>
      </c>
      <c r="F87" t="s">
        <v>985</v>
      </c>
      <c r="G87" t="s">
        <v>849</v>
      </c>
      <c r="H87" t="s">
        <v>862</v>
      </c>
      <c r="I87" t="str">
        <f t="shared" si="13"/>
        <v>Mrs. Cumings John</v>
      </c>
      <c r="J87" t="s">
        <v>47</v>
      </c>
      <c r="K87" t="str">
        <f t="shared" si="14"/>
        <v>Female</v>
      </c>
      <c r="L87">
        <v>38</v>
      </c>
      <c r="O87">
        <f t="shared" si="15"/>
        <v>38</v>
      </c>
      <c r="P87">
        <v>1</v>
      </c>
      <c r="R87" s="4">
        <v>0</v>
      </c>
      <c r="T87" s="5">
        <v>71.283299999999997</v>
      </c>
      <c r="W87" s="4">
        <v>38</v>
      </c>
      <c r="X87" s="4" t="str">
        <f t="shared" si="16"/>
        <v>Adult</v>
      </c>
      <c r="Y87" s="4" t="s">
        <v>35</v>
      </c>
      <c r="AA87" s="4" t="s">
        <v>35</v>
      </c>
      <c r="AB87" s="4" t="str">
        <f t="shared" si="17"/>
        <v>C</v>
      </c>
      <c r="AC87" s="4" t="str">
        <f t="shared" si="18"/>
        <v>C</v>
      </c>
      <c r="AD87" s="4" t="s">
        <v>3566</v>
      </c>
      <c r="AF87" s="4">
        <v>4</v>
      </c>
      <c r="AG87" s="4">
        <f t="shared" si="19"/>
        <v>4</v>
      </c>
      <c r="AK87" s="4" t="s">
        <v>3573</v>
      </c>
      <c r="AL87" s="4" t="str">
        <f t="shared" si="20"/>
        <v>Found</v>
      </c>
      <c r="AN87" s="6">
        <v>71.283299999999997</v>
      </c>
      <c r="AO87" s="4" t="str">
        <f t="shared" si="21"/>
        <v>High</v>
      </c>
    </row>
    <row r="88" spans="1:41">
      <c r="A88">
        <v>1</v>
      </c>
      <c r="B88" t="str">
        <f t="shared" si="11"/>
        <v>First Class</v>
      </c>
      <c r="C88">
        <v>1</v>
      </c>
      <c r="E88" t="str">
        <f t="shared" si="12"/>
        <v>Survived</v>
      </c>
      <c r="F88" t="s">
        <v>986</v>
      </c>
      <c r="G88" t="s">
        <v>848</v>
      </c>
      <c r="H88" t="s">
        <v>987</v>
      </c>
      <c r="I88" t="str">
        <f t="shared" si="13"/>
        <v>Mr. Daly Peter</v>
      </c>
      <c r="J88" t="s">
        <v>20</v>
      </c>
      <c r="K88" t="str">
        <f t="shared" si="14"/>
        <v>Male</v>
      </c>
      <c r="L88">
        <v>51</v>
      </c>
      <c r="O88">
        <f t="shared" si="15"/>
        <v>51</v>
      </c>
      <c r="P88">
        <v>0</v>
      </c>
      <c r="R88" s="4">
        <v>0</v>
      </c>
      <c r="T88" s="5">
        <v>26.55</v>
      </c>
      <c r="W88" s="4">
        <v>51</v>
      </c>
      <c r="X88" s="4" t="str">
        <f t="shared" si="16"/>
        <v>Adult</v>
      </c>
      <c r="Y88" s="4" t="s">
        <v>158</v>
      </c>
      <c r="AA88" s="4" t="s">
        <v>158</v>
      </c>
      <c r="AB88" s="4" t="str">
        <f t="shared" si="17"/>
        <v>E</v>
      </c>
      <c r="AC88" s="4" t="str">
        <f t="shared" si="18"/>
        <v>E</v>
      </c>
      <c r="AD88" s="4" t="s">
        <v>457</v>
      </c>
      <c r="AF88" s="4" t="s">
        <v>159</v>
      </c>
      <c r="AG88" s="4" t="str">
        <f t="shared" si="19"/>
        <v>5 9</v>
      </c>
      <c r="AK88" s="4" t="s">
        <v>3573</v>
      </c>
      <c r="AL88" s="4" t="str">
        <f t="shared" si="20"/>
        <v>Found</v>
      </c>
      <c r="AN88" s="6">
        <v>26.55</v>
      </c>
      <c r="AO88" s="4" t="str">
        <f t="shared" si="21"/>
        <v>Mid</v>
      </c>
    </row>
    <row r="89" spans="1:41">
      <c r="A89">
        <v>1</v>
      </c>
      <c r="B89" t="str">
        <f t="shared" si="11"/>
        <v>First Class</v>
      </c>
      <c r="C89">
        <v>1</v>
      </c>
      <c r="E89" t="str">
        <f t="shared" si="12"/>
        <v>Survived</v>
      </c>
      <c r="F89" t="s">
        <v>989</v>
      </c>
      <c r="G89" t="s">
        <v>848</v>
      </c>
      <c r="H89" t="s">
        <v>925</v>
      </c>
      <c r="I89" t="str">
        <f t="shared" si="13"/>
        <v>Mr. Daniel Robert</v>
      </c>
      <c r="J89" t="s">
        <v>20</v>
      </c>
      <c r="K89" t="str">
        <f t="shared" si="14"/>
        <v>Male</v>
      </c>
      <c r="L89">
        <v>27</v>
      </c>
      <c r="O89">
        <f t="shared" si="15"/>
        <v>27</v>
      </c>
      <c r="P89">
        <v>0</v>
      </c>
      <c r="R89" s="4">
        <v>0</v>
      </c>
      <c r="T89" s="5">
        <v>30.5</v>
      </c>
      <c r="W89" s="4">
        <v>27</v>
      </c>
      <c r="X89" s="4" t="str">
        <f t="shared" si="16"/>
        <v>Young Adult</v>
      </c>
      <c r="Y89" s="4" t="s">
        <v>3561</v>
      </c>
      <c r="AB89" s="4" t="str">
        <f t="shared" si="17"/>
        <v/>
      </c>
      <c r="AC89" s="4" t="str">
        <f t="shared" si="18"/>
        <v>Unknown</v>
      </c>
      <c r="AD89" s="4" t="s">
        <v>457</v>
      </c>
      <c r="AF89" s="4">
        <v>3</v>
      </c>
      <c r="AG89" s="4">
        <f t="shared" si="19"/>
        <v>3</v>
      </c>
      <c r="AK89" s="4" t="s">
        <v>3573</v>
      </c>
      <c r="AL89" s="4" t="str">
        <f t="shared" si="20"/>
        <v>Found</v>
      </c>
      <c r="AN89" s="6">
        <v>30.5</v>
      </c>
      <c r="AO89" s="4" t="str">
        <f t="shared" si="21"/>
        <v>Mid</v>
      </c>
    </row>
    <row r="90" spans="1:41">
      <c r="A90">
        <v>1</v>
      </c>
      <c r="B90" t="str">
        <f t="shared" si="11"/>
        <v>First Class</v>
      </c>
      <c r="C90">
        <v>1</v>
      </c>
      <c r="E90" t="str">
        <f t="shared" si="12"/>
        <v>Survived</v>
      </c>
      <c r="F90" t="s">
        <v>991</v>
      </c>
      <c r="G90" t="s">
        <v>842</v>
      </c>
      <c r="H90" t="s">
        <v>992</v>
      </c>
      <c r="I90" t="str">
        <f t="shared" si="13"/>
        <v>Miss. Daniels Sarah</v>
      </c>
      <c r="J90" t="s">
        <v>47</v>
      </c>
      <c r="K90" t="str">
        <f t="shared" si="14"/>
        <v>Female</v>
      </c>
      <c r="L90">
        <v>33</v>
      </c>
      <c r="O90">
        <f t="shared" si="15"/>
        <v>33</v>
      </c>
      <c r="P90">
        <v>0</v>
      </c>
      <c r="R90" s="4">
        <v>0</v>
      </c>
      <c r="T90" s="5">
        <v>151.55000000000001</v>
      </c>
      <c r="W90" s="4">
        <v>33</v>
      </c>
      <c r="X90" s="4" t="str">
        <f t="shared" si="16"/>
        <v>Adult</v>
      </c>
      <c r="Y90" s="4" t="s">
        <v>3561</v>
      </c>
      <c r="AB90" s="4" t="str">
        <f t="shared" si="17"/>
        <v/>
      </c>
      <c r="AC90" s="4" t="str">
        <f t="shared" si="18"/>
        <v>Unknown</v>
      </c>
      <c r="AD90" s="4" t="s">
        <v>457</v>
      </c>
      <c r="AF90" s="4">
        <v>8</v>
      </c>
      <c r="AG90" s="4">
        <f t="shared" si="19"/>
        <v>8</v>
      </c>
      <c r="AK90" s="4" t="s">
        <v>3573</v>
      </c>
      <c r="AL90" s="4" t="str">
        <f t="shared" si="20"/>
        <v>Found</v>
      </c>
      <c r="AN90" s="6">
        <v>151.55000000000001</v>
      </c>
      <c r="AO90" s="4" t="str">
        <f t="shared" si="21"/>
        <v>High</v>
      </c>
    </row>
    <row r="91" spans="1:41">
      <c r="A91">
        <v>1</v>
      </c>
      <c r="B91" t="str">
        <f t="shared" si="11"/>
        <v>First Class</v>
      </c>
      <c r="C91">
        <v>0</v>
      </c>
      <c r="E91" t="str">
        <f t="shared" si="12"/>
        <v>Died</v>
      </c>
      <c r="F91" t="s">
        <v>993</v>
      </c>
      <c r="G91" t="s">
        <v>848</v>
      </c>
      <c r="H91" t="s">
        <v>943</v>
      </c>
      <c r="I91" t="str">
        <f t="shared" si="13"/>
        <v>Mr. Davidson Thornton</v>
      </c>
      <c r="J91" t="s">
        <v>20</v>
      </c>
      <c r="K91" t="str">
        <f t="shared" si="14"/>
        <v>Male</v>
      </c>
      <c r="L91">
        <v>31</v>
      </c>
      <c r="O91">
        <f t="shared" si="15"/>
        <v>31</v>
      </c>
      <c r="P91">
        <v>1</v>
      </c>
      <c r="R91" s="4">
        <v>0</v>
      </c>
      <c r="T91" s="5">
        <v>52</v>
      </c>
      <c r="W91" s="4">
        <v>31</v>
      </c>
      <c r="X91" s="4" t="str">
        <f t="shared" si="16"/>
        <v>Adult</v>
      </c>
      <c r="Y91" s="4" t="s">
        <v>162</v>
      </c>
      <c r="AA91" s="4" t="s">
        <v>162</v>
      </c>
      <c r="AB91" s="4" t="str">
        <f t="shared" si="17"/>
        <v>B</v>
      </c>
      <c r="AC91" s="4" t="str">
        <f t="shared" si="18"/>
        <v>B</v>
      </c>
      <c r="AD91" s="4" t="s">
        <v>457</v>
      </c>
      <c r="AG91" s="4" t="str">
        <f t="shared" si="19"/>
        <v>Not Applicable</v>
      </c>
      <c r="AK91" s="4" t="s">
        <v>3573</v>
      </c>
      <c r="AL91" s="4" t="str">
        <f t="shared" si="20"/>
        <v>Found</v>
      </c>
      <c r="AN91" s="6">
        <v>52</v>
      </c>
      <c r="AO91" s="4" t="str">
        <f t="shared" si="21"/>
        <v>High</v>
      </c>
    </row>
    <row r="92" spans="1:41">
      <c r="A92">
        <v>1</v>
      </c>
      <c r="B92" t="str">
        <f t="shared" si="11"/>
        <v>First Class</v>
      </c>
      <c r="C92">
        <v>1</v>
      </c>
      <c r="E92" t="str">
        <f t="shared" si="12"/>
        <v>Survived</v>
      </c>
      <c r="F92" t="s">
        <v>993</v>
      </c>
      <c r="G92" t="s">
        <v>849</v>
      </c>
      <c r="H92" t="s">
        <v>943</v>
      </c>
      <c r="I92" t="str">
        <f t="shared" si="13"/>
        <v>Mrs. Davidson Thornton</v>
      </c>
      <c r="J92" t="s">
        <v>47</v>
      </c>
      <c r="K92" t="str">
        <f t="shared" si="14"/>
        <v>Female</v>
      </c>
      <c r="L92">
        <v>27</v>
      </c>
      <c r="O92">
        <f t="shared" si="15"/>
        <v>27</v>
      </c>
      <c r="P92">
        <v>1</v>
      </c>
      <c r="R92" s="4">
        <v>2</v>
      </c>
      <c r="T92" s="5">
        <v>52</v>
      </c>
      <c r="W92" s="4">
        <v>27</v>
      </c>
      <c r="X92" s="4" t="str">
        <f t="shared" si="16"/>
        <v>Young Adult</v>
      </c>
      <c r="Y92" s="4" t="s">
        <v>162</v>
      </c>
      <c r="AA92" s="4" t="s">
        <v>162</v>
      </c>
      <c r="AB92" s="4" t="str">
        <f t="shared" si="17"/>
        <v>B</v>
      </c>
      <c r="AC92" s="4" t="str">
        <f t="shared" si="18"/>
        <v>B</v>
      </c>
      <c r="AD92" s="4" t="s">
        <v>457</v>
      </c>
      <c r="AF92" s="4">
        <v>3</v>
      </c>
      <c r="AG92" s="4">
        <f t="shared" si="19"/>
        <v>3</v>
      </c>
      <c r="AK92" s="4" t="s">
        <v>3573</v>
      </c>
      <c r="AL92" s="4" t="str">
        <f t="shared" si="20"/>
        <v>Found</v>
      </c>
      <c r="AN92" s="6">
        <v>52</v>
      </c>
      <c r="AO92" s="4" t="str">
        <f t="shared" si="21"/>
        <v>High</v>
      </c>
    </row>
    <row r="93" spans="1:41">
      <c r="A93">
        <v>1</v>
      </c>
      <c r="B93" t="str">
        <f t="shared" si="11"/>
        <v>First Class</v>
      </c>
      <c r="C93">
        <v>1</v>
      </c>
      <c r="E93" t="str">
        <f t="shared" si="12"/>
        <v>Survived</v>
      </c>
      <c r="F93" t="s">
        <v>994</v>
      </c>
      <c r="G93" t="s">
        <v>848</v>
      </c>
      <c r="H93" t="s">
        <v>995</v>
      </c>
      <c r="I93" t="str">
        <f t="shared" si="13"/>
        <v>Mr. Dick Albert</v>
      </c>
      <c r="J93" t="s">
        <v>20</v>
      </c>
      <c r="K93" t="str">
        <f t="shared" si="14"/>
        <v>Male</v>
      </c>
      <c r="L93">
        <v>31</v>
      </c>
      <c r="O93">
        <f t="shared" si="15"/>
        <v>31</v>
      </c>
      <c r="P93">
        <v>1</v>
      </c>
      <c r="R93" s="4">
        <v>0</v>
      </c>
      <c r="T93" s="5">
        <v>57</v>
      </c>
      <c r="W93" s="4">
        <v>31</v>
      </c>
      <c r="X93" s="4" t="str">
        <f t="shared" si="16"/>
        <v>Adult</v>
      </c>
      <c r="Y93" s="4" t="s">
        <v>163</v>
      </c>
      <c r="AA93" s="4" t="s">
        <v>163</v>
      </c>
      <c r="AB93" s="4" t="str">
        <f t="shared" si="17"/>
        <v>B</v>
      </c>
      <c r="AC93" s="4" t="str">
        <f t="shared" si="18"/>
        <v>B</v>
      </c>
      <c r="AD93" s="4" t="s">
        <v>457</v>
      </c>
      <c r="AF93" s="4">
        <v>3</v>
      </c>
      <c r="AG93" s="4">
        <f t="shared" si="19"/>
        <v>3</v>
      </c>
      <c r="AK93" s="4" t="s">
        <v>3573</v>
      </c>
      <c r="AL93" s="4" t="str">
        <f t="shared" si="20"/>
        <v>Found</v>
      </c>
      <c r="AN93" s="6">
        <v>57</v>
      </c>
      <c r="AO93" s="4" t="str">
        <f t="shared" si="21"/>
        <v>High</v>
      </c>
    </row>
    <row r="94" spans="1:41">
      <c r="A94">
        <v>1</v>
      </c>
      <c r="B94" t="str">
        <f t="shared" si="11"/>
        <v>First Class</v>
      </c>
      <c r="C94">
        <v>1</v>
      </c>
      <c r="E94" t="str">
        <f t="shared" si="12"/>
        <v>Survived</v>
      </c>
      <c r="F94" t="s">
        <v>994</v>
      </c>
      <c r="G94" t="s">
        <v>849</v>
      </c>
      <c r="H94" t="s">
        <v>995</v>
      </c>
      <c r="I94" t="str">
        <f t="shared" si="13"/>
        <v>Mrs. Dick Albert</v>
      </c>
      <c r="J94" t="s">
        <v>47</v>
      </c>
      <c r="K94" t="str">
        <f t="shared" si="14"/>
        <v>Female</v>
      </c>
      <c r="L94">
        <v>17</v>
      </c>
      <c r="O94">
        <f t="shared" si="15"/>
        <v>17</v>
      </c>
      <c r="P94">
        <v>1</v>
      </c>
      <c r="R94" s="4">
        <v>0</v>
      </c>
      <c r="T94" s="5">
        <v>57</v>
      </c>
      <c r="W94" s="4">
        <v>17</v>
      </c>
      <c r="X94" s="4" t="str">
        <f t="shared" si="16"/>
        <v>Teenager</v>
      </c>
      <c r="Y94" s="4" t="s">
        <v>163</v>
      </c>
      <c r="AA94" s="4" t="s">
        <v>163</v>
      </c>
      <c r="AB94" s="4" t="str">
        <f t="shared" si="17"/>
        <v>B</v>
      </c>
      <c r="AC94" s="4" t="str">
        <f t="shared" si="18"/>
        <v>B</v>
      </c>
      <c r="AD94" s="4" t="s">
        <v>457</v>
      </c>
      <c r="AF94" s="4">
        <v>3</v>
      </c>
      <c r="AG94" s="4">
        <f t="shared" si="19"/>
        <v>3</v>
      </c>
      <c r="AK94" s="4" t="s">
        <v>3573</v>
      </c>
      <c r="AL94" s="4" t="str">
        <f t="shared" si="20"/>
        <v>Found</v>
      </c>
      <c r="AN94" s="6">
        <v>57</v>
      </c>
      <c r="AO94" s="4" t="str">
        <f t="shared" si="21"/>
        <v>High</v>
      </c>
    </row>
    <row r="95" spans="1:41">
      <c r="A95">
        <v>1</v>
      </c>
      <c r="B95" t="str">
        <f t="shared" si="11"/>
        <v>First Class</v>
      </c>
      <c r="C95">
        <v>1</v>
      </c>
      <c r="E95" t="str">
        <f t="shared" si="12"/>
        <v>Survived</v>
      </c>
      <c r="F95" t="s">
        <v>996</v>
      </c>
      <c r="G95" t="s">
        <v>919</v>
      </c>
      <c r="H95" t="s">
        <v>997</v>
      </c>
      <c r="I95" t="str">
        <f t="shared" si="13"/>
        <v>Dr. Dodge Washington</v>
      </c>
      <c r="J95" t="s">
        <v>20</v>
      </c>
      <c r="K95" t="str">
        <f t="shared" si="14"/>
        <v>Male</v>
      </c>
      <c r="L95">
        <v>53</v>
      </c>
      <c r="O95">
        <f t="shared" si="15"/>
        <v>53</v>
      </c>
      <c r="P95">
        <v>1</v>
      </c>
      <c r="R95" s="4">
        <v>1</v>
      </c>
      <c r="T95" s="5">
        <v>81.8583</v>
      </c>
      <c r="W95" s="4">
        <v>53</v>
      </c>
      <c r="X95" s="4" t="str">
        <f t="shared" si="16"/>
        <v>Adult</v>
      </c>
      <c r="Y95" s="4" t="s">
        <v>165</v>
      </c>
      <c r="AA95" s="4" t="s">
        <v>165</v>
      </c>
      <c r="AB95" s="4" t="str">
        <f t="shared" si="17"/>
        <v>A</v>
      </c>
      <c r="AC95" s="4" t="str">
        <f t="shared" si="18"/>
        <v>A</v>
      </c>
      <c r="AD95" s="4" t="s">
        <v>457</v>
      </c>
      <c r="AF95" s="4">
        <v>13</v>
      </c>
      <c r="AG95" s="4">
        <f t="shared" si="19"/>
        <v>13</v>
      </c>
      <c r="AK95" s="4" t="s">
        <v>3573</v>
      </c>
      <c r="AL95" s="4" t="str">
        <f t="shared" si="20"/>
        <v>Found</v>
      </c>
      <c r="AN95" s="6">
        <v>81.8583</v>
      </c>
      <c r="AO95" s="4" t="str">
        <f t="shared" si="21"/>
        <v>High</v>
      </c>
    </row>
    <row r="96" spans="1:41">
      <c r="A96">
        <v>1</v>
      </c>
      <c r="B96" t="str">
        <f t="shared" si="11"/>
        <v>First Class</v>
      </c>
      <c r="C96">
        <v>1</v>
      </c>
      <c r="E96" t="str">
        <f t="shared" si="12"/>
        <v>Survived</v>
      </c>
      <c r="F96" t="s">
        <v>996</v>
      </c>
      <c r="G96" t="s">
        <v>845</v>
      </c>
      <c r="H96" t="s">
        <v>997</v>
      </c>
      <c r="I96" t="str">
        <f t="shared" si="13"/>
        <v>Master. Dodge Washington</v>
      </c>
      <c r="J96" t="s">
        <v>20</v>
      </c>
      <c r="K96" t="str">
        <f t="shared" si="14"/>
        <v>Male</v>
      </c>
      <c r="L96">
        <v>4</v>
      </c>
      <c r="O96">
        <f t="shared" si="15"/>
        <v>4</v>
      </c>
      <c r="P96">
        <v>0</v>
      </c>
      <c r="R96" s="4">
        <v>2</v>
      </c>
      <c r="T96" s="5">
        <v>81.8583</v>
      </c>
      <c r="W96" s="4">
        <v>4</v>
      </c>
      <c r="X96" s="4" t="str">
        <f t="shared" si="16"/>
        <v>Child</v>
      </c>
      <c r="Y96" s="4" t="s">
        <v>165</v>
      </c>
      <c r="AA96" s="4" t="s">
        <v>165</v>
      </c>
      <c r="AB96" s="4" t="str">
        <f t="shared" si="17"/>
        <v>A</v>
      </c>
      <c r="AC96" s="4" t="str">
        <f t="shared" si="18"/>
        <v>A</v>
      </c>
      <c r="AD96" s="4" t="s">
        <v>457</v>
      </c>
      <c r="AF96" s="4">
        <v>5</v>
      </c>
      <c r="AG96" s="4">
        <f t="shared" si="19"/>
        <v>5</v>
      </c>
      <c r="AK96" s="4" t="s">
        <v>3573</v>
      </c>
      <c r="AL96" s="4" t="str">
        <f t="shared" si="20"/>
        <v>Found</v>
      </c>
      <c r="AN96" s="6">
        <v>81.8583</v>
      </c>
      <c r="AO96" s="4" t="str">
        <f t="shared" si="21"/>
        <v>High</v>
      </c>
    </row>
    <row r="97" spans="1:41">
      <c r="A97">
        <v>1</v>
      </c>
      <c r="B97" t="str">
        <f t="shared" si="11"/>
        <v>First Class</v>
      </c>
      <c r="C97">
        <v>1</v>
      </c>
      <c r="E97" t="str">
        <f t="shared" si="12"/>
        <v>Survived</v>
      </c>
      <c r="F97" t="s">
        <v>996</v>
      </c>
      <c r="G97" t="s">
        <v>849</v>
      </c>
      <c r="H97" t="s">
        <v>997</v>
      </c>
      <c r="I97" t="str">
        <f t="shared" si="13"/>
        <v>Mrs. Dodge Washington</v>
      </c>
      <c r="J97" t="s">
        <v>47</v>
      </c>
      <c r="K97" t="str">
        <f t="shared" si="14"/>
        <v>Female</v>
      </c>
      <c r="L97">
        <v>54</v>
      </c>
      <c r="O97">
        <f t="shared" si="15"/>
        <v>54</v>
      </c>
      <c r="P97">
        <v>1</v>
      </c>
      <c r="R97" s="4">
        <v>1</v>
      </c>
      <c r="T97" s="5">
        <v>81.8583</v>
      </c>
      <c r="W97" s="4">
        <v>54</v>
      </c>
      <c r="X97" s="4" t="str">
        <f t="shared" si="16"/>
        <v>Adult</v>
      </c>
      <c r="Y97" s="4" t="s">
        <v>165</v>
      </c>
      <c r="AA97" s="4" t="s">
        <v>165</v>
      </c>
      <c r="AB97" s="4" t="str">
        <f t="shared" si="17"/>
        <v>A</v>
      </c>
      <c r="AC97" s="4" t="str">
        <f t="shared" si="18"/>
        <v>A</v>
      </c>
      <c r="AD97" s="4" t="s">
        <v>457</v>
      </c>
      <c r="AF97" s="4">
        <v>5</v>
      </c>
      <c r="AG97" s="4">
        <f t="shared" si="19"/>
        <v>5</v>
      </c>
      <c r="AK97" s="4" t="s">
        <v>3573</v>
      </c>
      <c r="AL97" s="4" t="str">
        <f t="shared" si="20"/>
        <v>Found</v>
      </c>
      <c r="AN97" s="6">
        <v>81.8583</v>
      </c>
      <c r="AO97" s="4" t="str">
        <f t="shared" si="21"/>
        <v>High</v>
      </c>
    </row>
    <row r="98" spans="1:41">
      <c r="A98">
        <v>1</v>
      </c>
      <c r="B98" t="str">
        <f t="shared" si="11"/>
        <v>First Class</v>
      </c>
      <c r="C98">
        <v>0</v>
      </c>
      <c r="E98" t="str">
        <f t="shared" si="12"/>
        <v>Died</v>
      </c>
      <c r="F98" t="s">
        <v>998</v>
      </c>
      <c r="G98" t="s">
        <v>848</v>
      </c>
      <c r="H98" t="s">
        <v>970</v>
      </c>
      <c r="I98" t="str">
        <f t="shared" si="13"/>
        <v>Mr. Douglas Walter</v>
      </c>
      <c r="J98" t="s">
        <v>20</v>
      </c>
      <c r="K98" t="str">
        <f t="shared" si="14"/>
        <v>Male</v>
      </c>
      <c r="L98">
        <v>50</v>
      </c>
      <c r="O98">
        <f t="shared" si="15"/>
        <v>50</v>
      </c>
      <c r="P98">
        <v>1</v>
      </c>
      <c r="R98" s="4">
        <v>0</v>
      </c>
      <c r="T98" s="5">
        <v>106.425</v>
      </c>
      <c r="W98" s="4">
        <v>50</v>
      </c>
      <c r="X98" s="4" t="str">
        <f t="shared" si="16"/>
        <v>Adult</v>
      </c>
      <c r="Y98" s="4" t="s">
        <v>167</v>
      </c>
      <c r="AA98" s="4" t="s">
        <v>167</v>
      </c>
      <c r="AB98" s="4" t="str">
        <f t="shared" si="17"/>
        <v>C</v>
      </c>
      <c r="AC98" s="4" t="str">
        <f t="shared" si="18"/>
        <v>C</v>
      </c>
      <c r="AD98" s="4" t="s">
        <v>3566</v>
      </c>
      <c r="AG98" s="4" t="str">
        <f t="shared" si="19"/>
        <v>Not Applicable</v>
      </c>
      <c r="AH98" s="4">
        <v>62</v>
      </c>
      <c r="AK98" s="4">
        <v>62</v>
      </c>
      <c r="AL98" s="4" t="str">
        <f t="shared" si="20"/>
        <v>Found</v>
      </c>
      <c r="AN98" s="6">
        <v>106.425</v>
      </c>
      <c r="AO98" s="4" t="str">
        <f t="shared" si="21"/>
        <v>High</v>
      </c>
    </row>
    <row r="99" spans="1:41">
      <c r="A99">
        <v>1</v>
      </c>
      <c r="B99" t="str">
        <f t="shared" si="11"/>
        <v>First Class</v>
      </c>
      <c r="C99">
        <v>1</v>
      </c>
      <c r="E99" t="str">
        <f t="shared" si="12"/>
        <v>Survived</v>
      </c>
      <c r="F99" t="s">
        <v>998</v>
      </c>
      <c r="G99" t="s">
        <v>849</v>
      </c>
      <c r="H99" t="s">
        <v>999</v>
      </c>
      <c r="I99" t="str">
        <f t="shared" si="13"/>
        <v>Mrs. Douglas Frederick</v>
      </c>
      <c r="J99" t="s">
        <v>47</v>
      </c>
      <c r="K99" t="str">
        <f t="shared" si="14"/>
        <v>Female</v>
      </c>
      <c r="L99">
        <v>27</v>
      </c>
      <c r="O99">
        <f t="shared" si="15"/>
        <v>27</v>
      </c>
      <c r="P99">
        <v>1</v>
      </c>
      <c r="R99" s="4">
        <v>1</v>
      </c>
      <c r="T99" s="5">
        <v>247.52080000000001</v>
      </c>
      <c r="W99" s="4">
        <v>27</v>
      </c>
      <c r="X99" s="4" t="str">
        <f t="shared" si="16"/>
        <v>Young Adult</v>
      </c>
      <c r="Y99" s="4" t="s">
        <v>74</v>
      </c>
      <c r="AA99" s="4" t="s">
        <v>74</v>
      </c>
      <c r="AB99" s="4" t="str">
        <f t="shared" si="17"/>
        <v>B</v>
      </c>
      <c r="AC99" s="4" t="str">
        <f t="shared" si="18"/>
        <v>B</v>
      </c>
      <c r="AD99" s="4" t="s">
        <v>3566</v>
      </c>
      <c r="AF99" s="4">
        <v>6</v>
      </c>
      <c r="AG99" s="4">
        <f t="shared" si="19"/>
        <v>6</v>
      </c>
      <c r="AK99" s="4" t="s">
        <v>3573</v>
      </c>
      <c r="AL99" s="4" t="str">
        <f t="shared" si="20"/>
        <v>Found</v>
      </c>
      <c r="AN99" s="6">
        <v>247.52080000000001</v>
      </c>
      <c r="AO99" s="4" t="str">
        <f t="shared" si="21"/>
        <v>High</v>
      </c>
    </row>
    <row r="100" spans="1:41">
      <c r="A100">
        <v>1</v>
      </c>
      <c r="B100" t="str">
        <f t="shared" si="11"/>
        <v>First Class</v>
      </c>
      <c r="C100">
        <v>1</v>
      </c>
      <c r="E100" t="str">
        <f t="shared" si="12"/>
        <v>Survived</v>
      </c>
      <c r="F100" t="s">
        <v>998</v>
      </c>
      <c r="G100" t="s">
        <v>849</v>
      </c>
      <c r="H100" t="s">
        <v>970</v>
      </c>
      <c r="I100" t="str">
        <f t="shared" si="13"/>
        <v>Mrs. Douglas Walter</v>
      </c>
      <c r="J100" t="s">
        <v>47</v>
      </c>
      <c r="K100" t="str">
        <f t="shared" si="14"/>
        <v>Female</v>
      </c>
      <c r="L100">
        <v>48</v>
      </c>
      <c r="O100">
        <f t="shared" si="15"/>
        <v>48</v>
      </c>
      <c r="P100">
        <v>1</v>
      </c>
      <c r="R100" s="4">
        <v>0</v>
      </c>
      <c r="T100" s="5">
        <v>106.425</v>
      </c>
      <c r="W100" s="4">
        <v>48</v>
      </c>
      <c r="X100" s="4" t="str">
        <f t="shared" si="16"/>
        <v>Adult</v>
      </c>
      <c r="Y100" s="4" t="s">
        <v>167</v>
      </c>
      <c r="AA100" s="4" t="s">
        <v>167</v>
      </c>
      <c r="AB100" s="4" t="str">
        <f t="shared" si="17"/>
        <v>C</v>
      </c>
      <c r="AC100" s="4" t="str">
        <f t="shared" si="18"/>
        <v>C</v>
      </c>
      <c r="AD100" s="4" t="s">
        <v>3566</v>
      </c>
      <c r="AF100" s="4">
        <v>2</v>
      </c>
      <c r="AG100" s="4">
        <f t="shared" si="19"/>
        <v>2</v>
      </c>
      <c r="AK100" s="4" t="s">
        <v>3573</v>
      </c>
      <c r="AL100" s="4" t="str">
        <f t="shared" si="20"/>
        <v>Found</v>
      </c>
      <c r="AN100" s="6">
        <v>106.425</v>
      </c>
      <c r="AO100" s="4" t="str">
        <f t="shared" si="21"/>
        <v>High</v>
      </c>
    </row>
    <row r="101" spans="1:41">
      <c r="A101">
        <v>1</v>
      </c>
      <c r="B101" t="str">
        <f t="shared" si="11"/>
        <v>First Class</v>
      </c>
      <c r="C101">
        <v>1</v>
      </c>
      <c r="E101" t="str">
        <f t="shared" si="12"/>
        <v>Survived</v>
      </c>
      <c r="F101" t="s">
        <v>1002</v>
      </c>
      <c r="G101" t="s">
        <v>1003</v>
      </c>
      <c r="H101" t="s">
        <v>1004</v>
      </c>
      <c r="I101" t="str">
        <f t="shared" si="13"/>
        <v>Gordon Duff Lady.</v>
      </c>
      <c r="J101" t="s">
        <v>47</v>
      </c>
      <c r="K101" t="str">
        <f t="shared" si="14"/>
        <v>Female</v>
      </c>
      <c r="L101">
        <v>48</v>
      </c>
      <c r="O101">
        <f t="shared" si="15"/>
        <v>48</v>
      </c>
      <c r="P101">
        <v>1</v>
      </c>
      <c r="R101" s="4">
        <v>0</v>
      </c>
      <c r="T101" s="5">
        <v>39.6</v>
      </c>
      <c r="W101" s="4">
        <v>48</v>
      </c>
      <c r="X101" s="4" t="str">
        <f t="shared" si="16"/>
        <v>Adult</v>
      </c>
      <c r="Y101" s="4" t="s">
        <v>169</v>
      </c>
      <c r="AA101" s="4" t="s">
        <v>169</v>
      </c>
      <c r="AB101" s="4" t="str">
        <f t="shared" si="17"/>
        <v>A</v>
      </c>
      <c r="AC101" s="4" t="str">
        <f t="shared" si="18"/>
        <v>A</v>
      </c>
      <c r="AD101" s="4" t="s">
        <v>3566</v>
      </c>
      <c r="AF101" s="4">
        <v>1</v>
      </c>
      <c r="AG101" s="4">
        <f t="shared" si="19"/>
        <v>1</v>
      </c>
      <c r="AK101" s="4" t="s">
        <v>3573</v>
      </c>
      <c r="AL101" s="4" t="str">
        <f t="shared" si="20"/>
        <v>Found</v>
      </c>
      <c r="AN101" s="6">
        <v>39.6</v>
      </c>
      <c r="AO101" s="4" t="str">
        <f t="shared" si="21"/>
        <v>Mid</v>
      </c>
    </row>
    <row r="102" spans="1:41">
      <c r="A102">
        <v>1</v>
      </c>
      <c r="B102" t="str">
        <f t="shared" si="11"/>
        <v>First Class</v>
      </c>
      <c r="C102">
        <v>1</v>
      </c>
      <c r="E102" t="str">
        <f t="shared" si="12"/>
        <v>Survived</v>
      </c>
      <c r="F102" t="s">
        <v>1002</v>
      </c>
      <c r="G102" t="s">
        <v>1003</v>
      </c>
      <c r="H102" t="s">
        <v>1005</v>
      </c>
      <c r="I102" t="str">
        <f t="shared" si="13"/>
        <v>Gordon Duff Sir.</v>
      </c>
      <c r="J102" t="s">
        <v>20</v>
      </c>
      <c r="K102" t="str">
        <f t="shared" si="14"/>
        <v>Male</v>
      </c>
      <c r="L102">
        <v>49</v>
      </c>
      <c r="O102">
        <f t="shared" si="15"/>
        <v>49</v>
      </c>
      <c r="P102">
        <v>1</v>
      </c>
      <c r="R102" s="4">
        <v>0</v>
      </c>
      <c r="T102" s="5">
        <v>56.929200000000002</v>
      </c>
      <c r="W102" s="4">
        <v>49</v>
      </c>
      <c r="X102" s="4" t="str">
        <f t="shared" si="16"/>
        <v>Adult</v>
      </c>
      <c r="Y102" s="4" t="s">
        <v>172</v>
      </c>
      <c r="AA102" s="4" t="s">
        <v>172</v>
      </c>
      <c r="AB102" s="4" t="str">
        <f t="shared" si="17"/>
        <v>A</v>
      </c>
      <c r="AC102" s="4" t="str">
        <f t="shared" si="18"/>
        <v>A</v>
      </c>
      <c r="AD102" s="4" t="s">
        <v>3566</v>
      </c>
      <c r="AF102" s="4">
        <v>1</v>
      </c>
      <c r="AG102" s="4">
        <f t="shared" si="19"/>
        <v>1</v>
      </c>
      <c r="AK102" s="4" t="s">
        <v>3573</v>
      </c>
      <c r="AL102" s="4" t="str">
        <f t="shared" si="20"/>
        <v>Found</v>
      </c>
      <c r="AN102" s="6">
        <v>56.929200000000002</v>
      </c>
      <c r="AO102" s="4" t="str">
        <f t="shared" si="21"/>
        <v>High</v>
      </c>
    </row>
    <row r="103" spans="1:41">
      <c r="A103">
        <v>1</v>
      </c>
      <c r="B103" t="str">
        <f t="shared" si="11"/>
        <v>First Class</v>
      </c>
      <c r="C103">
        <v>0</v>
      </c>
      <c r="E103" t="str">
        <f t="shared" si="12"/>
        <v>Died</v>
      </c>
      <c r="F103" t="s">
        <v>1006</v>
      </c>
      <c r="G103" t="s">
        <v>848</v>
      </c>
      <c r="H103" t="s">
        <v>924</v>
      </c>
      <c r="I103" t="str">
        <f t="shared" si="13"/>
        <v>Mr. Dulles William</v>
      </c>
      <c r="J103" t="s">
        <v>20</v>
      </c>
      <c r="K103" t="str">
        <f t="shared" si="14"/>
        <v>Male</v>
      </c>
      <c r="L103">
        <v>39</v>
      </c>
      <c r="O103">
        <f t="shared" si="15"/>
        <v>39</v>
      </c>
      <c r="P103">
        <v>0</v>
      </c>
      <c r="R103" s="4">
        <v>0</v>
      </c>
      <c r="T103" s="5">
        <v>29.7</v>
      </c>
      <c r="W103" s="4">
        <v>39</v>
      </c>
      <c r="X103" s="4" t="str">
        <f t="shared" si="16"/>
        <v>Adult</v>
      </c>
      <c r="Y103" s="4" t="s">
        <v>174</v>
      </c>
      <c r="AA103" s="4" t="s">
        <v>174</v>
      </c>
      <c r="AB103" s="4" t="str">
        <f t="shared" si="17"/>
        <v>A</v>
      </c>
      <c r="AC103" s="4" t="str">
        <f t="shared" si="18"/>
        <v>A</v>
      </c>
      <c r="AD103" s="4" t="s">
        <v>3566</v>
      </c>
      <c r="AG103" s="4" t="str">
        <f t="shared" si="19"/>
        <v>Not Applicable</v>
      </c>
      <c r="AH103" s="4">
        <v>133</v>
      </c>
      <c r="AK103" s="4">
        <v>133</v>
      </c>
      <c r="AL103" s="4" t="str">
        <f t="shared" si="20"/>
        <v>Found</v>
      </c>
      <c r="AN103" s="6">
        <v>29.7</v>
      </c>
      <c r="AO103" s="4" t="str">
        <f t="shared" si="21"/>
        <v>Mid</v>
      </c>
    </row>
    <row r="104" spans="1:41">
      <c r="A104">
        <v>1</v>
      </c>
      <c r="B104" t="str">
        <f t="shared" si="11"/>
        <v>First Class</v>
      </c>
      <c r="C104">
        <v>1</v>
      </c>
      <c r="E104" t="str">
        <f t="shared" si="12"/>
        <v>Survived</v>
      </c>
      <c r="F104" t="s">
        <v>1007</v>
      </c>
      <c r="G104" t="s">
        <v>849</v>
      </c>
      <c r="H104" t="s">
        <v>1008</v>
      </c>
      <c r="I104" t="str">
        <f t="shared" si="13"/>
        <v>Mrs. Earnshaw Boulton</v>
      </c>
      <c r="J104" t="s">
        <v>47</v>
      </c>
      <c r="K104" t="str">
        <f t="shared" si="14"/>
        <v>Female</v>
      </c>
      <c r="L104">
        <v>23</v>
      </c>
      <c r="O104">
        <f t="shared" si="15"/>
        <v>23</v>
      </c>
      <c r="P104">
        <v>0</v>
      </c>
      <c r="R104" s="4">
        <v>1</v>
      </c>
      <c r="T104" s="5">
        <v>83.158299999999997</v>
      </c>
      <c r="W104" s="4">
        <v>23</v>
      </c>
      <c r="X104" s="4" t="str">
        <f t="shared" si="16"/>
        <v>Young Adult</v>
      </c>
      <c r="Y104" s="4" t="s">
        <v>175</v>
      </c>
      <c r="AA104" s="4" t="s">
        <v>175</v>
      </c>
      <c r="AB104" s="4" t="str">
        <f t="shared" si="17"/>
        <v>C</v>
      </c>
      <c r="AC104" s="4" t="str">
        <f t="shared" si="18"/>
        <v>C</v>
      </c>
      <c r="AD104" s="4" t="s">
        <v>3566</v>
      </c>
      <c r="AF104" s="4">
        <v>7</v>
      </c>
      <c r="AG104" s="4">
        <f t="shared" si="19"/>
        <v>7</v>
      </c>
      <c r="AK104" s="4" t="s">
        <v>3573</v>
      </c>
      <c r="AL104" s="4" t="str">
        <f t="shared" si="20"/>
        <v>Found</v>
      </c>
      <c r="AN104" s="6">
        <v>83.158299999999997</v>
      </c>
      <c r="AO104" s="4" t="str">
        <f t="shared" si="21"/>
        <v>High</v>
      </c>
    </row>
    <row r="105" spans="1:41">
      <c r="A105">
        <v>1</v>
      </c>
      <c r="B105" t="str">
        <f t="shared" si="11"/>
        <v>First Class</v>
      </c>
      <c r="C105">
        <v>1</v>
      </c>
      <c r="E105" t="str">
        <f t="shared" si="12"/>
        <v>Survived</v>
      </c>
      <c r="F105" t="s">
        <v>1009</v>
      </c>
      <c r="G105" t="s">
        <v>842</v>
      </c>
      <c r="H105" t="s">
        <v>903</v>
      </c>
      <c r="I105" t="str">
        <f t="shared" si="13"/>
        <v>Miss. Endres Caroline</v>
      </c>
      <c r="J105" t="s">
        <v>47</v>
      </c>
      <c r="K105" t="str">
        <f t="shared" si="14"/>
        <v>Female</v>
      </c>
      <c r="L105">
        <v>38</v>
      </c>
      <c r="O105">
        <f t="shared" si="15"/>
        <v>38</v>
      </c>
      <c r="P105">
        <v>0</v>
      </c>
      <c r="R105" s="4">
        <v>0</v>
      </c>
      <c r="T105" s="5">
        <v>227.52500000000001</v>
      </c>
      <c r="W105" s="4">
        <v>38</v>
      </c>
      <c r="X105" s="4" t="str">
        <f t="shared" si="16"/>
        <v>Adult</v>
      </c>
      <c r="Y105" s="4" t="s">
        <v>177</v>
      </c>
      <c r="AA105" s="4" t="s">
        <v>177</v>
      </c>
      <c r="AB105" s="4" t="str">
        <f t="shared" si="17"/>
        <v>C</v>
      </c>
      <c r="AC105" s="4" t="str">
        <f t="shared" si="18"/>
        <v>C</v>
      </c>
      <c r="AD105" s="4" t="s">
        <v>3566</v>
      </c>
      <c r="AF105" s="4">
        <v>4</v>
      </c>
      <c r="AG105" s="4">
        <f t="shared" si="19"/>
        <v>4</v>
      </c>
      <c r="AK105" s="4" t="s">
        <v>3573</v>
      </c>
      <c r="AL105" s="4" t="str">
        <f t="shared" si="20"/>
        <v>Found</v>
      </c>
      <c r="AN105" s="6">
        <v>227.52500000000001</v>
      </c>
      <c r="AO105" s="4" t="str">
        <f t="shared" si="21"/>
        <v>High</v>
      </c>
    </row>
    <row r="106" spans="1:41">
      <c r="A106">
        <v>1</v>
      </c>
      <c r="B106" t="str">
        <f t="shared" si="11"/>
        <v>First Class</v>
      </c>
      <c r="C106">
        <v>1</v>
      </c>
      <c r="E106" t="str">
        <f t="shared" si="12"/>
        <v>Survived</v>
      </c>
      <c r="F106" t="s">
        <v>1011</v>
      </c>
      <c r="G106" t="s">
        <v>842</v>
      </c>
      <c r="H106" t="s">
        <v>904</v>
      </c>
      <c r="I106" t="str">
        <f t="shared" si="13"/>
        <v>Miss. Eustis Elizabeth</v>
      </c>
      <c r="J106" t="s">
        <v>47</v>
      </c>
      <c r="K106" t="str">
        <f t="shared" si="14"/>
        <v>Female</v>
      </c>
      <c r="L106">
        <v>54</v>
      </c>
      <c r="O106">
        <f t="shared" si="15"/>
        <v>54</v>
      </c>
      <c r="P106">
        <v>1</v>
      </c>
      <c r="R106" s="4">
        <v>0</v>
      </c>
      <c r="T106" s="5">
        <v>78.2667</v>
      </c>
      <c r="W106" s="4">
        <v>54</v>
      </c>
      <c r="X106" s="4" t="str">
        <f t="shared" si="16"/>
        <v>Adult</v>
      </c>
      <c r="Y106" s="4" t="s">
        <v>178</v>
      </c>
      <c r="AA106" s="4" t="s">
        <v>178</v>
      </c>
      <c r="AB106" s="4" t="str">
        <f t="shared" si="17"/>
        <v>D</v>
      </c>
      <c r="AC106" s="4" t="str">
        <f t="shared" si="18"/>
        <v>D</v>
      </c>
      <c r="AD106" s="4" t="s">
        <v>3566</v>
      </c>
      <c r="AF106" s="4">
        <v>4</v>
      </c>
      <c r="AG106" s="4">
        <f t="shared" si="19"/>
        <v>4</v>
      </c>
      <c r="AK106" s="4" t="s">
        <v>3573</v>
      </c>
      <c r="AL106" s="4" t="str">
        <f t="shared" si="20"/>
        <v>Found</v>
      </c>
      <c r="AN106" s="6">
        <v>78.2667</v>
      </c>
      <c r="AO106" s="4" t="str">
        <f t="shared" si="21"/>
        <v>High</v>
      </c>
    </row>
    <row r="107" spans="1:41">
      <c r="A107">
        <v>1</v>
      </c>
      <c r="B107" t="str">
        <f t="shared" si="11"/>
        <v>First Class</v>
      </c>
      <c r="C107">
        <v>0</v>
      </c>
      <c r="E107" t="str">
        <f t="shared" si="12"/>
        <v>Died</v>
      </c>
      <c r="F107" t="s">
        <v>1012</v>
      </c>
      <c r="G107" t="s">
        <v>842</v>
      </c>
      <c r="H107" t="s">
        <v>910</v>
      </c>
      <c r="I107" t="str">
        <f t="shared" si="13"/>
        <v>Miss. Evans Edith</v>
      </c>
      <c r="J107" t="s">
        <v>47</v>
      </c>
      <c r="K107" t="str">
        <f t="shared" si="14"/>
        <v>Female</v>
      </c>
      <c r="L107">
        <v>36</v>
      </c>
      <c r="O107">
        <f t="shared" si="15"/>
        <v>36</v>
      </c>
      <c r="P107">
        <v>0</v>
      </c>
      <c r="R107" s="4">
        <v>0</v>
      </c>
      <c r="T107" s="5">
        <v>31.679200000000002</v>
      </c>
      <c r="W107" s="4">
        <v>36</v>
      </c>
      <c r="X107" s="4" t="str">
        <f t="shared" si="16"/>
        <v>Adult</v>
      </c>
      <c r="Y107" s="4" t="s">
        <v>181</v>
      </c>
      <c r="AA107" s="4" t="s">
        <v>181</v>
      </c>
      <c r="AB107" s="4" t="str">
        <f t="shared" si="17"/>
        <v>A</v>
      </c>
      <c r="AC107" s="4" t="str">
        <f t="shared" si="18"/>
        <v>A</v>
      </c>
      <c r="AD107" s="4" t="s">
        <v>3566</v>
      </c>
      <c r="AG107" s="4" t="str">
        <f t="shared" si="19"/>
        <v>Not Applicable</v>
      </c>
      <c r="AK107" s="4" t="s">
        <v>3573</v>
      </c>
      <c r="AL107" s="4" t="str">
        <f t="shared" si="20"/>
        <v>Found</v>
      </c>
      <c r="AN107" s="6">
        <v>31.679200000000002</v>
      </c>
      <c r="AO107" s="4" t="str">
        <f t="shared" si="21"/>
        <v>Mid</v>
      </c>
    </row>
    <row r="108" spans="1:41">
      <c r="A108">
        <v>1</v>
      </c>
      <c r="B108" t="str">
        <f t="shared" si="11"/>
        <v>First Class</v>
      </c>
      <c r="C108">
        <v>0</v>
      </c>
      <c r="E108" t="str">
        <f t="shared" si="12"/>
        <v>Died</v>
      </c>
      <c r="F108" t="s">
        <v>1013</v>
      </c>
      <c r="G108" t="s">
        <v>848</v>
      </c>
      <c r="H108" t="s">
        <v>862</v>
      </c>
      <c r="I108" t="str">
        <f t="shared" si="13"/>
        <v>Mr. Farthing John</v>
      </c>
      <c r="J108" t="s">
        <v>20</v>
      </c>
      <c r="K108" t="str">
        <f t="shared" si="14"/>
        <v>Male</v>
      </c>
      <c r="L108">
        <v>28</v>
      </c>
      <c r="O108">
        <f t="shared" si="15"/>
        <v>28</v>
      </c>
      <c r="P108">
        <v>0</v>
      </c>
      <c r="R108" s="4">
        <v>0</v>
      </c>
      <c r="T108" s="5">
        <v>221.7792</v>
      </c>
      <c r="W108" s="4">
        <v>28</v>
      </c>
      <c r="X108" s="4" t="str">
        <f t="shared" si="16"/>
        <v>Young Adult</v>
      </c>
      <c r="Y108" s="4" t="s">
        <v>182</v>
      </c>
      <c r="AA108" s="4" t="s">
        <v>182</v>
      </c>
      <c r="AB108" s="4" t="str">
        <f t="shared" si="17"/>
        <v>C</v>
      </c>
      <c r="AC108" s="4" t="str">
        <f t="shared" si="18"/>
        <v>C</v>
      </c>
      <c r="AD108" s="4" t="s">
        <v>457</v>
      </c>
      <c r="AG108" s="4" t="str">
        <f t="shared" si="19"/>
        <v>Not Applicable</v>
      </c>
      <c r="AK108" s="4" t="s">
        <v>3573</v>
      </c>
      <c r="AL108" s="4" t="str">
        <f t="shared" si="20"/>
        <v>Found</v>
      </c>
      <c r="AN108" s="6">
        <v>221.7792</v>
      </c>
      <c r="AO108" s="4" t="str">
        <f t="shared" si="21"/>
        <v>High</v>
      </c>
    </row>
    <row r="109" spans="1:41">
      <c r="A109">
        <v>1</v>
      </c>
      <c r="B109" t="str">
        <f t="shared" si="11"/>
        <v>First Class</v>
      </c>
      <c r="C109">
        <v>1</v>
      </c>
      <c r="E109" t="str">
        <f t="shared" si="12"/>
        <v>Survived</v>
      </c>
      <c r="F109" t="s">
        <v>1014</v>
      </c>
      <c r="G109" t="s">
        <v>849</v>
      </c>
      <c r="H109" t="s">
        <v>1015</v>
      </c>
      <c r="I109" t="str">
        <f t="shared" si="13"/>
        <v>Mrs. Flegenheim Alfred</v>
      </c>
      <c r="J109" t="s">
        <v>47</v>
      </c>
      <c r="K109" t="str">
        <f t="shared" si="14"/>
        <v>Female</v>
      </c>
      <c r="L109">
        <v>28</v>
      </c>
      <c r="O109">
        <f t="shared" si="15"/>
        <v>28</v>
      </c>
      <c r="P109">
        <v>0</v>
      </c>
      <c r="R109" s="4">
        <v>0</v>
      </c>
      <c r="T109" s="5">
        <v>31.683299999999999</v>
      </c>
      <c r="W109" s="4">
        <v>28</v>
      </c>
      <c r="X109" s="4" t="str">
        <f t="shared" si="16"/>
        <v>Young Adult</v>
      </c>
      <c r="Y109" s="4" t="s">
        <v>3561</v>
      </c>
      <c r="AB109" s="4" t="str">
        <f t="shared" si="17"/>
        <v/>
      </c>
      <c r="AC109" s="4" t="str">
        <f t="shared" si="18"/>
        <v>Unknown</v>
      </c>
      <c r="AD109" s="4" t="s">
        <v>457</v>
      </c>
      <c r="AF109" s="4">
        <v>7</v>
      </c>
      <c r="AG109" s="4">
        <f t="shared" si="19"/>
        <v>7</v>
      </c>
      <c r="AK109" s="4" t="s">
        <v>3573</v>
      </c>
      <c r="AL109" s="4" t="str">
        <f t="shared" si="20"/>
        <v>Found</v>
      </c>
      <c r="AN109" s="6">
        <v>31.683299999999999</v>
      </c>
      <c r="AO109" s="4" t="str">
        <f t="shared" si="21"/>
        <v>Mid</v>
      </c>
    </row>
    <row r="110" spans="1:41">
      <c r="A110">
        <v>1</v>
      </c>
      <c r="B110" t="str">
        <f t="shared" si="11"/>
        <v>First Class</v>
      </c>
      <c r="C110">
        <v>1</v>
      </c>
      <c r="E110" t="str">
        <f t="shared" si="12"/>
        <v>Survived</v>
      </c>
      <c r="F110" t="s">
        <v>1016</v>
      </c>
      <c r="G110" t="s">
        <v>842</v>
      </c>
      <c r="H110" t="s">
        <v>927</v>
      </c>
      <c r="I110" t="str">
        <f t="shared" si="13"/>
        <v>Miss. Fleming Margaret</v>
      </c>
      <c r="J110" t="s">
        <v>47</v>
      </c>
      <c r="K110" t="str">
        <f t="shared" si="14"/>
        <v>Female</v>
      </c>
      <c r="L110">
        <v>28</v>
      </c>
      <c r="O110">
        <f t="shared" si="15"/>
        <v>28</v>
      </c>
      <c r="P110">
        <v>0</v>
      </c>
      <c r="R110" s="4">
        <v>0</v>
      </c>
      <c r="T110" s="5">
        <v>110.88330000000001</v>
      </c>
      <c r="W110" s="4">
        <v>28</v>
      </c>
      <c r="X110" s="4" t="str">
        <f t="shared" si="16"/>
        <v>Young Adult</v>
      </c>
      <c r="Y110" s="4" t="s">
        <v>3561</v>
      </c>
      <c r="AB110" s="4" t="str">
        <f t="shared" si="17"/>
        <v/>
      </c>
      <c r="AC110" s="4" t="str">
        <f t="shared" si="18"/>
        <v>Unknown</v>
      </c>
      <c r="AD110" s="4" t="s">
        <v>3566</v>
      </c>
      <c r="AF110" s="4">
        <v>4</v>
      </c>
      <c r="AG110" s="4">
        <f t="shared" si="19"/>
        <v>4</v>
      </c>
      <c r="AK110" s="4" t="s">
        <v>3573</v>
      </c>
      <c r="AL110" s="4" t="str">
        <f t="shared" si="20"/>
        <v>Found</v>
      </c>
      <c r="AN110" s="6">
        <v>110.88330000000001</v>
      </c>
      <c r="AO110" s="4" t="str">
        <f t="shared" si="21"/>
        <v>High</v>
      </c>
    </row>
    <row r="111" spans="1:41">
      <c r="A111">
        <v>1</v>
      </c>
      <c r="B111" t="str">
        <f t="shared" si="11"/>
        <v>First Class</v>
      </c>
      <c r="C111">
        <v>1</v>
      </c>
      <c r="E111" t="str">
        <f t="shared" si="12"/>
        <v>Survived</v>
      </c>
      <c r="F111" t="s">
        <v>1017</v>
      </c>
      <c r="G111" t="s">
        <v>848</v>
      </c>
      <c r="H111" t="s">
        <v>862</v>
      </c>
      <c r="I111" t="str">
        <f t="shared" si="13"/>
        <v>Mr. Flynn John</v>
      </c>
      <c r="J111" t="s">
        <v>20</v>
      </c>
      <c r="K111" t="str">
        <f t="shared" si="14"/>
        <v>Male</v>
      </c>
      <c r="L111">
        <v>36</v>
      </c>
      <c r="O111">
        <f t="shared" si="15"/>
        <v>36</v>
      </c>
      <c r="P111">
        <v>0</v>
      </c>
      <c r="R111" s="4">
        <v>0</v>
      </c>
      <c r="T111" s="5">
        <v>26.387499999999999</v>
      </c>
      <c r="W111" s="4">
        <v>36</v>
      </c>
      <c r="X111" s="4" t="str">
        <f t="shared" si="16"/>
        <v>Adult</v>
      </c>
      <c r="Y111" s="4" t="s">
        <v>185</v>
      </c>
      <c r="AA111" s="4" t="s">
        <v>185</v>
      </c>
      <c r="AB111" s="4" t="str">
        <f t="shared" si="17"/>
        <v>E</v>
      </c>
      <c r="AC111" s="4" t="str">
        <f t="shared" si="18"/>
        <v>E</v>
      </c>
      <c r="AD111" s="4" t="s">
        <v>457</v>
      </c>
      <c r="AF111" s="4">
        <v>5</v>
      </c>
      <c r="AG111" s="4">
        <f t="shared" si="19"/>
        <v>5</v>
      </c>
      <c r="AK111" s="4" t="s">
        <v>3573</v>
      </c>
      <c r="AL111" s="4" t="str">
        <f t="shared" si="20"/>
        <v>Found</v>
      </c>
      <c r="AN111" s="6">
        <v>26.387499999999999</v>
      </c>
      <c r="AO111" s="4" t="str">
        <f t="shared" si="21"/>
        <v>Mid</v>
      </c>
    </row>
    <row r="112" spans="1:41">
      <c r="A112">
        <v>1</v>
      </c>
      <c r="B112" t="str">
        <f t="shared" si="11"/>
        <v>First Class</v>
      </c>
      <c r="C112">
        <v>0</v>
      </c>
      <c r="E112" t="str">
        <f t="shared" si="12"/>
        <v>Died</v>
      </c>
      <c r="F112" t="s">
        <v>1018</v>
      </c>
      <c r="G112" t="s">
        <v>848</v>
      </c>
      <c r="H112" t="s">
        <v>1019</v>
      </c>
      <c r="I112" t="str">
        <f t="shared" si="13"/>
        <v>Mr. Foreman Benjamin</v>
      </c>
      <c r="J112" t="s">
        <v>20</v>
      </c>
      <c r="K112" t="str">
        <f t="shared" si="14"/>
        <v>Male</v>
      </c>
      <c r="L112">
        <v>30</v>
      </c>
      <c r="O112">
        <f t="shared" si="15"/>
        <v>30</v>
      </c>
      <c r="P112">
        <v>0</v>
      </c>
      <c r="R112" s="4">
        <v>0</v>
      </c>
      <c r="T112" s="5">
        <v>27.75</v>
      </c>
      <c r="W112" s="4">
        <v>30</v>
      </c>
      <c r="X112" s="4" t="str">
        <f t="shared" si="16"/>
        <v>Adult</v>
      </c>
      <c r="Y112" s="4" t="s">
        <v>187</v>
      </c>
      <c r="AA112" s="4" t="s">
        <v>187</v>
      </c>
      <c r="AB112" s="4" t="str">
        <f t="shared" si="17"/>
        <v>C</v>
      </c>
      <c r="AC112" s="4" t="str">
        <f t="shared" si="18"/>
        <v>C</v>
      </c>
      <c r="AD112" s="4" t="s">
        <v>3566</v>
      </c>
      <c r="AG112" s="4" t="str">
        <f t="shared" si="19"/>
        <v>Not Applicable</v>
      </c>
      <c r="AK112" s="4" t="s">
        <v>3573</v>
      </c>
      <c r="AL112" s="4" t="str">
        <f t="shared" si="20"/>
        <v>Found</v>
      </c>
      <c r="AN112" s="6">
        <v>27.75</v>
      </c>
      <c r="AO112" s="4" t="str">
        <f t="shared" si="21"/>
        <v>Mid</v>
      </c>
    </row>
    <row r="113" spans="1:41">
      <c r="A113">
        <v>1</v>
      </c>
      <c r="B113" t="str">
        <f t="shared" si="11"/>
        <v>First Class</v>
      </c>
      <c r="C113">
        <v>1</v>
      </c>
      <c r="E113" t="str">
        <f t="shared" si="12"/>
        <v>Survived</v>
      </c>
      <c r="F113" t="s">
        <v>1020</v>
      </c>
      <c r="G113" t="s">
        <v>842</v>
      </c>
      <c r="H113" t="s">
        <v>972</v>
      </c>
      <c r="I113" t="str">
        <f t="shared" si="13"/>
        <v>Miss. Fortune Alice</v>
      </c>
      <c r="J113" t="s">
        <v>47</v>
      </c>
      <c r="K113" t="str">
        <f t="shared" si="14"/>
        <v>Female</v>
      </c>
      <c r="L113">
        <v>24</v>
      </c>
      <c r="O113">
        <f t="shared" si="15"/>
        <v>24</v>
      </c>
      <c r="P113">
        <v>3</v>
      </c>
      <c r="R113" s="4">
        <v>2</v>
      </c>
      <c r="T113" s="5">
        <v>263</v>
      </c>
      <c r="W113" s="4">
        <v>24</v>
      </c>
      <c r="X113" s="4" t="str">
        <f t="shared" si="16"/>
        <v>Young Adult</v>
      </c>
      <c r="Y113" s="4" t="s">
        <v>188</v>
      </c>
      <c r="AA113" s="4" t="s">
        <v>188</v>
      </c>
      <c r="AB113" s="4" t="str">
        <f t="shared" si="17"/>
        <v>C</v>
      </c>
      <c r="AC113" s="4" t="str">
        <f t="shared" si="18"/>
        <v>C</v>
      </c>
      <c r="AD113" s="4" t="s">
        <v>457</v>
      </c>
      <c r="AF113" s="4">
        <v>10</v>
      </c>
      <c r="AG113" s="4">
        <f t="shared" si="19"/>
        <v>10</v>
      </c>
      <c r="AK113" s="4" t="s">
        <v>3573</v>
      </c>
      <c r="AL113" s="4" t="str">
        <f t="shared" si="20"/>
        <v>Found</v>
      </c>
      <c r="AN113" s="6">
        <v>263</v>
      </c>
      <c r="AO113" s="4" t="str">
        <f t="shared" si="21"/>
        <v>High</v>
      </c>
    </row>
    <row r="114" spans="1:41">
      <c r="A114">
        <v>1</v>
      </c>
      <c r="B114" t="str">
        <f t="shared" si="11"/>
        <v>First Class</v>
      </c>
      <c r="C114">
        <v>1</v>
      </c>
      <c r="E114" t="str">
        <f t="shared" si="12"/>
        <v>Survived</v>
      </c>
      <c r="F114" t="s">
        <v>1020</v>
      </c>
      <c r="G114" t="s">
        <v>842</v>
      </c>
      <c r="H114" t="s">
        <v>1021</v>
      </c>
      <c r="I114" t="str">
        <f t="shared" si="13"/>
        <v>Miss. Fortune Ethel</v>
      </c>
      <c r="J114" t="s">
        <v>47</v>
      </c>
      <c r="K114" t="str">
        <f t="shared" si="14"/>
        <v>Female</v>
      </c>
      <c r="L114">
        <v>28</v>
      </c>
      <c r="O114">
        <f t="shared" si="15"/>
        <v>28</v>
      </c>
      <c r="P114">
        <v>3</v>
      </c>
      <c r="R114" s="4">
        <v>2</v>
      </c>
      <c r="T114" s="5">
        <v>263</v>
      </c>
      <c r="W114" s="4">
        <v>28</v>
      </c>
      <c r="X114" s="4" t="str">
        <f t="shared" si="16"/>
        <v>Young Adult</v>
      </c>
      <c r="Y114" s="4" t="s">
        <v>188</v>
      </c>
      <c r="AA114" s="4" t="s">
        <v>188</v>
      </c>
      <c r="AB114" s="4" t="str">
        <f t="shared" si="17"/>
        <v>C</v>
      </c>
      <c r="AC114" s="4" t="str">
        <f t="shared" si="18"/>
        <v>C</v>
      </c>
      <c r="AD114" s="4" t="s">
        <v>457</v>
      </c>
      <c r="AF114" s="4">
        <v>10</v>
      </c>
      <c r="AG114" s="4">
        <f t="shared" si="19"/>
        <v>10</v>
      </c>
      <c r="AK114" s="4" t="s">
        <v>3573</v>
      </c>
      <c r="AL114" s="4" t="str">
        <f t="shared" si="20"/>
        <v>Found</v>
      </c>
      <c r="AN114" s="6">
        <v>263</v>
      </c>
      <c r="AO114" s="4" t="str">
        <f t="shared" si="21"/>
        <v>High</v>
      </c>
    </row>
    <row r="115" spans="1:41">
      <c r="A115">
        <v>1</v>
      </c>
      <c r="B115" t="str">
        <f t="shared" si="11"/>
        <v>First Class</v>
      </c>
      <c r="C115">
        <v>1</v>
      </c>
      <c r="E115" t="str">
        <f t="shared" si="12"/>
        <v>Survived</v>
      </c>
      <c r="F115" t="s">
        <v>1020</v>
      </c>
      <c r="G115" t="s">
        <v>842</v>
      </c>
      <c r="H115" t="s">
        <v>1022</v>
      </c>
      <c r="I115" t="str">
        <f t="shared" si="13"/>
        <v>Miss. Fortune Mabel</v>
      </c>
      <c r="J115" t="s">
        <v>47</v>
      </c>
      <c r="K115" t="str">
        <f t="shared" si="14"/>
        <v>Female</v>
      </c>
      <c r="L115">
        <v>23</v>
      </c>
      <c r="O115">
        <f t="shared" si="15"/>
        <v>23</v>
      </c>
      <c r="P115">
        <v>3</v>
      </c>
      <c r="R115" s="4">
        <v>2</v>
      </c>
      <c r="T115" s="5">
        <v>263</v>
      </c>
      <c r="W115" s="4">
        <v>23</v>
      </c>
      <c r="X115" s="4" t="str">
        <f t="shared" si="16"/>
        <v>Young Adult</v>
      </c>
      <c r="Y115" s="4" t="s">
        <v>188</v>
      </c>
      <c r="AA115" s="4" t="s">
        <v>188</v>
      </c>
      <c r="AB115" s="4" t="str">
        <f t="shared" si="17"/>
        <v>C</v>
      </c>
      <c r="AC115" s="4" t="str">
        <f t="shared" si="18"/>
        <v>C</v>
      </c>
      <c r="AD115" s="4" t="s">
        <v>457</v>
      </c>
      <c r="AF115" s="4">
        <v>10</v>
      </c>
      <c r="AG115" s="4">
        <f t="shared" si="19"/>
        <v>10</v>
      </c>
      <c r="AK115" s="4" t="s">
        <v>3573</v>
      </c>
      <c r="AL115" s="4" t="str">
        <f t="shared" si="20"/>
        <v>Found</v>
      </c>
      <c r="AN115" s="6">
        <v>263</v>
      </c>
      <c r="AO115" s="4" t="str">
        <f t="shared" si="21"/>
        <v>High</v>
      </c>
    </row>
    <row r="116" spans="1:41">
      <c r="A116">
        <v>1</v>
      </c>
      <c r="B116" t="str">
        <f t="shared" si="11"/>
        <v>First Class</v>
      </c>
      <c r="C116">
        <v>0</v>
      </c>
      <c r="E116" t="str">
        <f t="shared" si="12"/>
        <v>Died</v>
      </c>
      <c r="F116" t="s">
        <v>1020</v>
      </c>
      <c r="G116" t="s">
        <v>848</v>
      </c>
      <c r="H116" t="s">
        <v>1000</v>
      </c>
      <c r="I116" t="str">
        <f t="shared" si="13"/>
        <v>Mr. Fortune Charles</v>
      </c>
      <c r="J116" t="s">
        <v>20</v>
      </c>
      <c r="K116" t="str">
        <f t="shared" si="14"/>
        <v>Male</v>
      </c>
      <c r="L116">
        <v>19</v>
      </c>
      <c r="O116">
        <f t="shared" si="15"/>
        <v>19</v>
      </c>
      <c r="P116">
        <v>3</v>
      </c>
      <c r="R116" s="4">
        <v>2</v>
      </c>
      <c r="T116" s="5">
        <v>263</v>
      </c>
      <c r="W116" s="4">
        <v>19</v>
      </c>
      <c r="X116" s="4" t="str">
        <f t="shared" si="16"/>
        <v>Young Adult</v>
      </c>
      <c r="Y116" s="4" t="s">
        <v>188</v>
      </c>
      <c r="AA116" s="4" t="s">
        <v>188</v>
      </c>
      <c r="AB116" s="4" t="str">
        <f t="shared" si="17"/>
        <v>C</v>
      </c>
      <c r="AC116" s="4" t="str">
        <f t="shared" si="18"/>
        <v>C</v>
      </c>
      <c r="AD116" s="4" t="s">
        <v>457</v>
      </c>
      <c r="AG116" s="4" t="str">
        <f t="shared" si="19"/>
        <v>Not Applicable</v>
      </c>
      <c r="AK116" s="4" t="s">
        <v>3573</v>
      </c>
      <c r="AL116" s="4" t="str">
        <f t="shared" si="20"/>
        <v>Found</v>
      </c>
      <c r="AN116" s="6">
        <v>263</v>
      </c>
      <c r="AO116" s="4" t="str">
        <f t="shared" si="21"/>
        <v>High</v>
      </c>
    </row>
    <row r="117" spans="1:41">
      <c r="A117">
        <v>1</v>
      </c>
      <c r="B117" t="str">
        <f t="shared" si="11"/>
        <v>First Class</v>
      </c>
      <c r="C117">
        <v>0</v>
      </c>
      <c r="E117" t="str">
        <f t="shared" si="12"/>
        <v>Died</v>
      </c>
      <c r="F117" t="s">
        <v>1020</v>
      </c>
      <c r="G117" t="s">
        <v>848</v>
      </c>
      <c r="H117" t="s">
        <v>1023</v>
      </c>
      <c r="I117" t="str">
        <f t="shared" si="13"/>
        <v>Mr. Fortune Mark</v>
      </c>
      <c r="J117" t="s">
        <v>20</v>
      </c>
      <c r="K117" t="str">
        <f t="shared" si="14"/>
        <v>Male</v>
      </c>
      <c r="L117">
        <v>64</v>
      </c>
      <c r="O117">
        <f t="shared" si="15"/>
        <v>64</v>
      </c>
      <c r="P117">
        <v>1</v>
      </c>
      <c r="R117" s="4">
        <v>4</v>
      </c>
      <c r="T117" s="5">
        <v>263</v>
      </c>
      <c r="W117" s="4">
        <v>64</v>
      </c>
      <c r="X117" s="4" t="str">
        <f t="shared" si="16"/>
        <v>Old Adult</v>
      </c>
      <c r="Y117" s="4" t="s">
        <v>188</v>
      </c>
      <c r="AA117" s="4" t="s">
        <v>188</v>
      </c>
      <c r="AB117" s="4" t="str">
        <f t="shared" si="17"/>
        <v>C</v>
      </c>
      <c r="AC117" s="4" t="str">
        <f t="shared" si="18"/>
        <v>C</v>
      </c>
      <c r="AD117" s="4" t="s">
        <v>457</v>
      </c>
      <c r="AG117" s="4" t="str">
        <f t="shared" si="19"/>
        <v>Not Applicable</v>
      </c>
      <c r="AK117" s="4" t="s">
        <v>3573</v>
      </c>
      <c r="AL117" s="4" t="str">
        <f t="shared" si="20"/>
        <v>Found</v>
      </c>
      <c r="AN117" s="6">
        <v>263</v>
      </c>
      <c r="AO117" s="4" t="str">
        <f t="shared" si="21"/>
        <v>High</v>
      </c>
    </row>
    <row r="118" spans="1:41">
      <c r="A118">
        <v>1</v>
      </c>
      <c r="B118" t="str">
        <f t="shared" si="11"/>
        <v>First Class</v>
      </c>
      <c r="C118">
        <v>1</v>
      </c>
      <c r="E118" t="str">
        <f t="shared" si="12"/>
        <v>Survived</v>
      </c>
      <c r="F118" t="s">
        <v>1020</v>
      </c>
      <c r="G118" t="s">
        <v>849</v>
      </c>
      <c r="H118" t="s">
        <v>1023</v>
      </c>
      <c r="I118" t="str">
        <f t="shared" si="13"/>
        <v>Mrs. Fortune Mark</v>
      </c>
      <c r="J118" t="s">
        <v>47</v>
      </c>
      <c r="K118" t="str">
        <f t="shared" si="14"/>
        <v>Female</v>
      </c>
      <c r="L118">
        <v>60</v>
      </c>
      <c r="O118">
        <f t="shared" si="15"/>
        <v>60</v>
      </c>
      <c r="P118">
        <v>1</v>
      </c>
      <c r="R118" s="4">
        <v>4</v>
      </c>
      <c r="T118" s="5">
        <v>263</v>
      </c>
      <c r="W118" s="4">
        <v>60</v>
      </c>
      <c r="X118" s="4" t="str">
        <f t="shared" si="16"/>
        <v>Old Adult</v>
      </c>
      <c r="Y118" s="4" t="s">
        <v>188</v>
      </c>
      <c r="AA118" s="4" t="s">
        <v>188</v>
      </c>
      <c r="AB118" s="4" t="str">
        <f t="shared" si="17"/>
        <v>C</v>
      </c>
      <c r="AC118" s="4" t="str">
        <f t="shared" si="18"/>
        <v>C</v>
      </c>
      <c r="AD118" s="4" t="s">
        <v>457</v>
      </c>
      <c r="AF118" s="4">
        <v>10</v>
      </c>
      <c r="AG118" s="4">
        <f t="shared" si="19"/>
        <v>10</v>
      </c>
      <c r="AK118" s="4" t="s">
        <v>3573</v>
      </c>
      <c r="AL118" s="4" t="str">
        <f t="shared" si="20"/>
        <v>Found</v>
      </c>
      <c r="AN118" s="6">
        <v>263</v>
      </c>
      <c r="AO118" s="4" t="str">
        <f t="shared" si="21"/>
        <v>High</v>
      </c>
    </row>
    <row r="119" spans="1:41">
      <c r="A119">
        <v>1</v>
      </c>
      <c r="B119" t="str">
        <f t="shared" si="11"/>
        <v>First Class</v>
      </c>
      <c r="C119">
        <v>1</v>
      </c>
      <c r="E119" t="str">
        <f t="shared" si="12"/>
        <v>Survived</v>
      </c>
      <c r="F119" t="s">
        <v>1024</v>
      </c>
      <c r="G119" t="s">
        <v>842</v>
      </c>
      <c r="H119" t="s">
        <v>1025</v>
      </c>
      <c r="I119" t="str">
        <f t="shared" si="13"/>
        <v>Miss. Francatelli Laura</v>
      </c>
      <c r="J119" t="s">
        <v>47</v>
      </c>
      <c r="K119" t="str">
        <f t="shared" si="14"/>
        <v>Female</v>
      </c>
      <c r="L119">
        <v>30</v>
      </c>
      <c r="O119">
        <f t="shared" si="15"/>
        <v>30</v>
      </c>
      <c r="P119">
        <v>0</v>
      </c>
      <c r="R119" s="4">
        <v>0</v>
      </c>
      <c r="T119" s="5">
        <v>56.929200000000002</v>
      </c>
      <c r="W119" s="4">
        <v>30</v>
      </c>
      <c r="X119" s="4" t="str">
        <f t="shared" si="16"/>
        <v>Adult</v>
      </c>
      <c r="Y119" s="4" t="s">
        <v>190</v>
      </c>
      <c r="AA119" s="4" t="s">
        <v>190</v>
      </c>
      <c r="AB119" s="4" t="str">
        <f t="shared" si="17"/>
        <v>E</v>
      </c>
      <c r="AC119" s="4" t="str">
        <f t="shared" si="18"/>
        <v>E</v>
      </c>
      <c r="AD119" s="4" t="s">
        <v>3566</v>
      </c>
      <c r="AF119" s="4">
        <v>1</v>
      </c>
      <c r="AG119" s="4">
        <f t="shared" si="19"/>
        <v>1</v>
      </c>
      <c r="AK119" s="4" t="s">
        <v>3573</v>
      </c>
      <c r="AL119" s="4" t="str">
        <f t="shared" si="20"/>
        <v>Found</v>
      </c>
      <c r="AN119" s="6">
        <v>56.929200000000002</v>
      </c>
      <c r="AO119" s="4" t="str">
        <f t="shared" si="21"/>
        <v>High</v>
      </c>
    </row>
    <row r="120" spans="1:41">
      <c r="A120">
        <v>1</v>
      </c>
      <c r="B120" t="str">
        <f t="shared" si="11"/>
        <v>First Class</v>
      </c>
      <c r="C120">
        <v>0</v>
      </c>
      <c r="E120" t="str">
        <f t="shared" si="12"/>
        <v>Died</v>
      </c>
      <c r="F120" t="s">
        <v>1026</v>
      </c>
      <c r="G120" t="s">
        <v>848</v>
      </c>
      <c r="H120" t="s">
        <v>855</v>
      </c>
      <c r="I120" t="str">
        <f t="shared" si="13"/>
        <v>Mr. Franklin Thomas</v>
      </c>
      <c r="J120" t="s">
        <v>20</v>
      </c>
      <c r="K120" t="str">
        <f t="shared" si="14"/>
        <v>Male</v>
      </c>
      <c r="L120">
        <v>28</v>
      </c>
      <c r="O120">
        <f t="shared" si="15"/>
        <v>28</v>
      </c>
      <c r="P120">
        <v>0</v>
      </c>
      <c r="R120" s="4">
        <v>0</v>
      </c>
      <c r="T120" s="5">
        <v>26.55</v>
      </c>
      <c r="W120" s="4">
        <v>28</v>
      </c>
      <c r="X120" s="4" t="str">
        <f t="shared" si="16"/>
        <v>Young Adult</v>
      </c>
      <c r="Y120" s="4" t="s">
        <v>191</v>
      </c>
      <c r="AA120" s="4" t="s">
        <v>191</v>
      </c>
      <c r="AB120" s="4" t="str">
        <f t="shared" si="17"/>
        <v>D</v>
      </c>
      <c r="AC120" s="4" t="str">
        <f t="shared" si="18"/>
        <v>D</v>
      </c>
      <c r="AD120" s="4" t="s">
        <v>457</v>
      </c>
      <c r="AG120" s="4" t="str">
        <f t="shared" si="19"/>
        <v>Not Applicable</v>
      </c>
      <c r="AK120" s="4" t="s">
        <v>3573</v>
      </c>
      <c r="AL120" s="4" t="str">
        <f t="shared" si="20"/>
        <v>Found</v>
      </c>
      <c r="AN120" s="6">
        <v>26.55</v>
      </c>
      <c r="AO120" s="4" t="str">
        <f t="shared" si="21"/>
        <v>Mid</v>
      </c>
    </row>
    <row r="121" spans="1:41">
      <c r="A121">
        <v>1</v>
      </c>
      <c r="B121" t="str">
        <f t="shared" si="11"/>
        <v>First Class</v>
      </c>
      <c r="C121">
        <v>1</v>
      </c>
      <c r="E121" t="str">
        <f t="shared" si="12"/>
        <v>Survived</v>
      </c>
      <c r="F121" t="s">
        <v>1027</v>
      </c>
      <c r="G121" t="s">
        <v>919</v>
      </c>
      <c r="H121" t="s">
        <v>872</v>
      </c>
      <c r="I121" t="str">
        <f t="shared" si="13"/>
        <v>Dr. Frauenthal Henry</v>
      </c>
      <c r="J121" t="s">
        <v>20</v>
      </c>
      <c r="K121" t="str">
        <f t="shared" si="14"/>
        <v>Male</v>
      </c>
      <c r="L121">
        <v>50</v>
      </c>
      <c r="O121">
        <f t="shared" si="15"/>
        <v>50</v>
      </c>
      <c r="P121">
        <v>2</v>
      </c>
      <c r="R121" s="4">
        <v>0</v>
      </c>
      <c r="T121" s="5">
        <v>133.65</v>
      </c>
      <c r="W121" s="4">
        <v>50</v>
      </c>
      <c r="X121" s="4" t="str">
        <f t="shared" si="16"/>
        <v>Adult</v>
      </c>
      <c r="Y121" s="4" t="s">
        <v>3561</v>
      </c>
      <c r="AB121" s="4" t="str">
        <f t="shared" si="17"/>
        <v/>
      </c>
      <c r="AC121" s="4" t="str">
        <f t="shared" si="18"/>
        <v>Unknown</v>
      </c>
      <c r="AD121" s="4" t="s">
        <v>457</v>
      </c>
      <c r="AF121" s="4">
        <v>5</v>
      </c>
      <c r="AG121" s="4">
        <f t="shared" si="19"/>
        <v>5</v>
      </c>
      <c r="AK121" s="4" t="s">
        <v>3573</v>
      </c>
      <c r="AL121" s="4" t="str">
        <f t="shared" si="20"/>
        <v>Found</v>
      </c>
      <c r="AN121" s="6">
        <v>133.65</v>
      </c>
      <c r="AO121" s="4" t="str">
        <f t="shared" si="21"/>
        <v>High</v>
      </c>
    </row>
    <row r="122" spans="1:41">
      <c r="A122">
        <v>1</v>
      </c>
      <c r="B122" t="str">
        <f t="shared" si="11"/>
        <v>First Class</v>
      </c>
      <c r="C122">
        <v>1</v>
      </c>
      <c r="E122" t="str">
        <f t="shared" si="12"/>
        <v>Survived</v>
      </c>
      <c r="F122" t="s">
        <v>1027</v>
      </c>
      <c r="G122" t="s">
        <v>848</v>
      </c>
      <c r="H122" t="s">
        <v>1028</v>
      </c>
      <c r="I122" t="str">
        <f t="shared" si="13"/>
        <v>Mr. Frauenthal Isaac</v>
      </c>
      <c r="J122" t="s">
        <v>20</v>
      </c>
      <c r="K122" t="str">
        <f t="shared" si="14"/>
        <v>Male</v>
      </c>
      <c r="L122">
        <v>43</v>
      </c>
      <c r="O122">
        <f t="shared" si="15"/>
        <v>43</v>
      </c>
      <c r="P122">
        <v>1</v>
      </c>
      <c r="R122" s="4">
        <v>0</v>
      </c>
      <c r="T122" s="5">
        <v>27.720800000000001</v>
      </c>
      <c r="W122" s="4">
        <v>43</v>
      </c>
      <c r="X122" s="4" t="str">
        <f t="shared" si="16"/>
        <v>Adult</v>
      </c>
      <c r="Y122" s="4" t="s">
        <v>194</v>
      </c>
      <c r="AA122" s="4" t="s">
        <v>194</v>
      </c>
      <c r="AB122" s="4" t="str">
        <f t="shared" si="17"/>
        <v>D</v>
      </c>
      <c r="AC122" s="4" t="str">
        <f t="shared" si="18"/>
        <v>D</v>
      </c>
      <c r="AD122" s="4" t="s">
        <v>3566</v>
      </c>
      <c r="AF122" s="4">
        <v>5</v>
      </c>
      <c r="AG122" s="4">
        <f t="shared" si="19"/>
        <v>5</v>
      </c>
      <c r="AK122" s="4" t="s">
        <v>3573</v>
      </c>
      <c r="AL122" s="4" t="str">
        <f t="shared" si="20"/>
        <v>Found</v>
      </c>
      <c r="AN122" s="6">
        <v>27.720800000000001</v>
      </c>
      <c r="AO122" s="4" t="str">
        <f t="shared" si="21"/>
        <v>Mid</v>
      </c>
    </row>
    <row r="123" spans="1:41">
      <c r="A123">
        <v>1</v>
      </c>
      <c r="B123" t="str">
        <f t="shared" si="11"/>
        <v>First Class</v>
      </c>
      <c r="C123">
        <v>1</v>
      </c>
      <c r="E123" t="str">
        <f t="shared" si="12"/>
        <v>Survived</v>
      </c>
      <c r="F123" t="s">
        <v>1027</v>
      </c>
      <c r="G123" t="s">
        <v>849</v>
      </c>
      <c r="H123" t="s">
        <v>872</v>
      </c>
      <c r="I123" t="str">
        <f t="shared" si="13"/>
        <v>Mrs. Frauenthal Henry</v>
      </c>
      <c r="J123" t="s">
        <v>47</v>
      </c>
      <c r="K123" t="str">
        <f t="shared" si="14"/>
        <v>Female</v>
      </c>
      <c r="L123">
        <v>28</v>
      </c>
      <c r="O123">
        <f t="shared" si="15"/>
        <v>28</v>
      </c>
      <c r="P123">
        <v>1</v>
      </c>
      <c r="R123" s="4">
        <v>0</v>
      </c>
      <c r="T123" s="5">
        <v>133.65</v>
      </c>
      <c r="W123" s="4">
        <v>28</v>
      </c>
      <c r="X123" s="4" t="str">
        <f t="shared" si="16"/>
        <v>Young Adult</v>
      </c>
      <c r="Y123" s="4" t="s">
        <v>3561</v>
      </c>
      <c r="AB123" s="4" t="str">
        <f t="shared" si="17"/>
        <v/>
      </c>
      <c r="AC123" s="4" t="str">
        <f t="shared" si="18"/>
        <v>Unknown</v>
      </c>
      <c r="AD123" s="4" t="s">
        <v>457</v>
      </c>
      <c r="AF123" s="4">
        <v>5</v>
      </c>
      <c r="AG123" s="4">
        <f t="shared" si="19"/>
        <v>5</v>
      </c>
      <c r="AK123" s="4" t="s">
        <v>3573</v>
      </c>
      <c r="AL123" s="4" t="str">
        <f t="shared" si="20"/>
        <v>Found</v>
      </c>
      <c r="AN123" s="6">
        <v>133.65</v>
      </c>
      <c r="AO123" s="4" t="str">
        <f t="shared" si="21"/>
        <v>High</v>
      </c>
    </row>
    <row r="124" spans="1:41">
      <c r="A124">
        <v>1</v>
      </c>
      <c r="B124" t="str">
        <f t="shared" si="11"/>
        <v>First Class</v>
      </c>
      <c r="C124">
        <v>1</v>
      </c>
      <c r="E124" t="str">
        <f t="shared" si="12"/>
        <v>Survived</v>
      </c>
      <c r="F124" t="s">
        <v>1029</v>
      </c>
      <c r="G124" t="s">
        <v>842</v>
      </c>
      <c r="H124" t="s">
        <v>1030</v>
      </c>
      <c r="I124" t="str">
        <f t="shared" si="13"/>
        <v>Miss. Frolicher Hedwig</v>
      </c>
      <c r="J124" t="s">
        <v>47</v>
      </c>
      <c r="K124" t="str">
        <f t="shared" si="14"/>
        <v>Female</v>
      </c>
      <c r="L124">
        <v>22</v>
      </c>
      <c r="O124">
        <f t="shared" si="15"/>
        <v>22</v>
      </c>
      <c r="P124">
        <v>0</v>
      </c>
      <c r="R124" s="4">
        <v>2</v>
      </c>
      <c r="T124" s="5">
        <v>49.5</v>
      </c>
      <c r="W124" s="4">
        <v>22</v>
      </c>
      <c r="X124" s="4" t="str">
        <f t="shared" si="16"/>
        <v>Young Adult</v>
      </c>
      <c r="Y124" s="4" t="s">
        <v>195</v>
      </c>
      <c r="AA124" s="4" t="s">
        <v>195</v>
      </c>
      <c r="AB124" s="4" t="str">
        <f t="shared" si="17"/>
        <v>B</v>
      </c>
      <c r="AC124" s="4" t="str">
        <f t="shared" si="18"/>
        <v>B</v>
      </c>
      <c r="AD124" s="4" t="s">
        <v>3566</v>
      </c>
      <c r="AF124" s="4">
        <v>5</v>
      </c>
      <c r="AG124" s="4">
        <f t="shared" si="19"/>
        <v>5</v>
      </c>
      <c r="AK124" s="4" t="s">
        <v>3573</v>
      </c>
      <c r="AL124" s="4" t="str">
        <f t="shared" si="20"/>
        <v>Found</v>
      </c>
      <c r="AN124" s="6">
        <v>49.5</v>
      </c>
      <c r="AO124" s="4" t="str">
        <f t="shared" si="21"/>
        <v>Mid</v>
      </c>
    </row>
    <row r="125" spans="1:41">
      <c r="A125">
        <v>1</v>
      </c>
      <c r="B125" t="str">
        <f t="shared" si="11"/>
        <v>First Class</v>
      </c>
      <c r="C125">
        <v>1</v>
      </c>
      <c r="E125" t="str">
        <f t="shared" si="12"/>
        <v>Survived</v>
      </c>
      <c r="F125" t="s">
        <v>1031</v>
      </c>
      <c r="G125" t="s">
        <v>848</v>
      </c>
      <c r="H125" t="s">
        <v>1032</v>
      </c>
      <c r="I125" t="str">
        <f t="shared" si="13"/>
        <v>Mr. Frolicher-Stehli Maxmillian</v>
      </c>
      <c r="J125" t="s">
        <v>20</v>
      </c>
      <c r="K125" t="str">
        <f t="shared" si="14"/>
        <v>Male</v>
      </c>
      <c r="L125">
        <v>60</v>
      </c>
      <c r="O125">
        <f t="shared" si="15"/>
        <v>60</v>
      </c>
      <c r="P125">
        <v>1</v>
      </c>
      <c r="R125" s="4">
        <v>1</v>
      </c>
      <c r="T125" s="5">
        <v>79.2</v>
      </c>
      <c r="W125" s="4">
        <v>60</v>
      </c>
      <c r="X125" s="4" t="str">
        <f t="shared" si="16"/>
        <v>Old Adult</v>
      </c>
      <c r="Y125" s="4" t="s">
        <v>197</v>
      </c>
      <c r="AA125" s="4" t="s">
        <v>197</v>
      </c>
      <c r="AB125" s="4" t="str">
        <f t="shared" si="17"/>
        <v>B</v>
      </c>
      <c r="AC125" s="4" t="str">
        <f t="shared" si="18"/>
        <v>B</v>
      </c>
      <c r="AD125" s="4" t="s">
        <v>3566</v>
      </c>
      <c r="AF125" s="4">
        <v>5</v>
      </c>
      <c r="AG125" s="4">
        <f t="shared" si="19"/>
        <v>5</v>
      </c>
      <c r="AK125" s="4" t="s">
        <v>3573</v>
      </c>
      <c r="AL125" s="4" t="str">
        <f t="shared" si="20"/>
        <v>Found</v>
      </c>
      <c r="AN125" s="6">
        <v>79.2</v>
      </c>
      <c r="AO125" s="4" t="str">
        <f t="shared" si="21"/>
        <v>High</v>
      </c>
    </row>
    <row r="126" spans="1:41">
      <c r="A126">
        <v>1</v>
      </c>
      <c r="B126" t="str">
        <f t="shared" si="11"/>
        <v>First Class</v>
      </c>
      <c r="C126">
        <v>1</v>
      </c>
      <c r="E126" t="str">
        <f t="shared" si="12"/>
        <v>Survived</v>
      </c>
      <c r="F126" t="s">
        <v>1031</v>
      </c>
      <c r="G126" t="s">
        <v>849</v>
      </c>
      <c r="H126" t="s">
        <v>1032</v>
      </c>
      <c r="I126" t="str">
        <f t="shared" si="13"/>
        <v>Mrs. Frolicher-Stehli Maxmillian</v>
      </c>
      <c r="J126" t="s">
        <v>47</v>
      </c>
      <c r="K126" t="str">
        <f t="shared" si="14"/>
        <v>Female</v>
      </c>
      <c r="L126">
        <v>48</v>
      </c>
      <c r="O126">
        <f t="shared" si="15"/>
        <v>48</v>
      </c>
      <c r="P126">
        <v>1</v>
      </c>
      <c r="R126" s="4">
        <v>1</v>
      </c>
      <c r="T126" s="5">
        <v>79.2</v>
      </c>
      <c r="W126" s="4">
        <v>48</v>
      </c>
      <c r="X126" s="4" t="str">
        <f t="shared" si="16"/>
        <v>Adult</v>
      </c>
      <c r="Y126" s="4" t="s">
        <v>197</v>
      </c>
      <c r="AA126" s="4" t="s">
        <v>197</v>
      </c>
      <c r="AB126" s="4" t="str">
        <f t="shared" si="17"/>
        <v>B</v>
      </c>
      <c r="AC126" s="4" t="str">
        <f t="shared" si="18"/>
        <v>B</v>
      </c>
      <c r="AD126" s="4" t="s">
        <v>3566</v>
      </c>
      <c r="AF126" s="4">
        <v>5</v>
      </c>
      <c r="AG126" s="4">
        <f t="shared" si="19"/>
        <v>5</v>
      </c>
      <c r="AK126" s="4" t="s">
        <v>3573</v>
      </c>
      <c r="AL126" s="4" t="str">
        <f t="shared" si="20"/>
        <v>Found</v>
      </c>
      <c r="AN126" s="6">
        <v>79.2</v>
      </c>
      <c r="AO126" s="4" t="str">
        <f t="shared" si="21"/>
        <v>High</v>
      </c>
    </row>
    <row r="127" spans="1:41">
      <c r="A127">
        <v>1</v>
      </c>
      <c r="B127" t="str">
        <f t="shared" si="11"/>
        <v>First Class</v>
      </c>
      <c r="C127">
        <v>0</v>
      </c>
      <c r="E127" t="str">
        <f t="shared" si="12"/>
        <v>Died</v>
      </c>
      <c r="F127" t="s">
        <v>1033</v>
      </c>
      <c r="G127" t="s">
        <v>848</v>
      </c>
      <c r="H127" t="s">
        <v>884</v>
      </c>
      <c r="I127" t="str">
        <f t="shared" si="13"/>
        <v>Mr. Fry Richard</v>
      </c>
      <c r="J127" t="s">
        <v>20</v>
      </c>
      <c r="K127" t="str">
        <f t="shared" si="14"/>
        <v>Male</v>
      </c>
      <c r="L127">
        <v>28</v>
      </c>
      <c r="O127">
        <f t="shared" si="15"/>
        <v>28</v>
      </c>
      <c r="P127">
        <v>0</v>
      </c>
      <c r="R127" s="4">
        <v>0</v>
      </c>
      <c r="T127" s="5">
        <v>0</v>
      </c>
      <c r="W127" s="4">
        <v>28</v>
      </c>
      <c r="X127" s="4" t="str">
        <f t="shared" si="16"/>
        <v>Young Adult</v>
      </c>
      <c r="Y127" s="4" t="s">
        <v>198</v>
      </c>
      <c r="AA127" s="4" t="s">
        <v>198</v>
      </c>
      <c r="AB127" s="4" t="str">
        <f t="shared" si="17"/>
        <v>B</v>
      </c>
      <c r="AC127" s="4" t="str">
        <f t="shared" si="18"/>
        <v>B</v>
      </c>
      <c r="AD127" s="4" t="s">
        <v>457</v>
      </c>
      <c r="AG127" s="4" t="str">
        <f t="shared" si="19"/>
        <v>Not Applicable</v>
      </c>
      <c r="AK127" s="4" t="s">
        <v>3573</v>
      </c>
      <c r="AL127" s="4" t="str">
        <f t="shared" si="20"/>
        <v>Found</v>
      </c>
      <c r="AN127" s="6">
        <v>0</v>
      </c>
      <c r="AO127" s="4" t="str">
        <f t="shared" si="21"/>
        <v>Low</v>
      </c>
    </row>
    <row r="128" spans="1:41">
      <c r="A128">
        <v>1</v>
      </c>
      <c r="B128" t="str">
        <f t="shared" si="11"/>
        <v>First Class</v>
      </c>
      <c r="C128">
        <v>0</v>
      </c>
      <c r="E128" t="str">
        <f t="shared" si="12"/>
        <v>Died</v>
      </c>
      <c r="F128" t="s">
        <v>1034</v>
      </c>
      <c r="G128" t="s">
        <v>848</v>
      </c>
      <c r="H128" t="s">
        <v>1035</v>
      </c>
      <c r="I128" t="str">
        <f t="shared" si="13"/>
        <v>Mr. Futrelle Jacques</v>
      </c>
      <c r="J128" t="s">
        <v>20</v>
      </c>
      <c r="K128" t="str">
        <f t="shared" si="14"/>
        <v>Male</v>
      </c>
      <c r="L128">
        <v>37</v>
      </c>
      <c r="O128">
        <f t="shared" si="15"/>
        <v>37</v>
      </c>
      <c r="P128">
        <v>1</v>
      </c>
      <c r="R128" s="4">
        <v>0</v>
      </c>
      <c r="T128" s="5">
        <v>53.1</v>
      </c>
      <c r="W128" s="4">
        <v>37</v>
      </c>
      <c r="X128" s="4" t="str">
        <f t="shared" si="16"/>
        <v>Adult</v>
      </c>
      <c r="Y128" s="4" t="s">
        <v>199</v>
      </c>
      <c r="AA128" s="4" t="s">
        <v>199</v>
      </c>
      <c r="AB128" s="4" t="str">
        <f t="shared" si="17"/>
        <v>C</v>
      </c>
      <c r="AC128" s="4" t="str">
        <f t="shared" si="18"/>
        <v>C</v>
      </c>
      <c r="AD128" s="4" t="s">
        <v>457</v>
      </c>
      <c r="AG128" s="4" t="str">
        <f t="shared" si="19"/>
        <v>Not Applicable</v>
      </c>
      <c r="AK128" s="4" t="s">
        <v>3573</v>
      </c>
      <c r="AL128" s="4" t="str">
        <f t="shared" si="20"/>
        <v>Found</v>
      </c>
      <c r="AN128" s="6">
        <v>53.1</v>
      </c>
      <c r="AO128" s="4" t="str">
        <f t="shared" si="21"/>
        <v>High</v>
      </c>
    </row>
    <row r="129" spans="1:41">
      <c r="A129">
        <v>1</v>
      </c>
      <c r="B129" t="str">
        <f t="shared" si="11"/>
        <v>First Class</v>
      </c>
      <c r="C129">
        <v>1</v>
      </c>
      <c r="E129" t="str">
        <f t="shared" si="12"/>
        <v>Survived</v>
      </c>
      <c r="F129" t="s">
        <v>1034</v>
      </c>
      <c r="G129" t="s">
        <v>849</v>
      </c>
      <c r="H129" t="s">
        <v>1035</v>
      </c>
      <c r="I129" t="str">
        <f t="shared" si="13"/>
        <v>Mrs. Futrelle Jacques</v>
      </c>
      <c r="J129" t="s">
        <v>47</v>
      </c>
      <c r="K129" t="str">
        <f t="shared" si="14"/>
        <v>Female</v>
      </c>
      <c r="L129">
        <v>35</v>
      </c>
      <c r="O129">
        <f t="shared" si="15"/>
        <v>35</v>
      </c>
      <c r="P129">
        <v>1</v>
      </c>
      <c r="R129" s="4">
        <v>0</v>
      </c>
      <c r="T129" s="5">
        <v>53.1</v>
      </c>
      <c r="W129" s="4">
        <v>35</v>
      </c>
      <c r="X129" s="4" t="str">
        <f t="shared" si="16"/>
        <v>Adult</v>
      </c>
      <c r="Y129" s="4" t="s">
        <v>199</v>
      </c>
      <c r="AA129" s="4" t="s">
        <v>199</v>
      </c>
      <c r="AB129" s="4" t="str">
        <f t="shared" si="17"/>
        <v>C</v>
      </c>
      <c r="AC129" s="4" t="str">
        <f t="shared" si="18"/>
        <v>C</v>
      </c>
      <c r="AD129" s="4" t="s">
        <v>457</v>
      </c>
      <c r="AF129" s="4" t="s">
        <v>59</v>
      </c>
      <c r="AG129" s="4" t="str">
        <f t="shared" si="19"/>
        <v>D</v>
      </c>
      <c r="AK129" s="4" t="s">
        <v>3573</v>
      </c>
      <c r="AL129" s="4" t="str">
        <f t="shared" si="20"/>
        <v>Found</v>
      </c>
      <c r="AN129" s="6">
        <v>53.1</v>
      </c>
      <c r="AO129" s="4" t="str">
        <f t="shared" si="21"/>
        <v>High</v>
      </c>
    </row>
    <row r="130" spans="1:41">
      <c r="A130">
        <v>1</v>
      </c>
      <c r="B130" t="str">
        <f t="shared" si="11"/>
        <v>First Class</v>
      </c>
      <c r="C130">
        <v>0</v>
      </c>
      <c r="E130" t="str">
        <f t="shared" si="12"/>
        <v>Died</v>
      </c>
      <c r="F130" t="s">
        <v>1037</v>
      </c>
      <c r="G130" t="s">
        <v>848</v>
      </c>
      <c r="H130" t="s">
        <v>913</v>
      </c>
      <c r="I130" t="str">
        <f t="shared" si="13"/>
        <v>Mr. Gee Arthur</v>
      </c>
      <c r="J130" t="s">
        <v>20</v>
      </c>
      <c r="K130" t="str">
        <f t="shared" si="14"/>
        <v>Male</v>
      </c>
      <c r="L130">
        <v>47</v>
      </c>
      <c r="O130">
        <f t="shared" si="15"/>
        <v>47</v>
      </c>
      <c r="P130">
        <v>0</v>
      </c>
      <c r="R130" s="4">
        <v>0</v>
      </c>
      <c r="T130" s="5">
        <v>38.5</v>
      </c>
      <c r="W130" s="4">
        <v>47</v>
      </c>
      <c r="X130" s="4" t="str">
        <f t="shared" si="16"/>
        <v>Adult</v>
      </c>
      <c r="Y130" s="4" t="s">
        <v>201</v>
      </c>
      <c r="AA130" s="4" t="s">
        <v>201</v>
      </c>
      <c r="AB130" s="4" t="str">
        <f t="shared" si="17"/>
        <v>E</v>
      </c>
      <c r="AC130" s="4" t="str">
        <f t="shared" si="18"/>
        <v>E</v>
      </c>
      <c r="AD130" s="4" t="s">
        <v>457</v>
      </c>
      <c r="AG130" s="4" t="str">
        <f t="shared" si="19"/>
        <v>Not Applicable</v>
      </c>
      <c r="AH130" s="4">
        <v>275</v>
      </c>
      <c r="AK130" s="4">
        <v>275</v>
      </c>
      <c r="AL130" s="4" t="str">
        <f t="shared" si="20"/>
        <v>Found</v>
      </c>
      <c r="AN130" s="6">
        <v>38.5</v>
      </c>
      <c r="AO130" s="4" t="str">
        <f t="shared" si="21"/>
        <v>Mid</v>
      </c>
    </row>
    <row r="131" spans="1:41">
      <c r="A131">
        <v>1</v>
      </c>
      <c r="B131" t="str">
        <f t="shared" ref="B131:B194" si="22">IF(A131=1,"First Class",IF(A131=2,"Second Class",IF(A131=3,"Third Class"," ")))</f>
        <v>First Class</v>
      </c>
      <c r="C131">
        <v>1</v>
      </c>
      <c r="E131" t="str">
        <f t="shared" ref="E131:E194" si="23">IF(C131=1,"Survived",IF(C131=0,"Died"))</f>
        <v>Survived</v>
      </c>
      <c r="F131" t="s">
        <v>1038</v>
      </c>
      <c r="G131" t="s">
        <v>842</v>
      </c>
      <c r="H131" t="s">
        <v>1039</v>
      </c>
      <c r="I131" t="str">
        <f t="shared" ref="I131:I194" si="24">_xlfn.CONCAT(G131," ",F131," ",H131)</f>
        <v>Miss. Geiger Amalie</v>
      </c>
      <c r="J131" t="s">
        <v>47</v>
      </c>
      <c r="K131" t="str">
        <f t="shared" ref="K131:K194" si="25">PROPER(J131)</f>
        <v>Female</v>
      </c>
      <c r="L131">
        <v>35</v>
      </c>
      <c r="O131">
        <f t="shared" ref="O131:O194" si="26">IF(L131&lt;1,1,ROUND(L131,0))</f>
        <v>35</v>
      </c>
      <c r="P131">
        <v>0</v>
      </c>
      <c r="R131" s="4">
        <v>0</v>
      </c>
      <c r="T131" s="5">
        <v>211.5</v>
      </c>
      <c r="W131" s="4">
        <v>35</v>
      </c>
      <c r="X131" s="4" t="str">
        <f t="shared" ref="X131:X194" si="27">IF(W131&lt;10,"Child",IF(W131&lt;18,"Teenager",IF(W131&lt;30,"Young Adult",IF(W131&lt;60,"Adult","Old Adult"))))</f>
        <v>Adult</v>
      </c>
      <c r="Y131" s="4" t="s">
        <v>203</v>
      </c>
      <c r="AA131" s="4" t="s">
        <v>203</v>
      </c>
      <c r="AB131" s="4" t="str">
        <f t="shared" ref="AB131:AB194" si="28">LEFT(AA131,1)</f>
        <v>C</v>
      </c>
      <c r="AC131" s="4" t="str">
        <f t="shared" ref="AC131:AC194" si="29">IF(AB131="","Unknown",LEFT(AB131,1))</f>
        <v>C</v>
      </c>
      <c r="AD131" s="4" t="s">
        <v>3566</v>
      </c>
      <c r="AF131" s="4">
        <v>4</v>
      </c>
      <c r="AG131" s="4">
        <f t="shared" ref="AG131:AG194" si="30">IF(AF131="",IF(E131=1,"Unknown","Not Applicable"),AF131)</f>
        <v>4</v>
      </c>
      <c r="AK131" s="4" t="s">
        <v>3573</v>
      </c>
      <c r="AL131" s="4" t="str">
        <f t="shared" ref="AL131:AL194" si="31">IF(AK131="","Not Found","Found")</f>
        <v>Found</v>
      </c>
      <c r="AN131" s="6">
        <v>211.5</v>
      </c>
      <c r="AO131" s="4" t="str">
        <f t="shared" ref="AO131:AO194" si="32">IF(AN131&lt;=10,"Low",IF(AN131&lt;=50,"Mid","High"))</f>
        <v>High</v>
      </c>
    </row>
    <row r="132" spans="1:41">
      <c r="A132">
        <v>1</v>
      </c>
      <c r="B132" t="str">
        <f t="shared" si="22"/>
        <v>First Class</v>
      </c>
      <c r="C132">
        <v>1</v>
      </c>
      <c r="E132" t="str">
        <f t="shared" si="23"/>
        <v>Survived</v>
      </c>
      <c r="F132" t="s">
        <v>1040</v>
      </c>
      <c r="G132" t="s">
        <v>842</v>
      </c>
      <c r="H132" t="s">
        <v>1041</v>
      </c>
      <c r="I132" t="str">
        <f t="shared" si="24"/>
        <v>Miss. Gibson Dorothy</v>
      </c>
      <c r="J132" t="s">
        <v>47</v>
      </c>
      <c r="K132" t="str">
        <f t="shared" si="25"/>
        <v>Female</v>
      </c>
      <c r="L132">
        <v>22</v>
      </c>
      <c r="O132">
        <f t="shared" si="26"/>
        <v>22</v>
      </c>
      <c r="P132">
        <v>0</v>
      </c>
      <c r="R132" s="4">
        <v>1</v>
      </c>
      <c r="T132" s="5">
        <v>59.4</v>
      </c>
      <c r="W132" s="4">
        <v>22</v>
      </c>
      <c r="X132" s="4" t="str">
        <f t="shared" si="27"/>
        <v>Young Adult</v>
      </c>
      <c r="Y132" s="4" t="s">
        <v>3561</v>
      </c>
      <c r="AB132" s="4" t="str">
        <f t="shared" si="28"/>
        <v/>
      </c>
      <c r="AC132" s="4" t="str">
        <f t="shared" si="29"/>
        <v>Unknown</v>
      </c>
      <c r="AD132" s="4" t="s">
        <v>3566</v>
      </c>
      <c r="AF132" s="4">
        <v>7</v>
      </c>
      <c r="AG132" s="4">
        <f t="shared" si="30"/>
        <v>7</v>
      </c>
      <c r="AK132" s="4" t="s">
        <v>3573</v>
      </c>
      <c r="AL132" s="4" t="str">
        <f t="shared" si="31"/>
        <v>Found</v>
      </c>
      <c r="AN132" s="6">
        <v>59.4</v>
      </c>
      <c r="AO132" s="4" t="str">
        <f t="shared" si="32"/>
        <v>High</v>
      </c>
    </row>
    <row r="133" spans="1:41">
      <c r="A133">
        <v>1</v>
      </c>
      <c r="B133" t="str">
        <f t="shared" si="22"/>
        <v>First Class</v>
      </c>
      <c r="C133">
        <v>1</v>
      </c>
      <c r="E133" t="str">
        <f t="shared" si="23"/>
        <v>Survived</v>
      </c>
      <c r="F133" t="s">
        <v>1040</v>
      </c>
      <c r="G133" t="s">
        <v>849</v>
      </c>
      <c r="H133" t="s">
        <v>885</v>
      </c>
      <c r="I133" t="str">
        <f t="shared" si="24"/>
        <v>Mrs. Gibson Leonard</v>
      </c>
      <c r="J133" t="s">
        <v>47</v>
      </c>
      <c r="K133" t="str">
        <f t="shared" si="25"/>
        <v>Female</v>
      </c>
      <c r="L133">
        <v>45</v>
      </c>
      <c r="O133">
        <f t="shared" si="26"/>
        <v>45</v>
      </c>
      <c r="P133">
        <v>0</v>
      </c>
      <c r="R133" s="4">
        <v>1</v>
      </c>
      <c r="T133" s="5">
        <v>59.4</v>
      </c>
      <c r="W133" s="4">
        <v>45</v>
      </c>
      <c r="X133" s="4" t="str">
        <f t="shared" si="27"/>
        <v>Adult</v>
      </c>
      <c r="Y133" s="4" t="s">
        <v>3561</v>
      </c>
      <c r="AB133" s="4" t="str">
        <f t="shared" si="28"/>
        <v/>
      </c>
      <c r="AC133" s="4" t="str">
        <f t="shared" si="29"/>
        <v>Unknown</v>
      </c>
      <c r="AD133" s="4" t="s">
        <v>3566</v>
      </c>
      <c r="AF133" s="4">
        <v>7</v>
      </c>
      <c r="AG133" s="4">
        <f t="shared" si="30"/>
        <v>7</v>
      </c>
      <c r="AK133" s="4" t="s">
        <v>3573</v>
      </c>
      <c r="AL133" s="4" t="str">
        <f t="shared" si="31"/>
        <v>Found</v>
      </c>
      <c r="AN133" s="6">
        <v>59.4</v>
      </c>
      <c r="AO133" s="4" t="str">
        <f t="shared" si="32"/>
        <v>High</v>
      </c>
    </row>
    <row r="134" spans="1:41">
      <c r="A134">
        <v>1</v>
      </c>
      <c r="B134" t="str">
        <f t="shared" si="22"/>
        <v>First Class</v>
      </c>
      <c r="C134">
        <v>0</v>
      </c>
      <c r="E134" t="str">
        <f t="shared" si="23"/>
        <v>Died</v>
      </c>
      <c r="F134" t="s">
        <v>1043</v>
      </c>
      <c r="G134" t="s">
        <v>848</v>
      </c>
      <c r="H134" t="s">
        <v>1044</v>
      </c>
      <c r="I134" t="str">
        <f t="shared" si="24"/>
        <v>Mr. Giglio Victor</v>
      </c>
      <c r="J134" t="s">
        <v>20</v>
      </c>
      <c r="K134" t="str">
        <f t="shared" si="25"/>
        <v>Male</v>
      </c>
      <c r="L134">
        <v>24</v>
      </c>
      <c r="O134">
        <f t="shared" si="26"/>
        <v>24</v>
      </c>
      <c r="P134">
        <v>0</v>
      </c>
      <c r="R134" s="4">
        <v>0</v>
      </c>
      <c r="T134" s="5">
        <v>79.2</v>
      </c>
      <c r="W134" s="4">
        <v>24</v>
      </c>
      <c r="X134" s="4" t="str">
        <f t="shared" si="27"/>
        <v>Young Adult</v>
      </c>
      <c r="Y134" s="4" t="s">
        <v>205</v>
      </c>
      <c r="AA134" s="4" t="s">
        <v>205</v>
      </c>
      <c r="AB134" s="4" t="str">
        <f t="shared" si="28"/>
        <v>B</v>
      </c>
      <c r="AC134" s="4" t="str">
        <f t="shared" si="29"/>
        <v>B</v>
      </c>
      <c r="AD134" s="4" t="s">
        <v>3566</v>
      </c>
      <c r="AG134" s="4" t="str">
        <f t="shared" si="30"/>
        <v>Not Applicable</v>
      </c>
      <c r="AK134" s="4" t="s">
        <v>3573</v>
      </c>
      <c r="AL134" s="4" t="str">
        <f t="shared" si="31"/>
        <v>Found</v>
      </c>
      <c r="AN134" s="6">
        <v>79.2</v>
      </c>
      <c r="AO134" s="4" t="str">
        <f t="shared" si="32"/>
        <v>High</v>
      </c>
    </row>
    <row r="135" spans="1:41">
      <c r="A135">
        <v>1</v>
      </c>
      <c r="B135" t="str">
        <f t="shared" si="22"/>
        <v>First Class</v>
      </c>
      <c r="C135">
        <v>1</v>
      </c>
      <c r="E135" t="str">
        <f t="shared" si="23"/>
        <v>Survived</v>
      </c>
      <c r="F135" t="s">
        <v>1045</v>
      </c>
      <c r="G135" t="s">
        <v>848</v>
      </c>
      <c r="H135" t="s">
        <v>1046</v>
      </c>
      <c r="I135" t="str">
        <f t="shared" si="24"/>
        <v>Mr. Goldenberg Samuel</v>
      </c>
      <c r="J135" t="s">
        <v>20</v>
      </c>
      <c r="K135" t="str">
        <f t="shared" si="25"/>
        <v>Male</v>
      </c>
      <c r="L135">
        <v>49</v>
      </c>
      <c r="O135">
        <f t="shared" si="26"/>
        <v>49</v>
      </c>
      <c r="P135">
        <v>1</v>
      </c>
      <c r="R135" s="4">
        <v>0</v>
      </c>
      <c r="T135" s="5">
        <v>89.104200000000006</v>
      </c>
      <c r="W135" s="4">
        <v>49</v>
      </c>
      <c r="X135" s="4" t="str">
        <f t="shared" si="27"/>
        <v>Adult</v>
      </c>
      <c r="Y135" s="4" t="s">
        <v>206</v>
      </c>
      <c r="AA135" s="4" t="s">
        <v>206</v>
      </c>
      <c r="AB135" s="4" t="str">
        <f t="shared" si="28"/>
        <v>C</v>
      </c>
      <c r="AC135" s="4" t="str">
        <f t="shared" si="29"/>
        <v>C</v>
      </c>
      <c r="AD135" s="4" t="s">
        <v>3566</v>
      </c>
      <c r="AF135" s="4">
        <v>5</v>
      </c>
      <c r="AG135" s="4">
        <f t="shared" si="30"/>
        <v>5</v>
      </c>
      <c r="AK135" s="4" t="s">
        <v>3573</v>
      </c>
      <c r="AL135" s="4" t="str">
        <f t="shared" si="31"/>
        <v>Found</v>
      </c>
      <c r="AN135" s="6">
        <v>89.104200000000006</v>
      </c>
      <c r="AO135" s="4" t="str">
        <f t="shared" si="32"/>
        <v>High</v>
      </c>
    </row>
    <row r="136" spans="1:41">
      <c r="A136">
        <v>1</v>
      </c>
      <c r="B136" t="str">
        <f t="shared" si="22"/>
        <v>First Class</v>
      </c>
      <c r="C136">
        <v>1</v>
      </c>
      <c r="E136" t="str">
        <f t="shared" si="23"/>
        <v>Survived</v>
      </c>
      <c r="F136" t="s">
        <v>1045</v>
      </c>
      <c r="G136" t="s">
        <v>849</v>
      </c>
      <c r="H136" t="s">
        <v>1046</v>
      </c>
      <c r="I136" t="str">
        <f t="shared" si="24"/>
        <v>Mrs. Goldenberg Samuel</v>
      </c>
      <c r="J136" t="s">
        <v>47</v>
      </c>
      <c r="K136" t="str">
        <f t="shared" si="25"/>
        <v>Female</v>
      </c>
      <c r="L136">
        <v>28</v>
      </c>
      <c r="O136">
        <f t="shared" si="26"/>
        <v>28</v>
      </c>
      <c r="P136">
        <v>1</v>
      </c>
      <c r="R136" s="4">
        <v>0</v>
      </c>
      <c r="T136" s="5">
        <v>89.104200000000006</v>
      </c>
      <c r="W136" s="4">
        <v>28</v>
      </c>
      <c r="X136" s="4" t="str">
        <f t="shared" si="27"/>
        <v>Young Adult</v>
      </c>
      <c r="Y136" s="4" t="s">
        <v>206</v>
      </c>
      <c r="AA136" s="4" t="s">
        <v>206</v>
      </c>
      <c r="AB136" s="4" t="str">
        <f t="shared" si="28"/>
        <v>C</v>
      </c>
      <c r="AC136" s="4" t="str">
        <f t="shared" si="29"/>
        <v>C</v>
      </c>
      <c r="AD136" s="4" t="s">
        <v>3566</v>
      </c>
      <c r="AF136" s="4">
        <v>5</v>
      </c>
      <c r="AG136" s="4">
        <f t="shared" si="30"/>
        <v>5</v>
      </c>
      <c r="AK136" s="4" t="s">
        <v>3573</v>
      </c>
      <c r="AL136" s="4" t="str">
        <f t="shared" si="31"/>
        <v>Found</v>
      </c>
      <c r="AN136" s="6">
        <v>89.104200000000006</v>
      </c>
      <c r="AO136" s="4" t="str">
        <f t="shared" si="32"/>
        <v>High</v>
      </c>
    </row>
    <row r="137" spans="1:41">
      <c r="A137">
        <v>1</v>
      </c>
      <c r="B137" t="str">
        <f t="shared" si="22"/>
        <v>First Class</v>
      </c>
      <c r="C137">
        <v>0</v>
      </c>
      <c r="E137" t="str">
        <f t="shared" si="23"/>
        <v>Died</v>
      </c>
      <c r="F137" t="s">
        <v>1047</v>
      </c>
      <c r="G137" t="s">
        <v>848</v>
      </c>
      <c r="H137" t="s">
        <v>912</v>
      </c>
      <c r="I137" t="str">
        <f t="shared" si="24"/>
        <v>Mr. Goldschmidt George</v>
      </c>
      <c r="J137" t="s">
        <v>20</v>
      </c>
      <c r="K137" t="str">
        <f t="shared" si="25"/>
        <v>Male</v>
      </c>
      <c r="L137">
        <v>71</v>
      </c>
      <c r="O137">
        <f t="shared" si="26"/>
        <v>71</v>
      </c>
      <c r="P137">
        <v>0</v>
      </c>
      <c r="R137" s="4">
        <v>0</v>
      </c>
      <c r="T137" s="5">
        <v>34.654200000000003</v>
      </c>
      <c r="W137" s="4">
        <v>71</v>
      </c>
      <c r="X137" s="4" t="str">
        <f t="shared" si="27"/>
        <v>Old Adult</v>
      </c>
      <c r="Y137" s="4" t="s">
        <v>209</v>
      </c>
      <c r="AA137" s="4" t="s">
        <v>209</v>
      </c>
      <c r="AB137" s="4" t="str">
        <f t="shared" si="28"/>
        <v>A</v>
      </c>
      <c r="AC137" s="4" t="str">
        <f t="shared" si="29"/>
        <v>A</v>
      </c>
      <c r="AD137" s="4" t="s">
        <v>3566</v>
      </c>
      <c r="AG137" s="4" t="str">
        <f t="shared" si="30"/>
        <v>Not Applicable</v>
      </c>
      <c r="AK137" s="4" t="s">
        <v>3573</v>
      </c>
      <c r="AL137" s="4" t="str">
        <f t="shared" si="31"/>
        <v>Found</v>
      </c>
      <c r="AN137" s="6">
        <v>34.654200000000003</v>
      </c>
      <c r="AO137" s="4" t="str">
        <f t="shared" si="32"/>
        <v>Mid</v>
      </c>
    </row>
    <row r="138" spans="1:41">
      <c r="A138">
        <v>1</v>
      </c>
      <c r="B138" t="str">
        <f t="shared" si="22"/>
        <v>First Class</v>
      </c>
      <c r="C138">
        <v>1</v>
      </c>
      <c r="E138" t="str">
        <f t="shared" si="23"/>
        <v>Survived</v>
      </c>
      <c r="F138" t="s">
        <v>1048</v>
      </c>
      <c r="G138" t="s">
        <v>861</v>
      </c>
      <c r="H138" t="s">
        <v>930</v>
      </c>
      <c r="I138" t="str">
        <f t="shared" si="24"/>
        <v>Col. Gracie Archibald</v>
      </c>
      <c r="J138" t="s">
        <v>20</v>
      </c>
      <c r="K138" t="str">
        <f t="shared" si="25"/>
        <v>Male</v>
      </c>
      <c r="L138">
        <v>53</v>
      </c>
      <c r="O138">
        <f t="shared" si="26"/>
        <v>53</v>
      </c>
      <c r="P138">
        <v>0</v>
      </c>
      <c r="R138" s="4">
        <v>0</v>
      </c>
      <c r="T138" s="5">
        <v>28.5</v>
      </c>
      <c r="W138" s="4">
        <v>53</v>
      </c>
      <c r="X138" s="4" t="str">
        <f t="shared" si="27"/>
        <v>Adult</v>
      </c>
      <c r="Y138" s="4" t="s">
        <v>210</v>
      </c>
      <c r="AA138" s="4" t="s">
        <v>210</v>
      </c>
      <c r="AB138" s="4" t="str">
        <f t="shared" si="28"/>
        <v>C</v>
      </c>
      <c r="AC138" s="4" t="str">
        <f t="shared" si="29"/>
        <v>C</v>
      </c>
      <c r="AD138" s="4" t="s">
        <v>3566</v>
      </c>
      <c r="AF138" s="4" t="s">
        <v>70</v>
      </c>
      <c r="AG138" s="4" t="str">
        <f t="shared" si="30"/>
        <v>B</v>
      </c>
      <c r="AK138" s="4" t="s">
        <v>3573</v>
      </c>
      <c r="AL138" s="4" t="str">
        <f t="shared" si="31"/>
        <v>Found</v>
      </c>
      <c r="AN138" s="6">
        <v>28.5</v>
      </c>
      <c r="AO138" s="4" t="str">
        <f t="shared" si="32"/>
        <v>Mid</v>
      </c>
    </row>
    <row r="139" spans="1:41">
      <c r="A139">
        <v>1</v>
      </c>
      <c r="B139" t="str">
        <f t="shared" si="22"/>
        <v>First Class</v>
      </c>
      <c r="C139">
        <v>1</v>
      </c>
      <c r="E139" t="str">
        <f t="shared" si="23"/>
        <v>Survived</v>
      </c>
      <c r="F139" t="s">
        <v>1049</v>
      </c>
      <c r="G139" t="s">
        <v>842</v>
      </c>
      <c r="H139" t="s">
        <v>927</v>
      </c>
      <c r="I139" t="str">
        <f t="shared" si="24"/>
        <v>Miss. Graham Margaret</v>
      </c>
      <c r="J139" t="s">
        <v>47</v>
      </c>
      <c r="K139" t="str">
        <f t="shared" si="25"/>
        <v>Female</v>
      </c>
      <c r="L139">
        <v>19</v>
      </c>
      <c r="O139">
        <f t="shared" si="26"/>
        <v>19</v>
      </c>
      <c r="P139">
        <v>0</v>
      </c>
      <c r="R139" s="4">
        <v>0</v>
      </c>
      <c r="T139" s="5">
        <v>30</v>
      </c>
      <c r="W139" s="4">
        <v>19</v>
      </c>
      <c r="X139" s="4" t="str">
        <f t="shared" si="27"/>
        <v>Young Adult</v>
      </c>
      <c r="Y139" s="4" t="s">
        <v>211</v>
      </c>
      <c r="AA139" s="4" t="s">
        <v>211</v>
      </c>
      <c r="AB139" s="4" t="str">
        <f t="shared" si="28"/>
        <v>B</v>
      </c>
      <c r="AC139" s="4" t="str">
        <f t="shared" si="29"/>
        <v>B</v>
      </c>
      <c r="AD139" s="4" t="s">
        <v>457</v>
      </c>
      <c r="AF139" s="4">
        <v>3</v>
      </c>
      <c r="AG139" s="4">
        <f t="shared" si="30"/>
        <v>3</v>
      </c>
      <c r="AK139" s="4" t="s">
        <v>3573</v>
      </c>
      <c r="AL139" s="4" t="str">
        <f t="shared" si="31"/>
        <v>Found</v>
      </c>
      <c r="AN139" s="6">
        <v>30</v>
      </c>
      <c r="AO139" s="4" t="str">
        <f t="shared" si="32"/>
        <v>Mid</v>
      </c>
    </row>
    <row r="140" spans="1:41">
      <c r="A140">
        <v>1</v>
      </c>
      <c r="B140" t="str">
        <f t="shared" si="22"/>
        <v>First Class</v>
      </c>
      <c r="C140">
        <v>0</v>
      </c>
      <c r="E140" t="str">
        <f t="shared" si="23"/>
        <v>Died</v>
      </c>
      <c r="F140" t="s">
        <v>1049</v>
      </c>
      <c r="G140" t="s">
        <v>848</v>
      </c>
      <c r="H140" t="s">
        <v>912</v>
      </c>
      <c r="I140" t="str">
        <f t="shared" si="24"/>
        <v>Mr. Graham George</v>
      </c>
      <c r="J140" t="s">
        <v>20</v>
      </c>
      <c r="K140" t="str">
        <f t="shared" si="25"/>
        <v>Male</v>
      </c>
      <c r="L140">
        <v>38</v>
      </c>
      <c r="O140">
        <f t="shared" si="26"/>
        <v>38</v>
      </c>
      <c r="P140">
        <v>0</v>
      </c>
      <c r="R140" s="4">
        <v>1</v>
      </c>
      <c r="T140" s="5">
        <v>153.46250000000001</v>
      </c>
      <c r="W140" s="4">
        <v>38</v>
      </c>
      <c r="X140" s="4" t="str">
        <f t="shared" si="27"/>
        <v>Adult</v>
      </c>
      <c r="Y140" s="4" t="s">
        <v>214</v>
      </c>
      <c r="AA140" s="4" t="s">
        <v>214</v>
      </c>
      <c r="AB140" s="4" t="str">
        <f t="shared" si="28"/>
        <v>C</v>
      </c>
      <c r="AC140" s="4" t="str">
        <f t="shared" si="29"/>
        <v>C</v>
      </c>
      <c r="AD140" s="4" t="s">
        <v>457</v>
      </c>
      <c r="AG140" s="4" t="str">
        <f t="shared" si="30"/>
        <v>Not Applicable</v>
      </c>
      <c r="AH140" s="4">
        <v>147</v>
      </c>
      <c r="AK140" s="4">
        <v>147</v>
      </c>
      <c r="AL140" s="4" t="str">
        <f t="shared" si="31"/>
        <v>Found</v>
      </c>
      <c r="AN140" s="6">
        <v>153.46250000000001</v>
      </c>
      <c r="AO140" s="4" t="str">
        <f t="shared" si="32"/>
        <v>High</v>
      </c>
    </row>
    <row r="141" spans="1:41">
      <c r="A141">
        <v>1</v>
      </c>
      <c r="B141" t="str">
        <f t="shared" si="22"/>
        <v>First Class</v>
      </c>
      <c r="C141">
        <v>1</v>
      </c>
      <c r="E141" t="str">
        <f t="shared" si="23"/>
        <v>Survived</v>
      </c>
      <c r="F141" t="s">
        <v>1049</v>
      </c>
      <c r="G141" t="s">
        <v>849</v>
      </c>
      <c r="H141" t="s">
        <v>924</v>
      </c>
      <c r="I141" t="str">
        <f t="shared" si="24"/>
        <v>Mrs. Graham William</v>
      </c>
      <c r="J141" t="s">
        <v>47</v>
      </c>
      <c r="K141" t="str">
        <f t="shared" si="25"/>
        <v>Female</v>
      </c>
      <c r="L141">
        <v>58</v>
      </c>
      <c r="O141">
        <f t="shared" si="26"/>
        <v>58</v>
      </c>
      <c r="P141">
        <v>0</v>
      </c>
      <c r="R141" s="4">
        <v>1</v>
      </c>
      <c r="T141" s="5">
        <v>153.46250000000001</v>
      </c>
      <c r="W141" s="4">
        <v>58</v>
      </c>
      <c r="X141" s="4" t="str">
        <f t="shared" si="27"/>
        <v>Adult</v>
      </c>
      <c r="Y141" s="4" t="s">
        <v>215</v>
      </c>
      <c r="AA141" s="4" t="s">
        <v>215</v>
      </c>
      <c r="AB141" s="4" t="str">
        <f t="shared" si="28"/>
        <v>C</v>
      </c>
      <c r="AC141" s="4" t="str">
        <f t="shared" si="29"/>
        <v>C</v>
      </c>
      <c r="AD141" s="4" t="s">
        <v>457</v>
      </c>
      <c r="AF141" s="4">
        <v>3</v>
      </c>
      <c r="AG141" s="4">
        <f t="shared" si="30"/>
        <v>3</v>
      </c>
      <c r="AK141" s="4" t="s">
        <v>3573</v>
      </c>
      <c r="AL141" s="4" t="str">
        <f t="shared" si="31"/>
        <v>Found</v>
      </c>
      <c r="AN141" s="6">
        <v>153.46250000000001</v>
      </c>
      <c r="AO141" s="4" t="str">
        <f t="shared" si="32"/>
        <v>High</v>
      </c>
    </row>
    <row r="142" spans="1:41">
      <c r="A142">
        <v>1</v>
      </c>
      <c r="B142" t="str">
        <f t="shared" si="22"/>
        <v>First Class</v>
      </c>
      <c r="C142">
        <v>1</v>
      </c>
      <c r="E142" t="str">
        <f t="shared" si="23"/>
        <v>Survived</v>
      </c>
      <c r="F142" t="s">
        <v>1050</v>
      </c>
      <c r="G142" t="s">
        <v>848</v>
      </c>
      <c r="H142" t="s">
        <v>924</v>
      </c>
      <c r="I142" t="str">
        <f t="shared" si="24"/>
        <v>Mr. Greenfield William</v>
      </c>
      <c r="J142" t="s">
        <v>20</v>
      </c>
      <c r="K142" t="str">
        <f t="shared" si="25"/>
        <v>Male</v>
      </c>
      <c r="L142">
        <v>23</v>
      </c>
      <c r="O142">
        <f t="shared" si="26"/>
        <v>23</v>
      </c>
      <c r="P142">
        <v>0</v>
      </c>
      <c r="R142" s="4">
        <v>1</v>
      </c>
      <c r="T142" s="5">
        <v>63.3583</v>
      </c>
      <c r="W142" s="4">
        <v>23</v>
      </c>
      <c r="X142" s="4" t="str">
        <f t="shared" si="27"/>
        <v>Young Adult</v>
      </c>
      <c r="Y142" s="4" t="s">
        <v>217</v>
      </c>
      <c r="AA142" s="4" t="s">
        <v>217</v>
      </c>
      <c r="AB142" s="4" t="str">
        <f t="shared" si="28"/>
        <v>D</v>
      </c>
      <c r="AC142" s="4" t="str">
        <f t="shared" si="29"/>
        <v>D</v>
      </c>
      <c r="AD142" s="4" t="s">
        <v>3566</v>
      </c>
      <c r="AF142" s="4">
        <v>7</v>
      </c>
      <c r="AG142" s="4">
        <f t="shared" si="30"/>
        <v>7</v>
      </c>
      <c r="AK142" s="4" t="s">
        <v>3573</v>
      </c>
      <c r="AL142" s="4" t="str">
        <f t="shared" si="31"/>
        <v>Found</v>
      </c>
      <c r="AN142" s="6">
        <v>63.3583</v>
      </c>
      <c r="AO142" s="4" t="str">
        <f t="shared" si="32"/>
        <v>High</v>
      </c>
    </row>
    <row r="143" spans="1:41">
      <c r="A143">
        <v>1</v>
      </c>
      <c r="B143" t="str">
        <f t="shared" si="22"/>
        <v>First Class</v>
      </c>
      <c r="C143">
        <v>1</v>
      </c>
      <c r="E143" t="str">
        <f t="shared" si="23"/>
        <v>Survived</v>
      </c>
      <c r="F143" t="s">
        <v>1050</v>
      </c>
      <c r="G143" t="s">
        <v>849</v>
      </c>
      <c r="H143" t="s">
        <v>1051</v>
      </c>
      <c r="I143" t="str">
        <f t="shared" si="24"/>
        <v>Mrs. Greenfield Leo</v>
      </c>
      <c r="J143" t="s">
        <v>47</v>
      </c>
      <c r="K143" t="str">
        <f t="shared" si="25"/>
        <v>Female</v>
      </c>
      <c r="L143">
        <v>45</v>
      </c>
      <c r="O143">
        <f t="shared" si="26"/>
        <v>45</v>
      </c>
      <c r="P143">
        <v>0</v>
      </c>
      <c r="R143" s="4">
        <v>1</v>
      </c>
      <c r="T143" s="5">
        <v>63.3583</v>
      </c>
      <c r="W143" s="4">
        <v>45</v>
      </c>
      <c r="X143" s="4" t="str">
        <f t="shared" si="27"/>
        <v>Adult</v>
      </c>
      <c r="Y143" s="4" t="s">
        <v>217</v>
      </c>
      <c r="AA143" s="4" t="s">
        <v>217</v>
      </c>
      <c r="AB143" s="4" t="str">
        <f t="shared" si="28"/>
        <v>D</v>
      </c>
      <c r="AC143" s="4" t="str">
        <f t="shared" si="29"/>
        <v>D</v>
      </c>
      <c r="AD143" s="4" t="s">
        <v>3566</v>
      </c>
      <c r="AF143" s="4">
        <v>7</v>
      </c>
      <c r="AG143" s="4">
        <f t="shared" si="30"/>
        <v>7</v>
      </c>
      <c r="AK143" s="4" t="s">
        <v>3573</v>
      </c>
      <c r="AL143" s="4" t="str">
        <f t="shared" si="31"/>
        <v>Found</v>
      </c>
      <c r="AN143" s="6">
        <v>63.3583</v>
      </c>
      <c r="AO143" s="4" t="str">
        <f t="shared" si="32"/>
        <v>High</v>
      </c>
    </row>
    <row r="144" spans="1:41">
      <c r="A144">
        <v>1</v>
      </c>
      <c r="B144" t="str">
        <f t="shared" si="22"/>
        <v>First Class</v>
      </c>
      <c r="C144">
        <v>0</v>
      </c>
      <c r="E144" t="str">
        <f t="shared" si="23"/>
        <v>Died</v>
      </c>
      <c r="F144" t="s">
        <v>1053</v>
      </c>
      <c r="G144" t="s">
        <v>848</v>
      </c>
      <c r="H144" t="s">
        <v>1019</v>
      </c>
      <c r="I144" t="str">
        <f t="shared" si="24"/>
        <v>Mr. Guggenheim Benjamin</v>
      </c>
      <c r="J144" t="s">
        <v>20</v>
      </c>
      <c r="K144" t="str">
        <f t="shared" si="25"/>
        <v>Male</v>
      </c>
      <c r="L144">
        <v>46</v>
      </c>
      <c r="O144">
        <f t="shared" si="26"/>
        <v>46</v>
      </c>
      <c r="P144">
        <v>0</v>
      </c>
      <c r="R144" s="4">
        <v>0</v>
      </c>
      <c r="T144" s="5">
        <v>79.2</v>
      </c>
      <c r="W144" s="4">
        <v>46</v>
      </c>
      <c r="X144" s="4" t="str">
        <f t="shared" si="27"/>
        <v>Adult</v>
      </c>
      <c r="Y144" s="4" t="s">
        <v>218</v>
      </c>
      <c r="AA144" s="4" t="s">
        <v>218</v>
      </c>
      <c r="AB144" s="4" t="str">
        <f t="shared" si="28"/>
        <v>B</v>
      </c>
      <c r="AC144" s="4" t="str">
        <f t="shared" si="29"/>
        <v>B</v>
      </c>
      <c r="AD144" s="4" t="s">
        <v>3566</v>
      </c>
      <c r="AG144" s="4" t="str">
        <f t="shared" si="30"/>
        <v>Not Applicable</v>
      </c>
      <c r="AK144" s="4" t="s">
        <v>3573</v>
      </c>
      <c r="AL144" s="4" t="str">
        <f t="shared" si="31"/>
        <v>Found</v>
      </c>
      <c r="AN144" s="6">
        <v>79.2</v>
      </c>
      <c r="AO144" s="4" t="str">
        <f t="shared" si="32"/>
        <v>High</v>
      </c>
    </row>
    <row r="145" spans="1:41">
      <c r="A145">
        <v>1</v>
      </c>
      <c r="B145" t="str">
        <f t="shared" si="22"/>
        <v>First Class</v>
      </c>
      <c r="C145">
        <v>1</v>
      </c>
      <c r="E145" t="str">
        <f t="shared" si="23"/>
        <v>Survived</v>
      </c>
      <c r="F145" t="s">
        <v>1054</v>
      </c>
      <c r="G145" t="s">
        <v>848</v>
      </c>
      <c r="H145" t="s">
        <v>912</v>
      </c>
      <c r="I145" t="str">
        <f t="shared" si="24"/>
        <v>Mr. Harder George</v>
      </c>
      <c r="J145" t="s">
        <v>20</v>
      </c>
      <c r="K145" t="str">
        <f t="shared" si="25"/>
        <v>Male</v>
      </c>
      <c r="L145">
        <v>25</v>
      </c>
      <c r="O145">
        <f t="shared" si="26"/>
        <v>25</v>
      </c>
      <c r="P145">
        <v>1</v>
      </c>
      <c r="R145" s="4">
        <v>0</v>
      </c>
      <c r="T145" s="5">
        <v>55.441699999999997</v>
      </c>
      <c r="W145" s="4">
        <v>25</v>
      </c>
      <c r="X145" s="4" t="str">
        <f t="shared" si="27"/>
        <v>Young Adult</v>
      </c>
      <c r="Y145" s="4" t="s">
        <v>219</v>
      </c>
      <c r="AA145" s="4" t="s">
        <v>219</v>
      </c>
      <c r="AB145" s="4" t="str">
        <f t="shared" si="28"/>
        <v>E</v>
      </c>
      <c r="AC145" s="4" t="str">
        <f t="shared" si="29"/>
        <v>E</v>
      </c>
      <c r="AD145" s="4" t="s">
        <v>3566</v>
      </c>
      <c r="AF145" s="4">
        <v>5</v>
      </c>
      <c r="AG145" s="4">
        <f t="shared" si="30"/>
        <v>5</v>
      </c>
      <c r="AK145" s="4" t="s">
        <v>3573</v>
      </c>
      <c r="AL145" s="4" t="str">
        <f t="shared" si="31"/>
        <v>Found</v>
      </c>
      <c r="AN145" s="6">
        <v>55.441699999999997</v>
      </c>
      <c r="AO145" s="4" t="str">
        <f t="shared" si="32"/>
        <v>High</v>
      </c>
    </row>
    <row r="146" spans="1:41">
      <c r="A146">
        <v>1</v>
      </c>
      <c r="B146" t="str">
        <f t="shared" si="22"/>
        <v>First Class</v>
      </c>
      <c r="C146">
        <v>1</v>
      </c>
      <c r="E146" t="str">
        <f t="shared" si="23"/>
        <v>Survived</v>
      </c>
      <c r="F146" t="s">
        <v>1054</v>
      </c>
      <c r="G146" t="s">
        <v>849</v>
      </c>
      <c r="H146" t="s">
        <v>912</v>
      </c>
      <c r="I146" t="str">
        <f t="shared" si="24"/>
        <v>Mrs. Harder George</v>
      </c>
      <c r="J146" t="s">
        <v>47</v>
      </c>
      <c r="K146" t="str">
        <f t="shared" si="25"/>
        <v>Female</v>
      </c>
      <c r="L146">
        <v>25</v>
      </c>
      <c r="O146">
        <f t="shared" si="26"/>
        <v>25</v>
      </c>
      <c r="P146">
        <v>1</v>
      </c>
      <c r="R146" s="4">
        <v>0</v>
      </c>
      <c r="T146" s="5">
        <v>55.441699999999997</v>
      </c>
      <c r="W146" s="4">
        <v>25</v>
      </c>
      <c r="X146" s="4" t="str">
        <f t="shared" si="27"/>
        <v>Young Adult</v>
      </c>
      <c r="Y146" s="4" t="s">
        <v>219</v>
      </c>
      <c r="AA146" s="4" t="s">
        <v>219</v>
      </c>
      <c r="AB146" s="4" t="str">
        <f t="shared" si="28"/>
        <v>E</v>
      </c>
      <c r="AC146" s="4" t="str">
        <f t="shared" si="29"/>
        <v>E</v>
      </c>
      <c r="AD146" s="4" t="s">
        <v>3566</v>
      </c>
      <c r="AF146" s="4">
        <v>5</v>
      </c>
      <c r="AG146" s="4">
        <f t="shared" si="30"/>
        <v>5</v>
      </c>
      <c r="AK146" s="4" t="s">
        <v>3573</v>
      </c>
      <c r="AL146" s="4" t="str">
        <f t="shared" si="31"/>
        <v>Found</v>
      </c>
      <c r="AN146" s="6">
        <v>55.441699999999997</v>
      </c>
      <c r="AO146" s="4" t="str">
        <f t="shared" si="32"/>
        <v>High</v>
      </c>
    </row>
    <row r="147" spans="1:41">
      <c r="A147">
        <v>1</v>
      </c>
      <c r="B147" t="str">
        <f t="shared" si="22"/>
        <v>First Class</v>
      </c>
      <c r="C147">
        <v>1</v>
      </c>
      <c r="E147" t="str">
        <f t="shared" si="23"/>
        <v>Survived</v>
      </c>
      <c r="F147" t="s">
        <v>1055</v>
      </c>
      <c r="G147" t="s">
        <v>848</v>
      </c>
      <c r="H147" t="s">
        <v>872</v>
      </c>
      <c r="I147" t="str">
        <f t="shared" si="24"/>
        <v>Mr. Harper Henry</v>
      </c>
      <c r="J147" t="s">
        <v>20</v>
      </c>
      <c r="K147" t="str">
        <f t="shared" si="25"/>
        <v>Male</v>
      </c>
      <c r="L147">
        <v>48</v>
      </c>
      <c r="O147">
        <f t="shared" si="26"/>
        <v>48</v>
      </c>
      <c r="P147">
        <v>1</v>
      </c>
      <c r="R147" s="4">
        <v>0</v>
      </c>
      <c r="T147" s="5">
        <v>76.729200000000006</v>
      </c>
      <c r="W147" s="4">
        <v>48</v>
      </c>
      <c r="X147" s="4" t="str">
        <f t="shared" si="27"/>
        <v>Adult</v>
      </c>
      <c r="Y147" s="4" t="s">
        <v>221</v>
      </c>
      <c r="AA147" s="4" t="s">
        <v>221</v>
      </c>
      <c r="AB147" s="4" t="str">
        <f t="shared" si="28"/>
        <v>D</v>
      </c>
      <c r="AC147" s="4" t="str">
        <f t="shared" si="29"/>
        <v>D</v>
      </c>
      <c r="AD147" s="4" t="s">
        <v>3566</v>
      </c>
      <c r="AF147" s="4">
        <v>3</v>
      </c>
      <c r="AG147" s="4">
        <f t="shared" si="30"/>
        <v>3</v>
      </c>
      <c r="AK147" s="4" t="s">
        <v>3573</v>
      </c>
      <c r="AL147" s="4" t="str">
        <f t="shared" si="31"/>
        <v>Found</v>
      </c>
      <c r="AN147" s="6">
        <v>76.729200000000006</v>
      </c>
      <c r="AO147" s="4" t="str">
        <f t="shared" si="32"/>
        <v>High</v>
      </c>
    </row>
    <row r="148" spans="1:41">
      <c r="A148">
        <v>1</v>
      </c>
      <c r="B148" t="str">
        <f t="shared" si="22"/>
        <v>First Class</v>
      </c>
      <c r="C148">
        <v>1</v>
      </c>
      <c r="E148" t="str">
        <f t="shared" si="23"/>
        <v>Survived</v>
      </c>
      <c r="F148" t="s">
        <v>1055</v>
      </c>
      <c r="G148" t="s">
        <v>849</v>
      </c>
      <c r="H148" t="s">
        <v>872</v>
      </c>
      <c r="I148" t="str">
        <f t="shared" si="24"/>
        <v>Mrs. Harper Henry</v>
      </c>
      <c r="J148" t="s">
        <v>47</v>
      </c>
      <c r="K148" t="str">
        <f t="shared" si="25"/>
        <v>Female</v>
      </c>
      <c r="L148">
        <v>49</v>
      </c>
      <c r="O148">
        <f t="shared" si="26"/>
        <v>49</v>
      </c>
      <c r="P148">
        <v>1</v>
      </c>
      <c r="R148" s="4">
        <v>0</v>
      </c>
      <c r="T148" s="5">
        <v>76.729200000000006</v>
      </c>
      <c r="W148" s="4">
        <v>49</v>
      </c>
      <c r="X148" s="4" t="str">
        <f t="shared" si="27"/>
        <v>Adult</v>
      </c>
      <c r="Y148" s="4" t="s">
        <v>221</v>
      </c>
      <c r="AA148" s="4" t="s">
        <v>221</v>
      </c>
      <c r="AB148" s="4" t="str">
        <f t="shared" si="28"/>
        <v>D</v>
      </c>
      <c r="AC148" s="4" t="str">
        <f t="shared" si="29"/>
        <v>D</v>
      </c>
      <c r="AD148" s="4" t="s">
        <v>3566</v>
      </c>
      <c r="AF148" s="4">
        <v>3</v>
      </c>
      <c r="AG148" s="4">
        <f t="shared" si="30"/>
        <v>3</v>
      </c>
      <c r="AK148" s="4" t="s">
        <v>3573</v>
      </c>
      <c r="AL148" s="4" t="str">
        <f t="shared" si="31"/>
        <v>Found</v>
      </c>
      <c r="AN148" s="6">
        <v>76.729200000000006</v>
      </c>
      <c r="AO148" s="4" t="str">
        <f t="shared" si="32"/>
        <v>High</v>
      </c>
    </row>
    <row r="149" spans="1:41">
      <c r="A149">
        <v>1</v>
      </c>
      <c r="B149" t="str">
        <f t="shared" si="22"/>
        <v>First Class</v>
      </c>
      <c r="C149">
        <v>0</v>
      </c>
      <c r="E149" t="str">
        <f t="shared" si="23"/>
        <v>Died</v>
      </c>
      <c r="F149" t="s">
        <v>1056</v>
      </c>
      <c r="G149" t="s">
        <v>848</v>
      </c>
      <c r="H149" t="s">
        <v>1000</v>
      </c>
      <c r="I149" t="str">
        <f t="shared" si="24"/>
        <v>Mr. Harrington Charles</v>
      </c>
      <c r="J149" t="s">
        <v>20</v>
      </c>
      <c r="K149" t="str">
        <f t="shared" si="25"/>
        <v>Male</v>
      </c>
      <c r="L149">
        <v>28</v>
      </c>
      <c r="O149">
        <f t="shared" si="26"/>
        <v>28</v>
      </c>
      <c r="P149">
        <v>0</v>
      </c>
      <c r="R149" s="4">
        <v>0</v>
      </c>
      <c r="T149" s="5">
        <v>42.4</v>
      </c>
      <c r="W149" s="4">
        <v>28</v>
      </c>
      <c r="X149" s="4" t="str">
        <f t="shared" si="27"/>
        <v>Young Adult</v>
      </c>
      <c r="Y149" s="4" t="s">
        <v>3561</v>
      </c>
      <c r="AB149" s="4" t="str">
        <f t="shared" si="28"/>
        <v/>
      </c>
      <c r="AC149" s="4" t="str">
        <f t="shared" si="29"/>
        <v>Unknown</v>
      </c>
      <c r="AD149" s="4" t="s">
        <v>457</v>
      </c>
      <c r="AG149" s="4" t="str">
        <f t="shared" si="30"/>
        <v>Not Applicable</v>
      </c>
      <c r="AK149" s="4" t="s">
        <v>3573</v>
      </c>
      <c r="AL149" s="4" t="str">
        <f t="shared" si="31"/>
        <v>Found</v>
      </c>
      <c r="AN149" s="6">
        <v>42.4</v>
      </c>
      <c r="AO149" s="4" t="str">
        <f t="shared" si="32"/>
        <v>Mid</v>
      </c>
    </row>
    <row r="150" spans="1:41">
      <c r="A150">
        <v>1</v>
      </c>
      <c r="B150" t="str">
        <f t="shared" si="22"/>
        <v>First Class</v>
      </c>
      <c r="C150">
        <v>0</v>
      </c>
      <c r="E150" t="str">
        <f t="shared" si="23"/>
        <v>Died</v>
      </c>
      <c r="F150" t="s">
        <v>1057</v>
      </c>
      <c r="G150" t="s">
        <v>848</v>
      </c>
      <c r="H150" t="s">
        <v>872</v>
      </c>
      <c r="I150" t="str">
        <f t="shared" si="24"/>
        <v>Mr. Harris Henry</v>
      </c>
      <c r="J150" t="s">
        <v>20</v>
      </c>
      <c r="K150" t="str">
        <f t="shared" si="25"/>
        <v>Male</v>
      </c>
      <c r="L150">
        <v>45</v>
      </c>
      <c r="O150">
        <f t="shared" si="26"/>
        <v>45</v>
      </c>
      <c r="P150">
        <v>1</v>
      </c>
      <c r="R150" s="4">
        <v>0</v>
      </c>
      <c r="T150" s="5">
        <v>83.474999999999994</v>
      </c>
      <c r="W150" s="4">
        <v>45</v>
      </c>
      <c r="X150" s="4" t="str">
        <f t="shared" si="27"/>
        <v>Adult</v>
      </c>
      <c r="Y150" s="4" t="s">
        <v>222</v>
      </c>
      <c r="AA150" s="4" t="s">
        <v>222</v>
      </c>
      <c r="AB150" s="4" t="str">
        <f t="shared" si="28"/>
        <v>C</v>
      </c>
      <c r="AC150" s="4" t="str">
        <f t="shared" si="29"/>
        <v>C</v>
      </c>
      <c r="AD150" s="4" t="s">
        <v>457</v>
      </c>
      <c r="AG150" s="4" t="str">
        <f t="shared" si="30"/>
        <v>Not Applicable</v>
      </c>
      <c r="AK150" s="4" t="s">
        <v>3573</v>
      </c>
      <c r="AL150" s="4" t="str">
        <f t="shared" si="31"/>
        <v>Found</v>
      </c>
      <c r="AN150" s="6">
        <v>83.474999999999994</v>
      </c>
      <c r="AO150" s="4" t="str">
        <f t="shared" si="32"/>
        <v>High</v>
      </c>
    </row>
    <row r="151" spans="1:41">
      <c r="A151">
        <v>1</v>
      </c>
      <c r="B151" t="str">
        <f t="shared" si="22"/>
        <v>First Class</v>
      </c>
      <c r="C151">
        <v>1</v>
      </c>
      <c r="E151" t="str">
        <f t="shared" si="23"/>
        <v>Survived</v>
      </c>
      <c r="F151" t="s">
        <v>1057</v>
      </c>
      <c r="G151" t="s">
        <v>849</v>
      </c>
      <c r="H151" t="s">
        <v>872</v>
      </c>
      <c r="I151" t="str">
        <f t="shared" si="24"/>
        <v>Mrs. Harris Henry</v>
      </c>
      <c r="J151" t="s">
        <v>47</v>
      </c>
      <c r="K151" t="str">
        <f t="shared" si="25"/>
        <v>Female</v>
      </c>
      <c r="L151">
        <v>35</v>
      </c>
      <c r="O151">
        <f t="shared" si="26"/>
        <v>35</v>
      </c>
      <c r="P151">
        <v>1</v>
      </c>
      <c r="R151" s="4">
        <v>0</v>
      </c>
      <c r="T151" s="5">
        <v>83.474999999999994</v>
      </c>
      <c r="W151" s="4">
        <v>35</v>
      </c>
      <c r="X151" s="4" t="str">
        <f t="shared" si="27"/>
        <v>Adult</v>
      </c>
      <c r="Y151" s="4" t="s">
        <v>222</v>
      </c>
      <c r="AA151" s="4" t="s">
        <v>222</v>
      </c>
      <c r="AB151" s="4" t="str">
        <f t="shared" si="28"/>
        <v>C</v>
      </c>
      <c r="AC151" s="4" t="str">
        <f t="shared" si="29"/>
        <v>C</v>
      </c>
      <c r="AD151" s="4" t="s">
        <v>457</v>
      </c>
      <c r="AF151" s="4" t="s">
        <v>59</v>
      </c>
      <c r="AG151" s="4" t="str">
        <f t="shared" si="30"/>
        <v>D</v>
      </c>
      <c r="AK151" s="4" t="s">
        <v>3573</v>
      </c>
      <c r="AL151" s="4" t="str">
        <f t="shared" si="31"/>
        <v>Found</v>
      </c>
      <c r="AN151" s="6">
        <v>83.474999999999994</v>
      </c>
      <c r="AO151" s="4" t="str">
        <f t="shared" si="32"/>
        <v>High</v>
      </c>
    </row>
    <row r="152" spans="1:41">
      <c r="A152">
        <v>1</v>
      </c>
      <c r="B152" t="str">
        <f t="shared" si="22"/>
        <v>First Class</v>
      </c>
      <c r="C152">
        <v>0</v>
      </c>
      <c r="E152" t="str">
        <f t="shared" si="23"/>
        <v>Died</v>
      </c>
      <c r="F152" t="s">
        <v>1058</v>
      </c>
      <c r="G152" t="s">
        <v>848</v>
      </c>
      <c r="H152" t="s">
        <v>924</v>
      </c>
      <c r="I152" t="str">
        <f t="shared" si="24"/>
        <v>Mr. Harrison William</v>
      </c>
      <c r="J152" t="s">
        <v>20</v>
      </c>
      <c r="K152" t="str">
        <f t="shared" si="25"/>
        <v>Male</v>
      </c>
      <c r="L152">
        <v>40</v>
      </c>
      <c r="O152">
        <f t="shared" si="26"/>
        <v>40</v>
      </c>
      <c r="P152">
        <v>0</v>
      </c>
      <c r="R152" s="4">
        <v>0</v>
      </c>
      <c r="T152" s="5">
        <v>0</v>
      </c>
      <c r="W152" s="4">
        <v>40</v>
      </c>
      <c r="X152" s="4" t="str">
        <f t="shared" si="27"/>
        <v>Adult</v>
      </c>
      <c r="Y152" s="4" t="s">
        <v>223</v>
      </c>
      <c r="AA152" s="4" t="s">
        <v>223</v>
      </c>
      <c r="AB152" s="4" t="str">
        <f t="shared" si="28"/>
        <v>B</v>
      </c>
      <c r="AC152" s="4" t="str">
        <f t="shared" si="29"/>
        <v>B</v>
      </c>
      <c r="AD152" s="4" t="s">
        <v>457</v>
      </c>
      <c r="AG152" s="4" t="str">
        <f t="shared" si="30"/>
        <v>Not Applicable</v>
      </c>
      <c r="AH152" s="4">
        <v>110</v>
      </c>
      <c r="AK152" s="4">
        <v>110</v>
      </c>
      <c r="AL152" s="4" t="str">
        <f t="shared" si="31"/>
        <v>Found</v>
      </c>
      <c r="AN152" s="6">
        <v>0</v>
      </c>
      <c r="AO152" s="4" t="str">
        <f t="shared" si="32"/>
        <v>Low</v>
      </c>
    </row>
    <row r="153" spans="1:41">
      <c r="A153">
        <v>1</v>
      </c>
      <c r="B153" t="str">
        <f t="shared" si="22"/>
        <v>First Class</v>
      </c>
      <c r="C153">
        <v>1</v>
      </c>
      <c r="E153" t="str">
        <f t="shared" si="23"/>
        <v>Survived</v>
      </c>
      <c r="F153" t="s">
        <v>1059</v>
      </c>
      <c r="G153" t="s">
        <v>848</v>
      </c>
      <c r="H153" t="s">
        <v>1060</v>
      </c>
      <c r="I153" t="str">
        <f t="shared" si="24"/>
        <v>Mr. Hassab Hammad</v>
      </c>
      <c r="J153" t="s">
        <v>20</v>
      </c>
      <c r="K153" t="str">
        <f t="shared" si="25"/>
        <v>Male</v>
      </c>
      <c r="L153">
        <v>27</v>
      </c>
      <c r="O153">
        <f t="shared" si="26"/>
        <v>27</v>
      </c>
      <c r="P153">
        <v>0</v>
      </c>
      <c r="R153" s="4">
        <v>0</v>
      </c>
      <c r="T153" s="5">
        <v>76.729200000000006</v>
      </c>
      <c r="W153" s="4">
        <v>27</v>
      </c>
      <c r="X153" s="4" t="str">
        <f t="shared" si="27"/>
        <v>Young Adult</v>
      </c>
      <c r="Y153" s="4" t="s">
        <v>224</v>
      </c>
      <c r="AA153" s="4" t="s">
        <v>224</v>
      </c>
      <c r="AB153" s="4" t="str">
        <f t="shared" si="28"/>
        <v>D</v>
      </c>
      <c r="AC153" s="4" t="str">
        <f t="shared" si="29"/>
        <v>D</v>
      </c>
      <c r="AD153" s="4" t="s">
        <v>3566</v>
      </c>
      <c r="AF153" s="4">
        <v>3</v>
      </c>
      <c r="AG153" s="4">
        <f t="shared" si="30"/>
        <v>3</v>
      </c>
      <c r="AK153" s="4" t="s">
        <v>3573</v>
      </c>
      <c r="AL153" s="4" t="str">
        <f t="shared" si="31"/>
        <v>Found</v>
      </c>
      <c r="AN153" s="6">
        <v>76.729200000000006</v>
      </c>
      <c r="AO153" s="4" t="str">
        <f t="shared" si="32"/>
        <v>High</v>
      </c>
    </row>
    <row r="154" spans="1:41">
      <c r="A154">
        <v>1</v>
      </c>
      <c r="B154" t="str">
        <f t="shared" si="22"/>
        <v>First Class</v>
      </c>
      <c r="C154">
        <v>1</v>
      </c>
      <c r="E154" t="str">
        <f t="shared" si="23"/>
        <v>Survived</v>
      </c>
      <c r="F154" t="s">
        <v>1061</v>
      </c>
      <c r="G154" t="s">
        <v>848</v>
      </c>
      <c r="H154" t="s">
        <v>970</v>
      </c>
      <c r="I154" t="str">
        <f t="shared" si="24"/>
        <v>Mr. Hawksford Walter</v>
      </c>
      <c r="J154" t="s">
        <v>20</v>
      </c>
      <c r="K154" t="str">
        <f t="shared" si="25"/>
        <v>Male</v>
      </c>
      <c r="L154">
        <v>28</v>
      </c>
      <c r="O154">
        <f t="shared" si="26"/>
        <v>28</v>
      </c>
      <c r="P154">
        <v>0</v>
      </c>
      <c r="R154" s="4">
        <v>0</v>
      </c>
      <c r="T154" s="5">
        <v>30</v>
      </c>
      <c r="W154" s="4">
        <v>28</v>
      </c>
      <c r="X154" s="4" t="str">
        <f t="shared" si="27"/>
        <v>Young Adult</v>
      </c>
      <c r="Y154" s="4" t="s">
        <v>225</v>
      </c>
      <c r="AA154" s="4" t="s">
        <v>225</v>
      </c>
      <c r="AB154" s="4" t="str">
        <f t="shared" si="28"/>
        <v>D</v>
      </c>
      <c r="AC154" s="4" t="str">
        <f t="shared" si="29"/>
        <v>D</v>
      </c>
      <c r="AD154" s="4" t="s">
        <v>457</v>
      </c>
      <c r="AF154" s="4">
        <v>3</v>
      </c>
      <c r="AG154" s="4">
        <f t="shared" si="30"/>
        <v>3</v>
      </c>
      <c r="AK154" s="4" t="s">
        <v>3573</v>
      </c>
      <c r="AL154" s="4" t="str">
        <f t="shared" si="31"/>
        <v>Found</v>
      </c>
      <c r="AN154" s="6">
        <v>30</v>
      </c>
      <c r="AO154" s="4" t="str">
        <f t="shared" si="32"/>
        <v>Mid</v>
      </c>
    </row>
    <row r="155" spans="1:41">
      <c r="A155">
        <v>1</v>
      </c>
      <c r="B155" t="str">
        <f t="shared" si="22"/>
        <v>First Class</v>
      </c>
      <c r="C155">
        <v>1</v>
      </c>
      <c r="E155" t="str">
        <f t="shared" si="23"/>
        <v>Survived</v>
      </c>
      <c r="F155" t="s">
        <v>1062</v>
      </c>
      <c r="G155" t="s">
        <v>842</v>
      </c>
      <c r="H155" t="s">
        <v>927</v>
      </c>
      <c r="I155" t="str">
        <f t="shared" si="24"/>
        <v>Miss. Hays Margaret</v>
      </c>
      <c r="J155" t="s">
        <v>47</v>
      </c>
      <c r="K155" t="str">
        <f t="shared" si="25"/>
        <v>Female</v>
      </c>
      <c r="L155">
        <v>24</v>
      </c>
      <c r="O155">
        <f t="shared" si="26"/>
        <v>24</v>
      </c>
      <c r="P155">
        <v>0</v>
      </c>
      <c r="R155" s="4">
        <v>0</v>
      </c>
      <c r="T155" s="5">
        <v>83.158299999999997</v>
      </c>
      <c r="W155" s="4">
        <v>24</v>
      </c>
      <c r="X155" s="4" t="str">
        <f t="shared" si="27"/>
        <v>Young Adult</v>
      </c>
      <c r="Y155" s="4" t="s">
        <v>175</v>
      </c>
      <c r="AA155" s="4" t="s">
        <v>175</v>
      </c>
      <c r="AB155" s="4" t="str">
        <f t="shared" si="28"/>
        <v>C</v>
      </c>
      <c r="AC155" s="4" t="str">
        <f t="shared" si="29"/>
        <v>C</v>
      </c>
      <c r="AD155" s="4" t="s">
        <v>3566</v>
      </c>
      <c r="AF155" s="4">
        <v>7</v>
      </c>
      <c r="AG155" s="4">
        <f t="shared" si="30"/>
        <v>7</v>
      </c>
      <c r="AK155" s="4" t="s">
        <v>3573</v>
      </c>
      <c r="AL155" s="4" t="str">
        <f t="shared" si="31"/>
        <v>Found</v>
      </c>
      <c r="AN155" s="6">
        <v>83.158299999999997</v>
      </c>
      <c r="AO155" s="4" t="str">
        <f t="shared" si="32"/>
        <v>High</v>
      </c>
    </row>
    <row r="156" spans="1:41">
      <c r="A156">
        <v>1</v>
      </c>
      <c r="B156" t="str">
        <f t="shared" si="22"/>
        <v>First Class</v>
      </c>
      <c r="C156">
        <v>0</v>
      </c>
      <c r="E156" t="str">
        <f t="shared" si="23"/>
        <v>Died</v>
      </c>
      <c r="F156" t="s">
        <v>1062</v>
      </c>
      <c r="G156" t="s">
        <v>848</v>
      </c>
      <c r="H156" t="s">
        <v>1000</v>
      </c>
      <c r="I156" t="str">
        <f t="shared" si="24"/>
        <v>Mr. Hays Charles</v>
      </c>
      <c r="J156" t="s">
        <v>20</v>
      </c>
      <c r="K156" t="str">
        <f t="shared" si="25"/>
        <v>Male</v>
      </c>
      <c r="L156">
        <v>55</v>
      </c>
      <c r="O156">
        <f t="shared" si="26"/>
        <v>55</v>
      </c>
      <c r="P156">
        <v>1</v>
      </c>
      <c r="R156" s="4">
        <v>1</v>
      </c>
      <c r="T156" s="5">
        <v>93.5</v>
      </c>
      <c r="W156" s="4">
        <v>55</v>
      </c>
      <c r="X156" s="4" t="str">
        <f t="shared" si="27"/>
        <v>Adult</v>
      </c>
      <c r="Y156" s="4" t="s">
        <v>227</v>
      </c>
      <c r="AA156" s="4" t="s">
        <v>227</v>
      </c>
      <c r="AB156" s="4" t="str">
        <f t="shared" si="28"/>
        <v>B</v>
      </c>
      <c r="AC156" s="4" t="str">
        <f t="shared" si="29"/>
        <v>B</v>
      </c>
      <c r="AD156" s="4" t="s">
        <v>457</v>
      </c>
      <c r="AG156" s="4" t="str">
        <f t="shared" si="30"/>
        <v>Not Applicable</v>
      </c>
      <c r="AH156" s="4">
        <v>307</v>
      </c>
      <c r="AK156" s="4">
        <v>307</v>
      </c>
      <c r="AL156" s="4" t="str">
        <f t="shared" si="31"/>
        <v>Found</v>
      </c>
      <c r="AN156" s="6">
        <v>93.5</v>
      </c>
      <c r="AO156" s="4" t="str">
        <f t="shared" si="32"/>
        <v>High</v>
      </c>
    </row>
    <row r="157" spans="1:41">
      <c r="A157">
        <v>1</v>
      </c>
      <c r="B157" t="str">
        <f t="shared" si="22"/>
        <v>First Class</v>
      </c>
      <c r="C157">
        <v>1</v>
      </c>
      <c r="E157" t="str">
        <f t="shared" si="23"/>
        <v>Survived</v>
      </c>
      <c r="F157" t="s">
        <v>1062</v>
      </c>
      <c r="G157" t="s">
        <v>849</v>
      </c>
      <c r="H157" t="s">
        <v>1000</v>
      </c>
      <c r="I157" t="str">
        <f t="shared" si="24"/>
        <v>Mrs. Hays Charles</v>
      </c>
      <c r="J157" t="s">
        <v>47</v>
      </c>
      <c r="K157" t="str">
        <f t="shared" si="25"/>
        <v>Female</v>
      </c>
      <c r="L157">
        <v>52</v>
      </c>
      <c r="O157">
        <f t="shared" si="26"/>
        <v>52</v>
      </c>
      <c r="P157">
        <v>1</v>
      </c>
      <c r="R157" s="4">
        <v>1</v>
      </c>
      <c r="T157" s="5">
        <v>93.5</v>
      </c>
      <c r="W157" s="4">
        <v>52</v>
      </c>
      <c r="X157" s="4" t="str">
        <f t="shared" si="27"/>
        <v>Adult</v>
      </c>
      <c r="Y157" s="4" t="s">
        <v>227</v>
      </c>
      <c r="AA157" s="4" t="s">
        <v>227</v>
      </c>
      <c r="AB157" s="4" t="str">
        <f t="shared" si="28"/>
        <v>B</v>
      </c>
      <c r="AC157" s="4" t="str">
        <f t="shared" si="29"/>
        <v>B</v>
      </c>
      <c r="AD157" s="4" t="s">
        <v>457</v>
      </c>
      <c r="AF157" s="4">
        <v>3</v>
      </c>
      <c r="AG157" s="4">
        <f t="shared" si="30"/>
        <v>3</v>
      </c>
      <c r="AK157" s="4" t="s">
        <v>3573</v>
      </c>
      <c r="AL157" s="4" t="str">
        <f t="shared" si="31"/>
        <v>Found</v>
      </c>
      <c r="AN157" s="6">
        <v>93.5</v>
      </c>
      <c r="AO157" s="4" t="str">
        <f t="shared" si="32"/>
        <v>High</v>
      </c>
    </row>
    <row r="158" spans="1:41">
      <c r="A158">
        <v>1</v>
      </c>
      <c r="B158" t="str">
        <f t="shared" si="22"/>
        <v>First Class</v>
      </c>
      <c r="C158">
        <v>0</v>
      </c>
      <c r="E158" t="str">
        <f t="shared" si="23"/>
        <v>Died</v>
      </c>
      <c r="F158" t="s">
        <v>1063</v>
      </c>
      <c r="G158" t="s">
        <v>848</v>
      </c>
      <c r="H158" t="s">
        <v>1064</v>
      </c>
      <c r="I158" t="str">
        <f t="shared" si="24"/>
        <v>Mr. Head Christopher</v>
      </c>
      <c r="J158" t="s">
        <v>20</v>
      </c>
      <c r="K158" t="str">
        <f t="shared" si="25"/>
        <v>Male</v>
      </c>
      <c r="L158">
        <v>42</v>
      </c>
      <c r="O158">
        <f t="shared" si="26"/>
        <v>42</v>
      </c>
      <c r="P158">
        <v>0</v>
      </c>
      <c r="R158" s="4">
        <v>0</v>
      </c>
      <c r="T158" s="5">
        <v>42.5</v>
      </c>
      <c r="W158" s="4">
        <v>42</v>
      </c>
      <c r="X158" s="4" t="str">
        <f t="shared" si="27"/>
        <v>Adult</v>
      </c>
      <c r="Y158" s="4" t="s">
        <v>228</v>
      </c>
      <c r="AA158" s="4" t="s">
        <v>228</v>
      </c>
      <c r="AB158" s="4" t="str">
        <f t="shared" si="28"/>
        <v>B</v>
      </c>
      <c r="AC158" s="4" t="str">
        <f t="shared" si="29"/>
        <v>B</v>
      </c>
      <c r="AD158" s="4" t="s">
        <v>457</v>
      </c>
      <c r="AG158" s="4" t="str">
        <f t="shared" si="30"/>
        <v>Not Applicable</v>
      </c>
      <c r="AK158" s="4" t="s">
        <v>3573</v>
      </c>
      <c r="AL158" s="4" t="str">
        <f t="shared" si="31"/>
        <v>Found</v>
      </c>
      <c r="AN158" s="6">
        <v>42.5</v>
      </c>
      <c r="AO158" s="4" t="str">
        <f t="shared" si="32"/>
        <v>Mid</v>
      </c>
    </row>
    <row r="159" spans="1:41">
      <c r="A159">
        <v>1</v>
      </c>
      <c r="B159" t="str">
        <f t="shared" si="22"/>
        <v>First Class</v>
      </c>
      <c r="C159">
        <v>0</v>
      </c>
      <c r="E159" t="str">
        <f t="shared" si="23"/>
        <v>Died</v>
      </c>
      <c r="F159" t="s">
        <v>1065</v>
      </c>
      <c r="G159" t="s">
        <v>848</v>
      </c>
      <c r="H159" t="s">
        <v>953</v>
      </c>
      <c r="I159" t="str">
        <f t="shared" si="24"/>
        <v>Mr. Hilliard Herbert</v>
      </c>
      <c r="J159" t="s">
        <v>20</v>
      </c>
      <c r="K159" t="str">
        <f t="shared" si="25"/>
        <v>Male</v>
      </c>
      <c r="L159">
        <v>28</v>
      </c>
      <c r="O159">
        <f t="shared" si="26"/>
        <v>28</v>
      </c>
      <c r="P159">
        <v>0</v>
      </c>
      <c r="R159" s="4">
        <v>0</v>
      </c>
      <c r="T159" s="5">
        <v>51.862499999999997</v>
      </c>
      <c r="W159" s="4">
        <v>28</v>
      </c>
      <c r="X159" s="4" t="str">
        <f t="shared" si="27"/>
        <v>Young Adult</v>
      </c>
      <c r="Y159" s="4" t="s">
        <v>230</v>
      </c>
      <c r="AA159" s="4" t="s">
        <v>230</v>
      </c>
      <c r="AB159" s="4" t="str">
        <f t="shared" si="28"/>
        <v>E</v>
      </c>
      <c r="AC159" s="4" t="str">
        <f t="shared" si="29"/>
        <v>E</v>
      </c>
      <c r="AD159" s="4" t="s">
        <v>457</v>
      </c>
      <c r="AG159" s="4" t="str">
        <f t="shared" si="30"/>
        <v>Not Applicable</v>
      </c>
      <c r="AK159" s="4" t="s">
        <v>3573</v>
      </c>
      <c r="AL159" s="4" t="str">
        <f t="shared" si="31"/>
        <v>Found</v>
      </c>
      <c r="AN159" s="6">
        <v>51.862499999999997</v>
      </c>
      <c r="AO159" s="4" t="str">
        <f t="shared" si="32"/>
        <v>High</v>
      </c>
    </row>
    <row r="160" spans="1:41">
      <c r="A160">
        <v>1</v>
      </c>
      <c r="B160" t="str">
        <f t="shared" si="22"/>
        <v>First Class</v>
      </c>
      <c r="C160">
        <v>0</v>
      </c>
      <c r="E160" t="str">
        <f t="shared" si="23"/>
        <v>Died</v>
      </c>
      <c r="F160" t="s">
        <v>1066</v>
      </c>
      <c r="G160" t="s">
        <v>848</v>
      </c>
      <c r="H160" t="s">
        <v>924</v>
      </c>
      <c r="I160" t="str">
        <f t="shared" si="24"/>
        <v>Mr. Hipkins William</v>
      </c>
      <c r="J160" t="s">
        <v>20</v>
      </c>
      <c r="K160" t="str">
        <f t="shared" si="25"/>
        <v>Male</v>
      </c>
      <c r="L160">
        <v>55</v>
      </c>
      <c r="O160">
        <f t="shared" si="26"/>
        <v>55</v>
      </c>
      <c r="P160">
        <v>0</v>
      </c>
      <c r="R160" s="4">
        <v>0</v>
      </c>
      <c r="T160" s="5">
        <v>50</v>
      </c>
      <c r="W160" s="4">
        <v>55</v>
      </c>
      <c r="X160" s="4" t="str">
        <f t="shared" si="27"/>
        <v>Adult</v>
      </c>
      <c r="Y160" s="4" t="s">
        <v>232</v>
      </c>
      <c r="AA160" s="4" t="s">
        <v>232</v>
      </c>
      <c r="AB160" s="4" t="str">
        <f t="shared" si="28"/>
        <v>C</v>
      </c>
      <c r="AC160" s="4" t="str">
        <f t="shared" si="29"/>
        <v>C</v>
      </c>
      <c r="AD160" s="4" t="s">
        <v>457</v>
      </c>
      <c r="AG160" s="4" t="str">
        <f t="shared" si="30"/>
        <v>Not Applicable</v>
      </c>
      <c r="AK160" s="4" t="s">
        <v>3573</v>
      </c>
      <c r="AL160" s="4" t="str">
        <f t="shared" si="31"/>
        <v>Found</v>
      </c>
      <c r="AN160" s="6">
        <v>50</v>
      </c>
      <c r="AO160" s="4" t="str">
        <f t="shared" si="32"/>
        <v>Mid</v>
      </c>
    </row>
    <row r="161" spans="1:41">
      <c r="A161">
        <v>1</v>
      </c>
      <c r="B161" t="str">
        <f t="shared" si="22"/>
        <v>First Class</v>
      </c>
      <c r="C161">
        <v>1</v>
      </c>
      <c r="E161" t="str">
        <f t="shared" si="23"/>
        <v>Survived</v>
      </c>
      <c r="F161" t="s">
        <v>1067</v>
      </c>
      <c r="G161" t="s">
        <v>842</v>
      </c>
      <c r="H161" t="s">
        <v>1068</v>
      </c>
      <c r="I161" t="str">
        <f t="shared" si="24"/>
        <v>Miss. Hippach Jean</v>
      </c>
      <c r="J161" t="s">
        <v>47</v>
      </c>
      <c r="K161" t="str">
        <f t="shared" si="25"/>
        <v>Female</v>
      </c>
      <c r="L161">
        <v>16</v>
      </c>
      <c r="O161">
        <f t="shared" si="26"/>
        <v>16</v>
      </c>
      <c r="P161">
        <v>0</v>
      </c>
      <c r="R161" s="4">
        <v>1</v>
      </c>
      <c r="T161" s="5">
        <v>57.979199999999999</v>
      </c>
      <c r="W161" s="4">
        <v>16</v>
      </c>
      <c r="X161" s="4" t="str">
        <f t="shared" si="27"/>
        <v>Teenager</v>
      </c>
      <c r="Y161" s="4" t="s">
        <v>234</v>
      </c>
      <c r="AA161" s="4" t="s">
        <v>234</v>
      </c>
      <c r="AB161" s="4" t="str">
        <f t="shared" si="28"/>
        <v>B</v>
      </c>
      <c r="AC161" s="4" t="str">
        <f t="shared" si="29"/>
        <v>B</v>
      </c>
      <c r="AD161" s="4" t="s">
        <v>3566</v>
      </c>
      <c r="AF161" s="4">
        <v>4</v>
      </c>
      <c r="AG161" s="4">
        <f t="shared" si="30"/>
        <v>4</v>
      </c>
      <c r="AK161" s="4" t="s">
        <v>3573</v>
      </c>
      <c r="AL161" s="4" t="str">
        <f t="shared" si="31"/>
        <v>Found</v>
      </c>
      <c r="AN161" s="6">
        <v>57.979199999999999</v>
      </c>
      <c r="AO161" s="4" t="str">
        <f t="shared" si="32"/>
        <v>High</v>
      </c>
    </row>
    <row r="162" spans="1:41">
      <c r="A162">
        <v>1</v>
      </c>
      <c r="B162" t="str">
        <f t="shared" si="22"/>
        <v>First Class</v>
      </c>
      <c r="C162">
        <v>1</v>
      </c>
      <c r="E162" t="str">
        <f t="shared" si="23"/>
        <v>Survived</v>
      </c>
      <c r="F162" t="s">
        <v>1067</v>
      </c>
      <c r="G162" t="s">
        <v>849</v>
      </c>
      <c r="H162" t="s">
        <v>1070</v>
      </c>
      <c r="I162" t="str">
        <f t="shared" si="24"/>
        <v>Mrs. Hippach Louis</v>
      </c>
      <c r="J162" t="s">
        <v>47</v>
      </c>
      <c r="K162" t="str">
        <f t="shared" si="25"/>
        <v>Female</v>
      </c>
      <c r="L162">
        <v>44</v>
      </c>
      <c r="O162">
        <f t="shared" si="26"/>
        <v>44</v>
      </c>
      <c r="P162">
        <v>0</v>
      </c>
      <c r="R162" s="4">
        <v>1</v>
      </c>
      <c r="T162" s="5">
        <v>57.979199999999999</v>
      </c>
      <c r="W162" s="4">
        <v>44</v>
      </c>
      <c r="X162" s="4" t="str">
        <f t="shared" si="27"/>
        <v>Adult</v>
      </c>
      <c r="Y162" s="4" t="s">
        <v>234</v>
      </c>
      <c r="AA162" s="4" t="s">
        <v>234</v>
      </c>
      <c r="AB162" s="4" t="str">
        <f t="shared" si="28"/>
        <v>B</v>
      </c>
      <c r="AC162" s="4" t="str">
        <f t="shared" si="29"/>
        <v>B</v>
      </c>
      <c r="AD162" s="4" t="s">
        <v>3566</v>
      </c>
      <c r="AF162" s="4">
        <v>4</v>
      </c>
      <c r="AG162" s="4">
        <f t="shared" si="30"/>
        <v>4</v>
      </c>
      <c r="AK162" s="4" t="s">
        <v>3573</v>
      </c>
      <c r="AL162" s="4" t="str">
        <f t="shared" si="31"/>
        <v>Found</v>
      </c>
      <c r="AN162" s="6">
        <v>57.979199999999999</v>
      </c>
      <c r="AO162" s="4" t="str">
        <f t="shared" si="32"/>
        <v>High</v>
      </c>
    </row>
    <row r="163" spans="1:41">
      <c r="A163">
        <v>1</v>
      </c>
      <c r="B163" t="str">
        <f t="shared" si="22"/>
        <v>First Class</v>
      </c>
      <c r="C163">
        <v>1</v>
      </c>
      <c r="E163" t="str">
        <f t="shared" si="23"/>
        <v>Survived</v>
      </c>
      <c r="F163" t="s">
        <v>1071</v>
      </c>
      <c r="G163" t="s">
        <v>849</v>
      </c>
      <c r="H163" t="s">
        <v>862</v>
      </c>
      <c r="I163" t="str">
        <f t="shared" si="24"/>
        <v>Mrs. Hogeboom John</v>
      </c>
      <c r="J163" t="s">
        <v>47</v>
      </c>
      <c r="K163" t="str">
        <f t="shared" si="25"/>
        <v>Female</v>
      </c>
      <c r="L163">
        <v>51</v>
      </c>
      <c r="O163">
        <f t="shared" si="26"/>
        <v>51</v>
      </c>
      <c r="P163">
        <v>1</v>
      </c>
      <c r="R163" s="4">
        <v>0</v>
      </c>
      <c r="T163" s="5">
        <v>77.958299999999994</v>
      </c>
      <c r="W163" s="4">
        <v>51</v>
      </c>
      <c r="X163" s="4" t="str">
        <f t="shared" si="27"/>
        <v>Adult</v>
      </c>
      <c r="Y163" s="4" t="s">
        <v>236</v>
      </c>
      <c r="AA163" s="4" t="s">
        <v>236</v>
      </c>
      <c r="AB163" s="4" t="str">
        <f t="shared" si="28"/>
        <v>D</v>
      </c>
      <c r="AC163" s="4" t="str">
        <f t="shared" si="29"/>
        <v>D</v>
      </c>
      <c r="AD163" s="4" t="s">
        <v>457</v>
      </c>
      <c r="AF163" s="4">
        <v>10</v>
      </c>
      <c r="AG163" s="4">
        <f t="shared" si="30"/>
        <v>10</v>
      </c>
      <c r="AK163" s="4" t="s">
        <v>3573</v>
      </c>
      <c r="AL163" s="4" t="str">
        <f t="shared" si="31"/>
        <v>Found</v>
      </c>
      <c r="AN163" s="6">
        <v>77.958299999999994</v>
      </c>
      <c r="AO163" s="4" t="str">
        <f t="shared" si="32"/>
        <v>High</v>
      </c>
    </row>
    <row r="164" spans="1:41">
      <c r="A164">
        <v>1</v>
      </c>
      <c r="B164" t="str">
        <f t="shared" si="22"/>
        <v>First Class</v>
      </c>
      <c r="C164">
        <v>0</v>
      </c>
      <c r="E164" t="str">
        <f t="shared" si="23"/>
        <v>Died</v>
      </c>
      <c r="F164" t="s">
        <v>1072</v>
      </c>
      <c r="G164" t="s">
        <v>848</v>
      </c>
      <c r="H164" t="s">
        <v>932</v>
      </c>
      <c r="I164" t="str">
        <f t="shared" si="24"/>
        <v>Mr. Holverson Alexander</v>
      </c>
      <c r="J164" t="s">
        <v>20</v>
      </c>
      <c r="K164" t="str">
        <f t="shared" si="25"/>
        <v>Male</v>
      </c>
      <c r="L164">
        <v>42</v>
      </c>
      <c r="O164">
        <f t="shared" si="26"/>
        <v>42</v>
      </c>
      <c r="P164">
        <v>1</v>
      </c>
      <c r="R164" s="4">
        <v>0</v>
      </c>
      <c r="T164" s="5">
        <v>52</v>
      </c>
      <c r="W164" s="4">
        <v>42</v>
      </c>
      <c r="X164" s="4" t="str">
        <f t="shared" si="27"/>
        <v>Adult</v>
      </c>
      <c r="Y164" s="4" t="s">
        <v>3561</v>
      </c>
      <c r="AB164" s="4" t="str">
        <f t="shared" si="28"/>
        <v/>
      </c>
      <c r="AC164" s="4" t="str">
        <f t="shared" si="29"/>
        <v>Unknown</v>
      </c>
      <c r="AD164" s="4" t="s">
        <v>457</v>
      </c>
      <c r="AG164" s="4" t="str">
        <f t="shared" si="30"/>
        <v>Not Applicable</v>
      </c>
      <c r="AH164" s="4">
        <v>38</v>
      </c>
      <c r="AK164" s="4">
        <v>38</v>
      </c>
      <c r="AL164" s="4" t="str">
        <f t="shared" si="31"/>
        <v>Found</v>
      </c>
      <c r="AN164" s="6">
        <v>52</v>
      </c>
      <c r="AO164" s="4" t="str">
        <f t="shared" si="32"/>
        <v>High</v>
      </c>
    </row>
    <row r="165" spans="1:41">
      <c r="A165">
        <v>1</v>
      </c>
      <c r="B165" t="str">
        <f t="shared" si="22"/>
        <v>First Class</v>
      </c>
      <c r="C165">
        <v>1</v>
      </c>
      <c r="E165" t="str">
        <f t="shared" si="23"/>
        <v>Survived</v>
      </c>
      <c r="F165" t="s">
        <v>1072</v>
      </c>
      <c r="G165" t="s">
        <v>849</v>
      </c>
      <c r="H165" t="s">
        <v>932</v>
      </c>
      <c r="I165" t="str">
        <f t="shared" si="24"/>
        <v>Mrs. Holverson Alexander</v>
      </c>
      <c r="J165" t="s">
        <v>47</v>
      </c>
      <c r="K165" t="str">
        <f t="shared" si="25"/>
        <v>Female</v>
      </c>
      <c r="L165">
        <v>35</v>
      </c>
      <c r="O165">
        <f t="shared" si="26"/>
        <v>35</v>
      </c>
      <c r="P165">
        <v>1</v>
      </c>
      <c r="R165" s="4">
        <v>0</v>
      </c>
      <c r="T165" s="5">
        <v>52</v>
      </c>
      <c r="W165" s="4">
        <v>35</v>
      </c>
      <c r="X165" s="4" t="str">
        <f t="shared" si="27"/>
        <v>Adult</v>
      </c>
      <c r="Y165" s="4" t="s">
        <v>3561</v>
      </c>
      <c r="AB165" s="4" t="str">
        <f t="shared" si="28"/>
        <v/>
      </c>
      <c r="AC165" s="4" t="str">
        <f t="shared" si="29"/>
        <v>Unknown</v>
      </c>
      <c r="AD165" s="4" t="s">
        <v>457</v>
      </c>
      <c r="AF165" s="4">
        <v>8</v>
      </c>
      <c r="AG165" s="4">
        <f t="shared" si="30"/>
        <v>8</v>
      </c>
      <c r="AK165" s="4" t="s">
        <v>3573</v>
      </c>
      <c r="AL165" s="4" t="str">
        <f t="shared" si="31"/>
        <v>Found</v>
      </c>
      <c r="AN165" s="6">
        <v>52</v>
      </c>
      <c r="AO165" s="4" t="str">
        <f t="shared" si="32"/>
        <v>High</v>
      </c>
    </row>
    <row r="166" spans="1:41">
      <c r="A166">
        <v>1</v>
      </c>
      <c r="B166" t="str">
        <f t="shared" si="22"/>
        <v>First Class</v>
      </c>
      <c r="C166">
        <v>1</v>
      </c>
      <c r="E166" t="str">
        <f t="shared" si="23"/>
        <v>Survived</v>
      </c>
      <c r="F166" t="s">
        <v>1074</v>
      </c>
      <c r="G166" t="s">
        <v>848</v>
      </c>
      <c r="H166" t="s">
        <v>852</v>
      </c>
      <c r="I166" t="str">
        <f t="shared" si="24"/>
        <v>Mr. Homer Harry</v>
      </c>
      <c r="J166" t="s">
        <v>20</v>
      </c>
      <c r="K166" t="str">
        <f t="shared" si="25"/>
        <v>Male</v>
      </c>
      <c r="L166">
        <v>35</v>
      </c>
      <c r="O166">
        <f t="shared" si="26"/>
        <v>35</v>
      </c>
      <c r="P166">
        <v>0</v>
      </c>
      <c r="R166" s="4">
        <v>0</v>
      </c>
      <c r="T166" s="5">
        <v>26.55</v>
      </c>
      <c r="W166" s="4">
        <v>35</v>
      </c>
      <c r="X166" s="4" t="str">
        <f t="shared" si="27"/>
        <v>Adult</v>
      </c>
      <c r="Y166" s="4" t="s">
        <v>3561</v>
      </c>
      <c r="AB166" s="4" t="str">
        <f t="shared" si="28"/>
        <v/>
      </c>
      <c r="AC166" s="4" t="str">
        <f t="shared" si="29"/>
        <v>Unknown</v>
      </c>
      <c r="AD166" s="4" t="s">
        <v>3566</v>
      </c>
      <c r="AF166" s="4">
        <v>15</v>
      </c>
      <c r="AG166" s="4">
        <f t="shared" si="30"/>
        <v>15</v>
      </c>
      <c r="AK166" s="4" t="s">
        <v>3573</v>
      </c>
      <c r="AL166" s="4" t="str">
        <f t="shared" si="31"/>
        <v>Found</v>
      </c>
      <c r="AN166" s="6">
        <v>26.55</v>
      </c>
      <c r="AO166" s="4" t="str">
        <f t="shared" si="32"/>
        <v>Mid</v>
      </c>
    </row>
    <row r="167" spans="1:41">
      <c r="A167">
        <v>1</v>
      </c>
      <c r="B167" t="str">
        <f t="shared" si="22"/>
        <v>First Class</v>
      </c>
      <c r="C167">
        <v>1</v>
      </c>
      <c r="E167" t="str">
        <f t="shared" si="23"/>
        <v>Survived</v>
      </c>
      <c r="F167" t="s">
        <v>1075</v>
      </c>
      <c r="G167" t="s">
        <v>848</v>
      </c>
      <c r="H167" t="s">
        <v>999</v>
      </c>
      <c r="I167" t="str">
        <f t="shared" si="24"/>
        <v>Mr. Hoyt Frederick</v>
      </c>
      <c r="J167" t="s">
        <v>20</v>
      </c>
      <c r="K167" t="str">
        <f t="shared" si="25"/>
        <v>Male</v>
      </c>
      <c r="L167">
        <v>38</v>
      </c>
      <c r="O167">
        <f t="shared" si="26"/>
        <v>38</v>
      </c>
      <c r="P167">
        <v>1</v>
      </c>
      <c r="R167" s="4">
        <v>0</v>
      </c>
      <c r="T167" s="5">
        <v>90</v>
      </c>
      <c r="W167" s="4">
        <v>38</v>
      </c>
      <c r="X167" s="4" t="str">
        <f t="shared" si="27"/>
        <v>Adult</v>
      </c>
      <c r="Y167" s="4" t="s">
        <v>238</v>
      </c>
      <c r="AA167" s="4" t="s">
        <v>238</v>
      </c>
      <c r="AB167" s="4" t="str">
        <f t="shared" si="28"/>
        <v>C</v>
      </c>
      <c r="AC167" s="4" t="str">
        <f t="shared" si="29"/>
        <v>C</v>
      </c>
      <c r="AD167" s="4" t="s">
        <v>457</v>
      </c>
      <c r="AF167" s="4" t="s">
        <v>59</v>
      </c>
      <c r="AG167" s="4" t="str">
        <f t="shared" si="30"/>
        <v>D</v>
      </c>
      <c r="AK167" s="4" t="s">
        <v>3573</v>
      </c>
      <c r="AL167" s="4" t="str">
        <f t="shared" si="31"/>
        <v>Found</v>
      </c>
      <c r="AN167" s="6">
        <v>90</v>
      </c>
      <c r="AO167" s="4" t="str">
        <f t="shared" si="32"/>
        <v>High</v>
      </c>
    </row>
    <row r="168" spans="1:41">
      <c r="A168">
        <v>1</v>
      </c>
      <c r="B168" t="str">
        <f t="shared" si="22"/>
        <v>First Class</v>
      </c>
      <c r="C168">
        <v>0</v>
      </c>
      <c r="E168" t="str">
        <f t="shared" si="23"/>
        <v>Died</v>
      </c>
      <c r="F168" t="s">
        <v>1075</v>
      </c>
      <c r="G168" t="s">
        <v>848</v>
      </c>
      <c r="H168" t="s">
        <v>924</v>
      </c>
      <c r="I168" t="str">
        <f t="shared" si="24"/>
        <v>Mr. Hoyt William</v>
      </c>
      <c r="J168" t="s">
        <v>20</v>
      </c>
      <c r="K168" t="str">
        <f t="shared" si="25"/>
        <v>Male</v>
      </c>
      <c r="L168">
        <v>28</v>
      </c>
      <c r="O168">
        <f t="shared" si="26"/>
        <v>28</v>
      </c>
      <c r="P168">
        <v>0</v>
      </c>
      <c r="R168" s="4">
        <v>0</v>
      </c>
      <c r="T168" s="5">
        <v>30.695799999999998</v>
      </c>
      <c r="W168" s="4">
        <v>28</v>
      </c>
      <c r="X168" s="4" t="str">
        <f t="shared" si="27"/>
        <v>Young Adult</v>
      </c>
      <c r="Y168" s="4" t="s">
        <v>3561</v>
      </c>
      <c r="AB168" s="4" t="str">
        <f t="shared" si="28"/>
        <v/>
      </c>
      <c r="AC168" s="4" t="str">
        <f t="shared" si="29"/>
        <v>Unknown</v>
      </c>
      <c r="AD168" s="4" t="s">
        <v>3566</v>
      </c>
      <c r="AF168" s="4">
        <v>14</v>
      </c>
      <c r="AG168" s="4">
        <f t="shared" si="30"/>
        <v>14</v>
      </c>
      <c r="AK168" s="4" t="s">
        <v>3573</v>
      </c>
      <c r="AL168" s="4" t="str">
        <f t="shared" si="31"/>
        <v>Found</v>
      </c>
      <c r="AN168" s="6">
        <v>30.695799999999998</v>
      </c>
      <c r="AO168" s="4" t="str">
        <f t="shared" si="32"/>
        <v>Mid</v>
      </c>
    </row>
    <row r="169" spans="1:41">
      <c r="A169">
        <v>1</v>
      </c>
      <c r="B169" t="str">
        <f t="shared" si="22"/>
        <v>First Class</v>
      </c>
      <c r="C169">
        <v>1</v>
      </c>
      <c r="E169" t="str">
        <f t="shared" si="23"/>
        <v>Survived</v>
      </c>
      <c r="F169" t="s">
        <v>1075</v>
      </c>
      <c r="G169" t="s">
        <v>849</v>
      </c>
      <c r="H169" t="s">
        <v>999</v>
      </c>
      <c r="I169" t="str">
        <f t="shared" si="24"/>
        <v>Mrs. Hoyt Frederick</v>
      </c>
      <c r="J169" t="s">
        <v>47</v>
      </c>
      <c r="K169" t="str">
        <f t="shared" si="25"/>
        <v>Female</v>
      </c>
      <c r="L169">
        <v>35</v>
      </c>
      <c r="O169">
        <f t="shared" si="26"/>
        <v>35</v>
      </c>
      <c r="P169">
        <v>1</v>
      </c>
      <c r="R169" s="4">
        <v>0</v>
      </c>
      <c r="T169" s="5">
        <v>90</v>
      </c>
      <c r="W169" s="4">
        <v>35</v>
      </c>
      <c r="X169" s="4" t="str">
        <f t="shared" si="27"/>
        <v>Adult</v>
      </c>
      <c r="Y169" s="4" t="s">
        <v>238</v>
      </c>
      <c r="AA169" s="4" t="s">
        <v>238</v>
      </c>
      <c r="AB169" s="4" t="str">
        <f t="shared" si="28"/>
        <v>C</v>
      </c>
      <c r="AC169" s="4" t="str">
        <f t="shared" si="29"/>
        <v>C</v>
      </c>
      <c r="AD169" s="4" t="s">
        <v>457</v>
      </c>
      <c r="AF169" s="4" t="s">
        <v>59</v>
      </c>
      <c r="AG169" s="4" t="str">
        <f t="shared" si="30"/>
        <v>D</v>
      </c>
      <c r="AK169" s="4" t="s">
        <v>3573</v>
      </c>
      <c r="AL169" s="4" t="str">
        <f t="shared" si="31"/>
        <v>Found</v>
      </c>
      <c r="AN169" s="6">
        <v>90</v>
      </c>
      <c r="AO169" s="4" t="str">
        <f t="shared" si="32"/>
        <v>High</v>
      </c>
    </row>
    <row r="170" spans="1:41">
      <c r="A170">
        <v>1</v>
      </c>
      <c r="B170" t="str">
        <f t="shared" si="22"/>
        <v>First Class</v>
      </c>
      <c r="C170">
        <v>1</v>
      </c>
      <c r="E170" t="str">
        <f t="shared" si="23"/>
        <v>Survived</v>
      </c>
      <c r="F170" t="s">
        <v>1077</v>
      </c>
      <c r="G170" t="s">
        <v>842</v>
      </c>
      <c r="H170" t="s">
        <v>1078</v>
      </c>
      <c r="I170" t="str">
        <f t="shared" si="24"/>
        <v>Miss. Icard Amelie</v>
      </c>
      <c r="J170" t="s">
        <v>47</v>
      </c>
      <c r="K170" t="str">
        <f t="shared" si="25"/>
        <v>Female</v>
      </c>
      <c r="L170">
        <v>38</v>
      </c>
      <c r="O170">
        <f t="shared" si="26"/>
        <v>38</v>
      </c>
      <c r="P170">
        <v>0</v>
      </c>
      <c r="R170" s="4">
        <v>0</v>
      </c>
      <c r="T170" s="5">
        <v>80</v>
      </c>
      <c r="W170" s="4">
        <v>38</v>
      </c>
      <c r="X170" s="4" t="str">
        <f t="shared" si="27"/>
        <v>Adult</v>
      </c>
      <c r="Y170" s="4" t="s">
        <v>241</v>
      </c>
      <c r="AA170" s="4" t="s">
        <v>241</v>
      </c>
      <c r="AB170" s="4" t="str">
        <f t="shared" si="28"/>
        <v>B</v>
      </c>
      <c r="AC170" s="4" t="str">
        <f t="shared" si="29"/>
        <v>B</v>
      </c>
      <c r="AD170" s="4" t="s">
        <v>3561</v>
      </c>
      <c r="AF170" s="4">
        <v>6</v>
      </c>
      <c r="AG170" s="4">
        <f t="shared" si="30"/>
        <v>6</v>
      </c>
      <c r="AK170" s="4" t="s">
        <v>3573</v>
      </c>
      <c r="AL170" s="4" t="str">
        <f t="shared" si="31"/>
        <v>Found</v>
      </c>
      <c r="AN170" s="6">
        <v>80</v>
      </c>
      <c r="AO170" s="4" t="str">
        <f t="shared" si="32"/>
        <v>High</v>
      </c>
    </row>
    <row r="171" spans="1:41">
      <c r="A171">
        <v>1</v>
      </c>
      <c r="B171" t="str">
        <f t="shared" si="22"/>
        <v>First Class</v>
      </c>
      <c r="C171">
        <v>0</v>
      </c>
      <c r="E171" t="str">
        <f t="shared" si="23"/>
        <v>Died</v>
      </c>
      <c r="F171" t="s">
        <v>1079</v>
      </c>
      <c r="G171" t="s">
        <v>842</v>
      </c>
      <c r="H171" t="s">
        <v>1080</v>
      </c>
      <c r="I171" t="str">
        <f t="shared" si="24"/>
        <v>Miss. Isham Ann</v>
      </c>
      <c r="J171" t="s">
        <v>47</v>
      </c>
      <c r="K171" t="str">
        <f t="shared" si="25"/>
        <v>Female</v>
      </c>
      <c r="L171">
        <v>50</v>
      </c>
      <c r="O171">
        <f t="shared" si="26"/>
        <v>50</v>
      </c>
      <c r="P171">
        <v>0</v>
      </c>
      <c r="R171" s="4">
        <v>0</v>
      </c>
      <c r="T171" s="5">
        <v>28.712499999999999</v>
      </c>
      <c r="W171" s="4">
        <v>50</v>
      </c>
      <c r="X171" s="4" t="str">
        <f t="shared" si="27"/>
        <v>Adult</v>
      </c>
      <c r="Y171" s="4" t="s">
        <v>243</v>
      </c>
      <c r="AA171" s="4" t="s">
        <v>243</v>
      </c>
      <c r="AB171" s="4" t="str">
        <f t="shared" si="28"/>
        <v>C</v>
      </c>
      <c r="AC171" s="4" t="str">
        <f t="shared" si="29"/>
        <v>C</v>
      </c>
      <c r="AD171" s="4" t="s">
        <v>3566</v>
      </c>
      <c r="AG171" s="4" t="str">
        <f t="shared" si="30"/>
        <v>Not Applicable</v>
      </c>
      <c r="AK171" s="4" t="s">
        <v>3573</v>
      </c>
      <c r="AL171" s="4" t="str">
        <f t="shared" si="31"/>
        <v>Found</v>
      </c>
      <c r="AN171" s="6">
        <v>28.712499999999999</v>
      </c>
      <c r="AO171" s="4" t="str">
        <f t="shared" si="32"/>
        <v>Mid</v>
      </c>
    </row>
    <row r="172" spans="1:41">
      <c r="A172">
        <v>1</v>
      </c>
      <c r="B172" t="str">
        <f t="shared" si="22"/>
        <v>First Class</v>
      </c>
      <c r="C172">
        <v>1</v>
      </c>
      <c r="E172" t="str">
        <f t="shared" si="23"/>
        <v>Survived</v>
      </c>
      <c r="F172" t="s">
        <v>1081</v>
      </c>
      <c r="G172" t="s">
        <v>848</v>
      </c>
      <c r="H172" t="s">
        <v>921</v>
      </c>
      <c r="I172" t="str">
        <f t="shared" si="24"/>
        <v>Mr. Ismay Joseph</v>
      </c>
      <c r="J172" t="s">
        <v>20</v>
      </c>
      <c r="K172" t="str">
        <f t="shared" si="25"/>
        <v>Male</v>
      </c>
      <c r="L172">
        <v>49</v>
      </c>
      <c r="O172">
        <f t="shared" si="26"/>
        <v>49</v>
      </c>
      <c r="P172">
        <v>0</v>
      </c>
      <c r="R172" s="4">
        <v>0</v>
      </c>
      <c r="T172" s="5">
        <v>0</v>
      </c>
      <c r="W172" s="4">
        <v>49</v>
      </c>
      <c r="X172" s="4" t="str">
        <f t="shared" si="27"/>
        <v>Adult</v>
      </c>
      <c r="Y172" s="4" t="s">
        <v>245</v>
      </c>
      <c r="AA172" s="4" t="s">
        <v>245</v>
      </c>
      <c r="AB172" s="4" t="str">
        <f t="shared" si="28"/>
        <v>B</v>
      </c>
      <c r="AC172" s="4" t="str">
        <f t="shared" si="29"/>
        <v>B</v>
      </c>
      <c r="AD172" s="4" t="s">
        <v>457</v>
      </c>
      <c r="AF172" s="4" t="s">
        <v>62</v>
      </c>
      <c r="AG172" s="4" t="str">
        <f t="shared" si="30"/>
        <v>C</v>
      </c>
      <c r="AK172" s="4" t="s">
        <v>3573</v>
      </c>
      <c r="AL172" s="4" t="str">
        <f t="shared" si="31"/>
        <v>Found</v>
      </c>
      <c r="AN172" s="6">
        <v>0</v>
      </c>
      <c r="AO172" s="4" t="str">
        <f t="shared" si="32"/>
        <v>Low</v>
      </c>
    </row>
    <row r="173" spans="1:41">
      <c r="A173">
        <v>1</v>
      </c>
      <c r="B173" t="str">
        <f t="shared" si="22"/>
        <v>First Class</v>
      </c>
      <c r="C173">
        <v>0</v>
      </c>
      <c r="E173" t="str">
        <f t="shared" si="23"/>
        <v>Died</v>
      </c>
      <c r="F173" t="s">
        <v>1082</v>
      </c>
      <c r="G173" t="s">
        <v>848</v>
      </c>
      <c r="H173" t="s">
        <v>1000</v>
      </c>
      <c r="I173" t="str">
        <f t="shared" si="24"/>
        <v>Mr. Jones Charles</v>
      </c>
      <c r="J173" t="s">
        <v>20</v>
      </c>
      <c r="K173" t="str">
        <f t="shared" si="25"/>
        <v>Male</v>
      </c>
      <c r="L173">
        <v>46</v>
      </c>
      <c r="O173">
        <f t="shared" si="26"/>
        <v>46</v>
      </c>
      <c r="P173">
        <v>0</v>
      </c>
      <c r="R173" s="4">
        <v>0</v>
      </c>
      <c r="T173" s="5">
        <v>26</v>
      </c>
      <c r="W173" s="4">
        <v>46</v>
      </c>
      <c r="X173" s="4" t="str">
        <f t="shared" si="27"/>
        <v>Adult</v>
      </c>
      <c r="Y173" s="4" t="s">
        <v>3561</v>
      </c>
      <c r="AB173" s="4" t="str">
        <f t="shared" si="28"/>
        <v/>
      </c>
      <c r="AC173" s="4" t="str">
        <f t="shared" si="29"/>
        <v>Unknown</v>
      </c>
      <c r="AD173" s="4" t="s">
        <v>457</v>
      </c>
      <c r="AG173" s="4" t="str">
        <f t="shared" si="30"/>
        <v>Not Applicable</v>
      </c>
      <c r="AH173" s="4">
        <v>80</v>
      </c>
      <c r="AK173" s="4">
        <v>80</v>
      </c>
      <c r="AL173" s="4" t="str">
        <f t="shared" si="31"/>
        <v>Found</v>
      </c>
      <c r="AN173" s="6">
        <v>26</v>
      </c>
      <c r="AO173" s="4" t="str">
        <f t="shared" si="32"/>
        <v>Mid</v>
      </c>
    </row>
    <row r="174" spans="1:41">
      <c r="A174">
        <v>1</v>
      </c>
      <c r="B174" t="str">
        <f t="shared" si="22"/>
        <v>First Class</v>
      </c>
      <c r="C174">
        <v>0</v>
      </c>
      <c r="E174" t="str">
        <f t="shared" si="23"/>
        <v>Died</v>
      </c>
      <c r="F174" t="s">
        <v>1083</v>
      </c>
      <c r="G174" t="s">
        <v>848</v>
      </c>
      <c r="H174" t="s">
        <v>872</v>
      </c>
      <c r="I174" t="str">
        <f t="shared" si="24"/>
        <v>Mr. Julian Henry</v>
      </c>
      <c r="J174" t="s">
        <v>20</v>
      </c>
      <c r="K174" t="str">
        <f t="shared" si="25"/>
        <v>Male</v>
      </c>
      <c r="L174">
        <v>50</v>
      </c>
      <c r="O174">
        <f t="shared" si="26"/>
        <v>50</v>
      </c>
      <c r="P174">
        <v>0</v>
      </c>
      <c r="R174" s="4">
        <v>0</v>
      </c>
      <c r="T174" s="5">
        <v>26</v>
      </c>
      <c r="W174" s="4">
        <v>50</v>
      </c>
      <c r="X174" s="4" t="str">
        <f t="shared" si="27"/>
        <v>Adult</v>
      </c>
      <c r="Y174" s="4" t="s">
        <v>248</v>
      </c>
      <c r="AA174" s="4" t="s">
        <v>248</v>
      </c>
      <c r="AB174" s="4" t="str">
        <f t="shared" si="28"/>
        <v>E</v>
      </c>
      <c r="AC174" s="4" t="str">
        <f t="shared" si="29"/>
        <v>E</v>
      </c>
      <c r="AD174" s="4" t="s">
        <v>457</v>
      </c>
      <c r="AG174" s="4" t="str">
        <f t="shared" si="30"/>
        <v>Not Applicable</v>
      </c>
      <c r="AK174" s="4" t="s">
        <v>3573</v>
      </c>
      <c r="AL174" s="4" t="str">
        <f t="shared" si="31"/>
        <v>Found</v>
      </c>
      <c r="AN174" s="6">
        <v>26</v>
      </c>
      <c r="AO174" s="4" t="str">
        <f t="shared" si="32"/>
        <v>Mid</v>
      </c>
    </row>
    <row r="175" spans="1:41">
      <c r="A175">
        <v>1</v>
      </c>
      <c r="B175" t="str">
        <f t="shared" si="22"/>
        <v>First Class</v>
      </c>
      <c r="C175">
        <v>0</v>
      </c>
      <c r="E175" t="str">
        <f t="shared" si="23"/>
        <v>Died</v>
      </c>
      <c r="F175" t="s">
        <v>1084</v>
      </c>
      <c r="G175" t="s">
        <v>848</v>
      </c>
      <c r="H175" t="s">
        <v>1085</v>
      </c>
      <c r="I175" t="str">
        <f t="shared" si="24"/>
        <v>Mr. Keeping Edwin</v>
      </c>
      <c r="J175" t="s">
        <v>20</v>
      </c>
      <c r="K175" t="str">
        <f t="shared" si="25"/>
        <v>Male</v>
      </c>
      <c r="L175">
        <v>32.5</v>
      </c>
      <c r="O175">
        <f t="shared" si="26"/>
        <v>33</v>
      </c>
      <c r="P175">
        <v>0</v>
      </c>
      <c r="R175" s="4">
        <v>0</v>
      </c>
      <c r="T175" s="5">
        <v>211.5</v>
      </c>
      <c r="W175" s="4">
        <v>33</v>
      </c>
      <c r="X175" s="4" t="str">
        <f t="shared" si="27"/>
        <v>Adult</v>
      </c>
      <c r="Y175" s="4" t="s">
        <v>250</v>
      </c>
      <c r="AA175" s="4" t="s">
        <v>250</v>
      </c>
      <c r="AB175" s="4" t="str">
        <f t="shared" si="28"/>
        <v>C</v>
      </c>
      <c r="AC175" s="4" t="str">
        <f t="shared" si="29"/>
        <v>C</v>
      </c>
      <c r="AD175" s="4" t="s">
        <v>3566</v>
      </c>
      <c r="AG175" s="4" t="str">
        <f t="shared" si="30"/>
        <v>Not Applicable</v>
      </c>
      <c r="AH175" s="4">
        <v>45</v>
      </c>
      <c r="AK175" s="4">
        <v>45</v>
      </c>
      <c r="AL175" s="4" t="str">
        <f t="shared" si="31"/>
        <v>Found</v>
      </c>
      <c r="AN175" s="6">
        <v>211.5</v>
      </c>
      <c r="AO175" s="4" t="str">
        <f t="shared" si="32"/>
        <v>High</v>
      </c>
    </row>
    <row r="176" spans="1:41">
      <c r="A176">
        <v>1</v>
      </c>
      <c r="B176" t="str">
        <f t="shared" si="22"/>
        <v>First Class</v>
      </c>
      <c r="C176">
        <v>0</v>
      </c>
      <c r="E176" t="str">
        <f t="shared" si="23"/>
        <v>Died</v>
      </c>
      <c r="F176" t="s">
        <v>1086</v>
      </c>
      <c r="G176" t="s">
        <v>848</v>
      </c>
      <c r="H176" t="s">
        <v>857</v>
      </c>
      <c r="I176" t="str">
        <f t="shared" si="24"/>
        <v>Mr. Kent Edward</v>
      </c>
      <c r="J176" t="s">
        <v>20</v>
      </c>
      <c r="K176" t="str">
        <f t="shared" si="25"/>
        <v>Male</v>
      </c>
      <c r="L176">
        <v>58</v>
      </c>
      <c r="O176">
        <f t="shared" si="26"/>
        <v>58</v>
      </c>
      <c r="P176">
        <v>0</v>
      </c>
      <c r="R176" s="4">
        <v>0</v>
      </c>
      <c r="T176" s="5">
        <v>29.7</v>
      </c>
      <c r="W176" s="4">
        <v>58</v>
      </c>
      <c r="X176" s="4" t="str">
        <f t="shared" si="27"/>
        <v>Adult</v>
      </c>
      <c r="Y176" s="4" t="s">
        <v>251</v>
      </c>
      <c r="AA176" s="4" t="s">
        <v>251</v>
      </c>
      <c r="AB176" s="4" t="str">
        <f t="shared" si="28"/>
        <v>B</v>
      </c>
      <c r="AC176" s="4" t="str">
        <f t="shared" si="29"/>
        <v>B</v>
      </c>
      <c r="AD176" s="4" t="s">
        <v>3566</v>
      </c>
      <c r="AG176" s="4" t="str">
        <f t="shared" si="30"/>
        <v>Not Applicable</v>
      </c>
      <c r="AH176" s="4">
        <v>258</v>
      </c>
      <c r="AK176" s="4">
        <v>258</v>
      </c>
      <c r="AL176" s="4" t="str">
        <f t="shared" si="31"/>
        <v>Found</v>
      </c>
      <c r="AN176" s="6">
        <v>29.7</v>
      </c>
      <c r="AO176" s="4" t="str">
        <f t="shared" si="32"/>
        <v>Mid</v>
      </c>
    </row>
    <row r="177" spans="1:41">
      <c r="A177">
        <v>1</v>
      </c>
      <c r="B177" t="str">
        <f t="shared" si="22"/>
        <v>First Class</v>
      </c>
      <c r="C177">
        <v>0</v>
      </c>
      <c r="E177" t="str">
        <f t="shared" si="23"/>
        <v>Died</v>
      </c>
      <c r="F177" t="s">
        <v>1087</v>
      </c>
      <c r="G177" t="s">
        <v>848</v>
      </c>
      <c r="H177" t="s">
        <v>999</v>
      </c>
      <c r="I177" t="str">
        <f t="shared" si="24"/>
        <v>Mr. Kenyon Frederick</v>
      </c>
      <c r="J177" t="s">
        <v>20</v>
      </c>
      <c r="K177" t="str">
        <f t="shared" si="25"/>
        <v>Male</v>
      </c>
      <c r="L177">
        <v>41</v>
      </c>
      <c r="O177">
        <f t="shared" si="26"/>
        <v>41</v>
      </c>
      <c r="P177">
        <v>1</v>
      </c>
      <c r="R177" s="4">
        <v>0</v>
      </c>
      <c r="T177" s="5">
        <v>51.862499999999997</v>
      </c>
      <c r="W177" s="4">
        <v>41</v>
      </c>
      <c r="X177" s="4" t="str">
        <f t="shared" si="27"/>
        <v>Adult</v>
      </c>
      <c r="Y177" s="4" t="s">
        <v>253</v>
      </c>
      <c r="AA177" s="4" t="s">
        <v>253</v>
      </c>
      <c r="AB177" s="4" t="str">
        <f t="shared" si="28"/>
        <v>D</v>
      </c>
      <c r="AC177" s="4" t="str">
        <f t="shared" si="29"/>
        <v>D</v>
      </c>
      <c r="AD177" s="4" t="s">
        <v>457</v>
      </c>
      <c r="AG177" s="4" t="str">
        <f t="shared" si="30"/>
        <v>Not Applicable</v>
      </c>
      <c r="AK177" s="4" t="s">
        <v>3573</v>
      </c>
      <c r="AL177" s="4" t="str">
        <f t="shared" si="31"/>
        <v>Found</v>
      </c>
      <c r="AN177" s="6">
        <v>51.862499999999997</v>
      </c>
      <c r="AO177" s="4" t="str">
        <f t="shared" si="32"/>
        <v>High</v>
      </c>
    </row>
    <row r="178" spans="1:41">
      <c r="A178">
        <v>1</v>
      </c>
      <c r="B178" t="str">
        <f t="shared" si="22"/>
        <v>First Class</v>
      </c>
      <c r="C178">
        <v>1</v>
      </c>
      <c r="E178" t="str">
        <f t="shared" si="23"/>
        <v>Survived</v>
      </c>
      <c r="F178" t="s">
        <v>1087</v>
      </c>
      <c r="G178" t="s">
        <v>849</v>
      </c>
      <c r="H178" t="s">
        <v>999</v>
      </c>
      <c r="I178" t="str">
        <f t="shared" si="24"/>
        <v>Mrs. Kenyon Frederick</v>
      </c>
      <c r="J178" t="s">
        <v>47</v>
      </c>
      <c r="K178" t="str">
        <f t="shared" si="25"/>
        <v>Female</v>
      </c>
      <c r="L178">
        <v>28</v>
      </c>
      <c r="O178">
        <f t="shared" si="26"/>
        <v>28</v>
      </c>
      <c r="P178">
        <v>1</v>
      </c>
      <c r="R178" s="4">
        <v>0</v>
      </c>
      <c r="T178" s="5">
        <v>51.862499999999997</v>
      </c>
      <c r="W178" s="4">
        <v>28</v>
      </c>
      <c r="X178" s="4" t="str">
        <f t="shared" si="27"/>
        <v>Young Adult</v>
      </c>
      <c r="Y178" s="4" t="s">
        <v>253</v>
      </c>
      <c r="AA178" s="4" t="s">
        <v>253</v>
      </c>
      <c r="AB178" s="4" t="str">
        <f t="shared" si="28"/>
        <v>D</v>
      </c>
      <c r="AC178" s="4" t="str">
        <f t="shared" si="29"/>
        <v>D</v>
      </c>
      <c r="AD178" s="4" t="s">
        <v>457</v>
      </c>
      <c r="AF178" s="4">
        <v>8</v>
      </c>
      <c r="AG178" s="4">
        <f t="shared" si="30"/>
        <v>8</v>
      </c>
      <c r="AK178" s="4" t="s">
        <v>3573</v>
      </c>
      <c r="AL178" s="4" t="str">
        <f t="shared" si="31"/>
        <v>Found</v>
      </c>
      <c r="AN178" s="6">
        <v>51.862499999999997</v>
      </c>
      <c r="AO178" s="4" t="str">
        <f t="shared" si="32"/>
        <v>High</v>
      </c>
    </row>
    <row r="179" spans="1:41">
      <c r="A179">
        <v>1</v>
      </c>
      <c r="B179" t="str">
        <f t="shared" si="22"/>
        <v>First Class</v>
      </c>
      <c r="C179">
        <v>1</v>
      </c>
      <c r="E179" t="str">
        <f t="shared" si="23"/>
        <v>Survived</v>
      </c>
      <c r="F179" t="s">
        <v>1088</v>
      </c>
      <c r="G179" t="s">
        <v>848</v>
      </c>
      <c r="H179" t="s">
        <v>1085</v>
      </c>
      <c r="I179" t="str">
        <f t="shared" si="24"/>
        <v>Mr. Kimball Edwin</v>
      </c>
      <c r="J179" t="s">
        <v>20</v>
      </c>
      <c r="K179" t="str">
        <f t="shared" si="25"/>
        <v>Male</v>
      </c>
      <c r="L179">
        <v>42</v>
      </c>
      <c r="O179">
        <f t="shared" si="26"/>
        <v>42</v>
      </c>
      <c r="P179">
        <v>1</v>
      </c>
      <c r="R179" s="4">
        <v>0</v>
      </c>
      <c r="T179" s="5">
        <v>52.554200000000002</v>
      </c>
      <c r="W179" s="4">
        <v>42</v>
      </c>
      <c r="X179" s="4" t="str">
        <f t="shared" si="27"/>
        <v>Adult</v>
      </c>
      <c r="Y179" s="4" t="s">
        <v>255</v>
      </c>
      <c r="AA179" s="4" t="s">
        <v>255</v>
      </c>
      <c r="AB179" s="4" t="str">
        <f t="shared" si="28"/>
        <v>D</v>
      </c>
      <c r="AC179" s="4" t="str">
        <f t="shared" si="29"/>
        <v>D</v>
      </c>
      <c r="AD179" s="4" t="s">
        <v>457</v>
      </c>
      <c r="AF179" s="4">
        <v>5</v>
      </c>
      <c r="AG179" s="4">
        <f t="shared" si="30"/>
        <v>5</v>
      </c>
      <c r="AK179" s="4" t="s">
        <v>3573</v>
      </c>
      <c r="AL179" s="4" t="str">
        <f t="shared" si="31"/>
        <v>Found</v>
      </c>
      <c r="AN179" s="6">
        <v>52.554200000000002</v>
      </c>
      <c r="AO179" s="4" t="str">
        <f t="shared" si="32"/>
        <v>High</v>
      </c>
    </row>
    <row r="180" spans="1:41">
      <c r="A180">
        <v>1</v>
      </c>
      <c r="B180" t="str">
        <f t="shared" si="22"/>
        <v>First Class</v>
      </c>
      <c r="C180">
        <v>1</v>
      </c>
      <c r="E180" t="str">
        <f t="shared" si="23"/>
        <v>Survived</v>
      </c>
      <c r="F180" t="s">
        <v>1088</v>
      </c>
      <c r="G180" t="s">
        <v>849</v>
      </c>
      <c r="H180" t="s">
        <v>1085</v>
      </c>
      <c r="I180" t="str">
        <f t="shared" si="24"/>
        <v>Mrs. Kimball Edwin</v>
      </c>
      <c r="J180" t="s">
        <v>47</v>
      </c>
      <c r="K180" t="str">
        <f t="shared" si="25"/>
        <v>Female</v>
      </c>
      <c r="L180">
        <v>45</v>
      </c>
      <c r="O180">
        <f t="shared" si="26"/>
        <v>45</v>
      </c>
      <c r="P180">
        <v>1</v>
      </c>
      <c r="R180" s="4">
        <v>0</v>
      </c>
      <c r="T180" s="5">
        <v>52.554200000000002</v>
      </c>
      <c r="W180" s="4">
        <v>45</v>
      </c>
      <c r="X180" s="4" t="str">
        <f t="shared" si="27"/>
        <v>Adult</v>
      </c>
      <c r="Y180" s="4" t="s">
        <v>255</v>
      </c>
      <c r="AA180" s="4" t="s">
        <v>255</v>
      </c>
      <c r="AB180" s="4" t="str">
        <f t="shared" si="28"/>
        <v>D</v>
      </c>
      <c r="AC180" s="4" t="str">
        <f t="shared" si="29"/>
        <v>D</v>
      </c>
      <c r="AD180" s="4" t="s">
        <v>457</v>
      </c>
      <c r="AF180" s="4">
        <v>5</v>
      </c>
      <c r="AG180" s="4">
        <f t="shared" si="30"/>
        <v>5</v>
      </c>
      <c r="AK180" s="4" t="s">
        <v>3573</v>
      </c>
      <c r="AL180" s="4" t="str">
        <f t="shared" si="31"/>
        <v>Found</v>
      </c>
      <c r="AN180" s="6">
        <v>52.554200000000002</v>
      </c>
      <c r="AO180" s="4" t="str">
        <f t="shared" si="32"/>
        <v>High</v>
      </c>
    </row>
    <row r="181" spans="1:41">
      <c r="A181">
        <v>1</v>
      </c>
      <c r="B181" t="str">
        <f t="shared" si="22"/>
        <v>First Class</v>
      </c>
      <c r="C181">
        <v>0</v>
      </c>
      <c r="E181" t="str">
        <f t="shared" si="23"/>
        <v>Died</v>
      </c>
      <c r="F181" t="s">
        <v>1089</v>
      </c>
      <c r="G181" t="s">
        <v>848</v>
      </c>
      <c r="H181" t="s">
        <v>1090</v>
      </c>
      <c r="I181" t="str">
        <f t="shared" si="24"/>
        <v>Mr. Klaber Herman</v>
      </c>
      <c r="J181" t="s">
        <v>20</v>
      </c>
      <c r="K181" t="str">
        <f t="shared" si="25"/>
        <v>Male</v>
      </c>
      <c r="L181">
        <v>28</v>
      </c>
      <c r="O181">
        <f t="shared" si="26"/>
        <v>28</v>
      </c>
      <c r="P181">
        <v>0</v>
      </c>
      <c r="R181" s="4">
        <v>0</v>
      </c>
      <c r="T181" s="5">
        <v>26.55</v>
      </c>
      <c r="W181" s="4">
        <v>28</v>
      </c>
      <c r="X181" s="4" t="str">
        <f t="shared" si="27"/>
        <v>Young Adult</v>
      </c>
      <c r="Y181" s="4" t="s">
        <v>257</v>
      </c>
      <c r="AA181" s="4" t="s">
        <v>257</v>
      </c>
      <c r="AB181" s="4" t="str">
        <f t="shared" si="28"/>
        <v>C</v>
      </c>
      <c r="AC181" s="4" t="str">
        <f t="shared" si="29"/>
        <v>C</v>
      </c>
      <c r="AD181" s="4" t="s">
        <v>457</v>
      </c>
      <c r="AG181" s="4" t="str">
        <f t="shared" si="30"/>
        <v>Not Applicable</v>
      </c>
      <c r="AK181" s="4" t="s">
        <v>3573</v>
      </c>
      <c r="AL181" s="4" t="str">
        <f t="shared" si="31"/>
        <v>Found</v>
      </c>
      <c r="AN181" s="6">
        <v>26.55</v>
      </c>
      <c r="AO181" s="4" t="str">
        <f t="shared" si="32"/>
        <v>Mid</v>
      </c>
    </row>
    <row r="182" spans="1:41">
      <c r="A182">
        <v>1</v>
      </c>
      <c r="B182" t="str">
        <f t="shared" si="22"/>
        <v>First Class</v>
      </c>
      <c r="C182">
        <v>1</v>
      </c>
      <c r="E182" t="str">
        <f t="shared" si="23"/>
        <v>Survived</v>
      </c>
      <c r="F182" t="s">
        <v>1091</v>
      </c>
      <c r="G182" t="s">
        <v>842</v>
      </c>
      <c r="H182" t="s">
        <v>1092</v>
      </c>
      <c r="I182" t="str">
        <f t="shared" si="24"/>
        <v>Miss. Kreuchen Emilie</v>
      </c>
      <c r="J182" t="s">
        <v>47</v>
      </c>
      <c r="K182" t="str">
        <f t="shared" si="25"/>
        <v>Female</v>
      </c>
      <c r="L182">
        <v>39</v>
      </c>
      <c r="O182">
        <f t="shared" si="26"/>
        <v>39</v>
      </c>
      <c r="P182">
        <v>0</v>
      </c>
      <c r="R182" s="4">
        <v>0</v>
      </c>
      <c r="T182" s="5">
        <v>211.33750000000001</v>
      </c>
      <c r="W182" s="4">
        <v>39</v>
      </c>
      <c r="X182" s="4" t="str">
        <f t="shared" si="27"/>
        <v>Adult</v>
      </c>
      <c r="Y182" s="4" t="s">
        <v>3561</v>
      </c>
      <c r="AB182" s="4" t="str">
        <f t="shared" si="28"/>
        <v/>
      </c>
      <c r="AC182" s="4" t="str">
        <f t="shared" si="29"/>
        <v>Unknown</v>
      </c>
      <c r="AD182" s="4" t="s">
        <v>457</v>
      </c>
      <c r="AF182" s="4">
        <v>2</v>
      </c>
      <c r="AG182" s="4">
        <f t="shared" si="30"/>
        <v>2</v>
      </c>
      <c r="AK182" s="4" t="s">
        <v>3573</v>
      </c>
      <c r="AL182" s="4" t="str">
        <f t="shared" si="31"/>
        <v>Found</v>
      </c>
      <c r="AN182" s="6">
        <v>211.33750000000001</v>
      </c>
      <c r="AO182" s="4" t="str">
        <f t="shared" si="32"/>
        <v>High</v>
      </c>
    </row>
    <row r="183" spans="1:41">
      <c r="A183">
        <v>1</v>
      </c>
      <c r="B183" t="str">
        <f t="shared" si="22"/>
        <v>First Class</v>
      </c>
      <c r="C183">
        <v>1</v>
      </c>
      <c r="E183" t="str">
        <f t="shared" si="23"/>
        <v>Survived</v>
      </c>
      <c r="F183" t="s">
        <v>1093</v>
      </c>
      <c r="G183" t="s">
        <v>919</v>
      </c>
      <c r="H183" t="s">
        <v>972</v>
      </c>
      <c r="I183" t="str">
        <f t="shared" si="24"/>
        <v>Dr. Leader Alice</v>
      </c>
      <c r="J183" t="s">
        <v>47</v>
      </c>
      <c r="K183" t="str">
        <f t="shared" si="25"/>
        <v>Female</v>
      </c>
      <c r="L183">
        <v>49</v>
      </c>
      <c r="O183">
        <f t="shared" si="26"/>
        <v>49</v>
      </c>
      <c r="P183">
        <v>0</v>
      </c>
      <c r="R183" s="4">
        <v>0</v>
      </c>
      <c r="T183" s="5">
        <v>25.929200000000002</v>
      </c>
      <c r="W183" s="4">
        <v>49</v>
      </c>
      <c r="X183" s="4" t="str">
        <f t="shared" si="27"/>
        <v>Adult</v>
      </c>
      <c r="Y183" s="4" t="s">
        <v>259</v>
      </c>
      <c r="AA183" s="4" t="s">
        <v>259</v>
      </c>
      <c r="AB183" s="4" t="str">
        <f t="shared" si="28"/>
        <v>D</v>
      </c>
      <c r="AC183" s="4" t="str">
        <f t="shared" si="29"/>
        <v>D</v>
      </c>
      <c r="AD183" s="4" t="s">
        <v>457</v>
      </c>
      <c r="AF183" s="4">
        <v>8</v>
      </c>
      <c r="AG183" s="4">
        <f t="shared" si="30"/>
        <v>8</v>
      </c>
      <c r="AK183" s="4" t="s">
        <v>3573</v>
      </c>
      <c r="AL183" s="4" t="str">
        <f t="shared" si="31"/>
        <v>Found</v>
      </c>
      <c r="AN183" s="6">
        <v>25.929200000000002</v>
      </c>
      <c r="AO183" s="4" t="str">
        <f t="shared" si="32"/>
        <v>Mid</v>
      </c>
    </row>
    <row r="184" spans="1:41">
      <c r="A184">
        <v>1</v>
      </c>
      <c r="B184" t="str">
        <f t="shared" si="22"/>
        <v>First Class</v>
      </c>
      <c r="C184">
        <v>1</v>
      </c>
      <c r="E184" t="str">
        <f t="shared" si="23"/>
        <v>Survived</v>
      </c>
      <c r="F184" t="s">
        <v>1094</v>
      </c>
      <c r="G184" t="s">
        <v>842</v>
      </c>
      <c r="H184" t="s">
        <v>1095</v>
      </c>
      <c r="I184" t="str">
        <f t="shared" si="24"/>
        <v>Miss. LeRoy Bertha</v>
      </c>
      <c r="J184" t="s">
        <v>47</v>
      </c>
      <c r="K184" t="str">
        <f t="shared" si="25"/>
        <v>Female</v>
      </c>
      <c r="L184">
        <v>30</v>
      </c>
      <c r="O184">
        <f t="shared" si="26"/>
        <v>30</v>
      </c>
      <c r="P184">
        <v>0</v>
      </c>
      <c r="R184" s="4">
        <v>0</v>
      </c>
      <c r="T184" s="5">
        <v>106.425</v>
      </c>
      <c r="W184" s="4">
        <v>30</v>
      </c>
      <c r="X184" s="4" t="str">
        <f t="shared" si="27"/>
        <v>Adult</v>
      </c>
      <c r="Y184" s="4" t="s">
        <v>3561</v>
      </c>
      <c r="AB184" s="4" t="str">
        <f t="shared" si="28"/>
        <v/>
      </c>
      <c r="AC184" s="4" t="str">
        <f t="shared" si="29"/>
        <v>Unknown</v>
      </c>
      <c r="AD184" s="4" t="s">
        <v>3566</v>
      </c>
      <c r="AF184" s="4">
        <v>2</v>
      </c>
      <c r="AG184" s="4">
        <f t="shared" si="30"/>
        <v>2</v>
      </c>
      <c r="AK184" s="4" t="s">
        <v>3573</v>
      </c>
      <c r="AL184" s="4" t="str">
        <f t="shared" si="31"/>
        <v>Found</v>
      </c>
      <c r="AN184" s="6">
        <v>106.425</v>
      </c>
      <c r="AO184" s="4" t="str">
        <f t="shared" si="32"/>
        <v>High</v>
      </c>
    </row>
    <row r="185" spans="1:41">
      <c r="A185">
        <v>1</v>
      </c>
      <c r="B185" t="str">
        <f t="shared" si="22"/>
        <v>First Class</v>
      </c>
      <c r="C185">
        <v>1</v>
      </c>
      <c r="E185" t="str">
        <f t="shared" si="23"/>
        <v>Survived</v>
      </c>
      <c r="F185" t="s">
        <v>1096</v>
      </c>
      <c r="G185" t="s">
        <v>848</v>
      </c>
      <c r="H185" t="s">
        <v>1097</v>
      </c>
      <c r="I185" t="str">
        <f t="shared" si="24"/>
        <v>Mr. Lesurer Gustave</v>
      </c>
      <c r="J185" t="s">
        <v>20</v>
      </c>
      <c r="K185" t="str">
        <f t="shared" si="25"/>
        <v>Male</v>
      </c>
      <c r="L185">
        <v>35</v>
      </c>
      <c r="O185">
        <f t="shared" si="26"/>
        <v>35</v>
      </c>
      <c r="P185">
        <v>0</v>
      </c>
      <c r="R185" s="4">
        <v>0</v>
      </c>
      <c r="T185" s="5">
        <v>512.32920000000001</v>
      </c>
      <c r="W185" s="4">
        <v>35</v>
      </c>
      <c r="X185" s="4" t="str">
        <f t="shared" si="27"/>
        <v>Adult</v>
      </c>
      <c r="Y185" s="4" t="s">
        <v>260</v>
      </c>
      <c r="AA185" s="4" t="s">
        <v>260</v>
      </c>
      <c r="AB185" s="4" t="str">
        <f t="shared" si="28"/>
        <v>B</v>
      </c>
      <c r="AC185" s="4" t="str">
        <f t="shared" si="29"/>
        <v>B</v>
      </c>
      <c r="AD185" s="4" t="s">
        <v>3566</v>
      </c>
      <c r="AF185" s="4">
        <v>3</v>
      </c>
      <c r="AG185" s="4">
        <f t="shared" si="30"/>
        <v>3</v>
      </c>
      <c r="AK185" s="4" t="s">
        <v>3573</v>
      </c>
      <c r="AL185" s="4" t="str">
        <f t="shared" si="31"/>
        <v>Found</v>
      </c>
      <c r="AN185" s="6">
        <v>512.32920000000001</v>
      </c>
      <c r="AO185" s="4" t="str">
        <f t="shared" si="32"/>
        <v>High</v>
      </c>
    </row>
    <row r="186" spans="1:41">
      <c r="A186">
        <v>1</v>
      </c>
      <c r="B186" t="str">
        <f t="shared" si="22"/>
        <v>First Class</v>
      </c>
      <c r="C186">
        <v>0</v>
      </c>
      <c r="E186" t="str">
        <f t="shared" si="23"/>
        <v>Died</v>
      </c>
      <c r="F186" t="s">
        <v>1098</v>
      </c>
      <c r="G186" t="s">
        <v>848</v>
      </c>
      <c r="H186" t="s">
        <v>1099</v>
      </c>
      <c r="I186" t="str">
        <f t="shared" si="24"/>
        <v>Mr. Lewy Ervin</v>
      </c>
      <c r="J186" t="s">
        <v>20</v>
      </c>
      <c r="K186" t="str">
        <f t="shared" si="25"/>
        <v>Male</v>
      </c>
      <c r="L186">
        <v>28</v>
      </c>
      <c r="O186">
        <f t="shared" si="26"/>
        <v>28</v>
      </c>
      <c r="P186">
        <v>0</v>
      </c>
      <c r="R186" s="4">
        <v>0</v>
      </c>
      <c r="T186" s="5">
        <v>27.720800000000001</v>
      </c>
      <c r="W186" s="4">
        <v>28</v>
      </c>
      <c r="X186" s="4" t="str">
        <f t="shared" si="27"/>
        <v>Young Adult</v>
      </c>
      <c r="Y186" s="4" t="s">
        <v>3561</v>
      </c>
      <c r="AB186" s="4" t="str">
        <f t="shared" si="28"/>
        <v/>
      </c>
      <c r="AC186" s="4" t="str">
        <f t="shared" si="29"/>
        <v>Unknown</v>
      </c>
      <c r="AD186" s="4" t="s">
        <v>3566</v>
      </c>
      <c r="AG186" s="4" t="str">
        <f t="shared" si="30"/>
        <v>Not Applicable</v>
      </c>
      <c r="AK186" s="4" t="s">
        <v>3573</v>
      </c>
      <c r="AL186" s="4" t="str">
        <f t="shared" si="31"/>
        <v>Found</v>
      </c>
      <c r="AN186" s="6">
        <v>27.720800000000001</v>
      </c>
      <c r="AO186" s="4" t="str">
        <f t="shared" si="32"/>
        <v>Mid</v>
      </c>
    </row>
    <row r="187" spans="1:41">
      <c r="A187">
        <v>1</v>
      </c>
      <c r="B187" t="str">
        <f t="shared" si="22"/>
        <v>First Class</v>
      </c>
      <c r="C187">
        <v>0</v>
      </c>
      <c r="E187" t="str">
        <f t="shared" si="23"/>
        <v>Died</v>
      </c>
      <c r="F187" t="s">
        <v>1100</v>
      </c>
      <c r="G187" t="s">
        <v>848</v>
      </c>
      <c r="H187" t="s">
        <v>1101</v>
      </c>
      <c r="I187" t="str">
        <f t="shared" si="24"/>
        <v>Mr. Lindeberg-Lind Erik</v>
      </c>
      <c r="J187" t="s">
        <v>20</v>
      </c>
      <c r="K187" t="str">
        <f t="shared" si="25"/>
        <v>Male</v>
      </c>
      <c r="L187">
        <v>42</v>
      </c>
      <c r="O187">
        <f t="shared" si="26"/>
        <v>42</v>
      </c>
      <c r="P187">
        <v>0</v>
      </c>
      <c r="R187" s="4">
        <v>0</v>
      </c>
      <c r="T187" s="5">
        <v>26.55</v>
      </c>
      <c r="W187" s="4">
        <v>42</v>
      </c>
      <c r="X187" s="4" t="str">
        <f t="shared" si="27"/>
        <v>Adult</v>
      </c>
      <c r="Y187" s="4" t="s">
        <v>3561</v>
      </c>
      <c r="AB187" s="4" t="str">
        <f t="shared" si="28"/>
        <v/>
      </c>
      <c r="AC187" s="4" t="str">
        <f t="shared" si="29"/>
        <v>Unknown</v>
      </c>
      <c r="AD187" s="4" t="s">
        <v>457</v>
      </c>
      <c r="AG187" s="4" t="str">
        <f t="shared" si="30"/>
        <v>Not Applicable</v>
      </c>
      <c r="AK187" s="4" t="s">
        <v>3573</v>
      </c>
      <c r="AL187" s="4" t="str">
        <f t="shared" si="31"/>
        <v>Found</v>
      </c>
      <c r="AN187" s="6">
        <v>26.55</v>
      </c>
      <c r="AO187" s="4" t="str">
        <f t="shared" si="32"/>
        <v>Mid</v>
      </c>
    </row>
    <row r="188" spans="1:41">
      <c r="A188">
        <v>1</v>
      </c>
      <c r="B188" t="str">
        <f t="shared" si="22"/>
        <v>First Class</v>
      </c>
      <c r="C188">
        <v>1</v>
      </c>
      <c r="E188" t="str">
        <f t="shared" si="23"/>
        <v>Survived</v>
      </c>
      <c r="F188" t="s">
        <v>1103</v>
      </c>
      <c r="G188" t="s">
        <v>849</v>
      </c>
      <c r="H188" t="s">
        <v>1104</v>
      </c>
      <c r="I188" t="str">
        <f t="shared" si="24"/>
        <v>Mrs. Lindstrom Carl</v>
      </c>
      <c r="J188" t="s">
        <v>47</v>
      </c>
      <c r="K188" t="str">
        <f t="shared" si="25"/>
        <v>Female</v>
      </c>
      <c r="L188">
        <v>55</v>
      </c>
      <c r="O188">
        <f t="shared" si="26"/>
        <v>55</v>
      </c>
      <c r="P188">
        <v>0</v>
      </c>
      <c r="R188" s="4">
        <v>0</v>
      </c>
      <c r="T188" s="5">
        <v>27.720800000000001</v>
      </c>
      <c r="W188" s="4">
        <v>55</v>
      </c>
      <c r="X188" s="4" t="str">
        <f t="shared" si="27"/>
        <v>Adult</v>
      </c>
      <c r="Y188" s="4" t="s">
        <v>3561</v>
      </c>
      <c r="AB188" s="4" t="str">
        <f t="shared" si="28"/>
        <v/>
      </c>
      <c r="AC188" s="4" t="str">
        <f t="shared" si="29"/>
        <v>Unknown</v>
      </c>
      <c r="AD188" s="4" t="s">
        <v>3566</v>
      </c>
      <c r="AF188" s="4">
        <v>6</v>
      </c>
      <c r="AG188" s="4">
        <f t="shared" si="30"/>
        <v>6</v>
      </c>
      <c r="AK188" s="4" t="s">
        <v>3573</v>
      </c>
      <c r="AL188" s="4" t="str">
        <f t="shared" si="31"/>
        <v>Found</v>
      </c>
      <c r="AN188" s="6">
        <v>27.720800000000001</v>
      </c>
      <c r="AO188" s="4" t="str">
        <f t="shared" si="32"/>
        <v>Mid</v>
      </c>
    </row>
    <row r="189" spans="1:41">
      <c r="A189">
        <v>1</v>
      </c>
      <c r="B189" t="str">
        <f t="shared" si="22"/>
        <v>First Class</v>
      </c>
      <c r="C189">
        <v>1</v>
      </c>
      <c r="E189" t="str">
        <f t="shared" si="23"/>
        <v>Survived</v>
      </c>
      <c r="F189" t="s">
        <v>1106</v>
      </c>
      <c r="G189" t="s">
        <v>842</v>
      </c>
      <c r="H189" t="s">
        <v>1107</v>
      </c>
      <c r="I189" t="str">
        <f t="shared" si="24"/>
        <v>Miss. Lines Mary</v>
      </c>
      <c r="J189" t="s">
        <v>47</v>
      </c>
      <c r="K189" t="str">
        <f t="shared" si="25"/>
        <v>Female</v>
      </c>
      <c r="L189">
        <v>16</v>
      </c>
      <c r="O189">
        <f t="shared" si="26"/>
        <v>16</v>
      </c>
      <c r="P189">
        <v>0</v>
      </c>
      <c r="R189" s="4">
        <v>1</v>
      </c>
      <c r="T189" s="5">
        <v>39.4</v>
      </c>
      <c r="W189" s="4">
        <v>16</v>
      </c>
      <c r="X189" s="4" t="str">
        <f t="shared" si="27"/>
        <v>Teenager</v>
      </c>
      <c r="Y189" s="4" t="s">
        <v>264</v>
      </c>
      <c r="AA189" s="4" t="s">
        <v>264</v>
      </c>
      <c r="AB189" s="4" t="str">
        <f t="shared" si="28"/>
        <v>D</v>
      </c>
      <c r="AC189" s="4" t="str">
        <f t="shared" si="29"/>
        <v>D</v>
      </c>
      <c r="AD189" s="4" t="s">
        <v>457</v>
      </c>
      <c r="AF189" s="4">
        <v>9</v>
      </c>
      <c r="AG189" s="4">
        <f t="shared" si="30"/>
        <v>9</v>
      </c>
      <c r="AK189" s="4" t="s">
        <v>3573</v>
      </c>
      <c r="AL189" s="4" t="str">
        <f t="shared" si="31"/>
        <v>Found</v>
      </c>
      <c r="AN189" s="6">
        <v>39.4</v>
      </c>
      <c r="AO189" s="4" t="str">
        <f t="shared" si="32"/>
        <v>Mid</v>
      </c>
    </row>
    <row r="190" spans="1:41">
      <c r="A190">
        <v>1</v>
      </c>
      <c r="B190" t="str">
        <f t="shared" si="22"/>
        <v>First Class</v>
      </c>
      <c r="C190">
        <v>1</v>
      </c>
      <c r="E190" t="str">
        <f t="shared" si="23"/>
        <v>Survived</v>
      </c>
      <c r="F190" t="s">
        <v>1106</v>
      </c>
      <c r="G190" t="s">
        <v>849</v>
      </c>
      <c r="H190" t="s">
        <v>945</v>
      </c>
      <c r="I190" t="str">
        <f t="shared" si="24"/>
        <v>Mrs. Lines Ernest</v>
      </c>
      <c r="J190" t="s">
        <v>47</v>
      </c>
      <c r="K190" t="str">
        <f t="shared" si="25"/>
        <v>Female</v>
      </c>
      <c r="L190">
        <v>51</v>
      </c>
      <c r="O190">
        <f t="shared" si="26"/>
        <v>51</v>
      </c>
      <c r="P190">
        <v>0</v>
      </c>
      <c r="R190" s="4">
        <v>1</v>
      </c>
      <c r="T190" s="5">
        <v>39.4</v>
      </c>
      <c r="W190" s="4">
        <v>51</v>
      </c>
      <c r="X190" s="4" t="str">
        <f t="shared" si="27"/>
        <v>Adult</v>
      </c>
      <c r="Y190" s="4" t="s">
        <v>264</v>
      </c>
      <c r="AA190" s="4" t="s">
        <v>264</v>
      </c>
      <c r="AB190" s="4" t="str">
        <f t="shared" si="28"/>
        <v>D</v>
      </c>
      <c r="AC190" s="4" t="str">
        <f t="shared" si="29"/>
        <v>D</v>
      </c>
      <c r="AD190" s="4" t="s">
        <v>457</v>
      </c>
      <c r="AF190" s="4">
        <v>9</v>
      </c>
      <c r="AG190" s="4">
        <f t="shared" si="30"/>
        <v>9</v>
      </c>
      <c r="AK190" s="4" t="s">
        <v>3573</v>
      </c>
      <c r="AL190" s="4" t="str">
        <f t="shared" si="31"/>
        <v>Found</v>
      </c>
      <c r="AN190" s="6">
        <v>39.4</v>
      </c>
      <c r="AO190" s="4" t="str">
        <f t="shared" si="32"/>
        <v>Mid</v>
      </c>
    </row>
    <row r="191" spans="1:41">
      <c r="A191">
        <v>1</v>
      </c>
      <c r="B191" t="str">
        <f t="shared" si="22"/>
        <v>First Class</v>
      </c>
      <c r="C191">
        <v>0</v>
      </c>
      <c r="E191" t="str">
        <f t="shared" si="23"/>
        <v>Died</v>
      </c>
      <c r="F191" t="s">
        <v>1109</v>
      </c>
      <c r="G191" t="s">
        <v>848</v>
      </c>
      <c r="H191" t="s">
        <v>1110</v>
      </c>
      <c r="I191" t="str">
        <f t="shared" si="24"/>
        <v>Mr. Long Milton</v>
      </c>
      <c r="J191" t="s">
        <v>20</v>
      </c>
      <c r="K191" t="str">
        <f t="shared" si="25"/>
        <v>Male</v>
      </c>
      <c r="L191">
        <v>29</v>
      </c>
      <c r="O191">
        <f t="shared" si="26"/>
        <v>29</v>
      </c>
      <c r="P191">
        <v>0</v>
      </c>
      <c r="R191" s="4">
        <v>0</v>
      </c>
      <c r="T191" s="5">
        <v>30</v>
      </c>
      <c r="W191" s="4">
        <v>29</v>
      </c>
      <c r="X191" s="4" t="str">
        <f t="shared" si="27"/>
        <v>Young Adult</v>
      </c>
      <c r="Y191" s="4" t="s">
        <v>265</v>
      </c>
      <c r="AA191" s="4" t="s">
        <v>265</v>
      </c>
      <c r="AB191" s="4" t="str">
        <f t="shared" si="28"/>
        <v>D</v>
      </c>
      <c r="AC191" s="4" t="str">
        <f t="shared" si="29"/>
        <v>D</v>
      </c>
      <c r="AD191" s="4" t="s">
        <v>457</v>
      </c>
      <c r="AG191" s="4" t="str">
        <f t="shared" si="30"/>
        <v>Not Applicable</v>
      </c>
      <c r="AH191" s="4">
        <v>126</v>
      </c>
      <c r="AK191" s="4">
        <v>126</v>
      </c>
      <c r="AL191" s="4" t="str">
        <f t="shared" si="31"/>
        <v>Found</v>
      </c>
      <c r="AN191" s="6">
        <v>30</v>
      </c>
      <c r="AO191" s="4" t="str">
        <f t="shared" si="32"/>
        <v>Mid</v>
      </c>
    </row>
    <row r="192" spans="1:41">
      <c r="A192">
        <v>1</v>
      </c>
      <c r="B192" t="str">
        <f t="shared" si="22"/>
        <v>First Class</v>
      </c>
      <c r="C192">
        <v>1</v>
      </c>
      <c r="E192" t="str">
        <f t="shared" si="23"/>
        <v>Survived</v>
      </c>
      <c r="F192" t="s">
        <v>1111</v>
      </c>
      <c r="G192" t="s">
        <v>842</v>
      </c>
      <c r="H192" t="s">
        <v>1112</v>
      </c>
      <c r="I192" t="str">
        <f t="shared" si="24"/>
        <v>Miss. Longley Gretchen</v>
      </c>
      <c r="J192" t="s">
        <v>47</v>
      </c>
      <c r="K192" t="str">
        <f t="shared" si="25"/>
        <v>Female</v>
      </c>
      <c r="L192">
        <v>21</v>
      </c>
      <c r="O192">
        <f t="shared" si="26"/>
        <v>21</v>
      </c>
      <c r="P192">
        <v>0</v>
      </c>
      <c r="R192" s="4">
        <v>0</v>
      </c>
      <c r="T192" s="5">
        <v>77.958299999999994</v>
      </c>
      <c r="W192" s="4">
        <v>21</v>
      </c>
      <c r="X192" s="4" t="str">
        <f t="shared" si="27"/>
        <v>Young Adult</v>
      </c>
      <c r="Y192" s="4" t="s">
        <v>267</v>
      </c>
      <c r="AA192" s="4" t="s">
        <v>267</v>
      </c>
      <c r="AB192" s="4" t="str">
        <f t="shared" si="28"/>
        <v>D</v>
      </c>
      <c r="AC192" s="4" t="str">
        <f t="shared" si="29"/>
        <v>D</v>
      </c>
      <c r="AD192" s="4" t="s">
        <v>457</v>
      </c>
      <c r="AF192" s="4">
        <v>10</v>
      </c>
      <c r="AG192" s="4">
        <f t="shared" si="30"/>
        <v>10</v>
      </c>
      <c r="AK192" s="4" t="s">
        <v>3573</v>
      </c>
      <c r="AL192" s="4" t="str">
        <f t="shared" si="31"/>
        <v>Found</v>
      </c>
      <c r="AN192" s="6">
        <v>77.958299999999994</v>
      </c>
      <c r="AO192" s="4" t="str">
        <f t="shared" si="32"/>
        <v>High</v>
      </c>
    </row>
    <row r="193" spans="1:41">
      <c r="A193">
        <v>1</v>
      </c>
      <c r="B193" t="str">
        <f t="shared" si="22"/>
        <v>First Class</v>
      </c>
      <c r="C193">
        <v>0</v>
      </c>
      <c r="E193" t="str">
        <f t="shared" si="23"/>
        <v>Died</v>
      </c>
      <c r="F193" t="s">
        <v>1113</v>
      </c>
      <c r="G193" t="s">
        <v>848</v>
      </c>
      <c r="H193" t="s">
        <v>921</v>
      </c>
      <c r="I193" t="str">
        <f t="shared" si="24"/>
        <v>Mr. Loring Joseph</v>
      </c>
      <c r="J193" t="s">
        <v>20</v>
      </c>
      <c r="K193" t="str">
        <f t="shared" si="25"/>
        <v>Male</v>
      </c>
      <c r="L193">
        <v>30</v>
      </c>
      <c r="O193">
        <f t="shared" si="26"/>
        <v>30</v>
      </c>
      <c r="P193">
        <v>0</v>
      </c>
      <c r="R193" s="4">
        <v>0</v>
      </c>
      <c r="T193" s="5">
        <v>45.5</v>
      </c>
      <c r="W193" s="4">
        <v>30</v>
      </c>
      <c r="X193" s="4" t="str">
        <f t="shared" si="27"/>
        <v>Adult</v>
      </c>
      <c r="Y193" s="4" t="s">
        <v>3561</v>
      </c>
      <c r="AB193" s="4" t="str">
        <f t="shared" si="28"/>
        <v/>
      </c>
      <c r="AC193" s="4" t="str">
        <f t="shared" si="29"/>
        <v>Unknown</v>
      </c>
      <c r="AD193" s="4" t="s">
        <v>457</v>
      </c>
      <c r="AG193" s="4" t="str">
        <f t="shared" si="30"/>
        <v>Not Applicable</v>
      </c>
      <c r="AK193" s="4" t="s">
        <v>3573</v>
      </c>
      <c r="AL193" s="4" t="str">
        <f t="shared" si="31"/>
        <v>Found</v>
      </c>
      <c r="AN193" s="6">
        <v>45.5</v>
      </c>
      <c r="AO193" s="4" t="str">
        <f t="shared" si="32"/>
        <v>Mid</v>
      </c>
    </row>
    <row r="194" spans="1:41">
      <c r="A194">
        <v>1</v>
      </c>
      <c r="B194" t="str">
        <f t="shared" si="22"/>
        <v>First Class</v>
      </c>
      <c r="C194">
        <v>1</v>
      </c>
      <c r="E194" t="str">
        <f t="shared" si="23"/>
        <v>Survived</v>
      </c>
      <c r="F194" t="s">
        <v>1114</v>
      </c>
      <c r="G194" t="s">
        <v>842</v>
      </c>
      <c r="H194" t="s">
        <v>1115</v>
      </c>
      <c r="I194" t="str">
        <f t="shared" si="24"/>
        <v>Miss. Lurette Elise</v>
      </c>
      <c r="J194" t="s">
        <v>47</v>
      </c>
      <c r="K194" t="str">
        <f t="shared" si="25"/>
        <v>Female</v>
      </c>
      <c r="L194">
        <v>58</v>
      </c>
      <c r="O194">
        <f t="shared" si="26"/>
        <v>58</v>
      </c>
      <c r="P194">
        <v>0</v>
      </c>
      <c r="R194" s="4">
        <v>0</v>
      </c>
      <c r="T194" s="5">
        <v>146.52080000000001</v>
      </c>
      <c r="W194" s="4">
        <v>58</v>
      </c>
      <c r="X194" s="4" t="str">
        <f t="shared" si="27"/>
        <v>Adult</v>
      </c>
      <c r="Y194" s="4" t="s">
        <v>270</v>
      </c>
      <c r="AA194" s="4" t="s">
        <v>270</v>
      </c>
      <c r="AB194" s="4" t="str">
        <f t="shared" si="28"/>
        <v>B</v>
      </c>
      <c r="AC194" s="4" t="str">
        <f t="shared" si="29"/>
        <v>B</v>
      </c>
      <c r="AD194" s="4" t="s">
        <v>3566</v>
      </c>
      <c r="AG194" s="4" t="str">
        <f t="shared" si="30"/>
        <v>Not Applicable</v>
      </c>
      <c r="AK194" s="4" t="s">
        <v>3573</v>
      </c>
      <c r="AL194" s="4" t="str">
        <f t="shared" si="31"/>
        <v>Found</v>
      </c>
      <c r="AN194" s="6">
        <v>146.52080000000001</v>
      </c>
      <c r="AO194" s="4" t="str">
        <f t="shared" si="32"/>
        <v>High</v>
      </c>
    </row>
    <row r="195" spans="1:41">
      <c r="A195">
        <v>1</v>
      </c>
      <c r="B195" t="str">
        <f t="shared" ref="B195:B258" si="33">IF(A195=1,"First Class",IF(A195=2,"Second Class",IF(A195=3,"Third Class"," ")))</f>
        <v>First Class</v>
      </c>
      <c r="C195">
        <v>1</v>
      </c>
      <c r="E195" t="str">
        <f t="shared" ref="E195:E258" si="34">IF(C195=1,"Survived",IF(C195=0,"Died"))</f>
        <v>Survived</v>
      </c>
      <c r="F195" t="s">
        <v>1116</v>
      </c>
      <c r="G195" t="s">
        <v>842</v>
      </c>
      <c r="H195" t="s">
        <v>1117</v>
      </c>
      <c r="I195" t="str">
        <f t="shared" ref="I195:I258" si="35">_xlfn.CONCAT(G195," ",F195," ",H195)</f>
        <v>Miss. Madill Georgette</v>
      </c>
      <c r="J195" t="s">
        <v>47</v>
      </c>
      <c r="K195" t="str">
        <f t="shared" ref="K195:K258" si="36">PROPER(J195)</f>
        <v>Female</v>
      </c>
      <c r="L195">
        <v>15</v>
      </c>
      <c r="O195">
        <f t="shared" ref="O195:O258" si="37">IF(L195&lt;1,1,ROUND(L195,0))</f>
        <v>15</v>
      </c>
      <c r="P195">
        <v>0</v>
      </c>
      <c r="R195" s="4">
        <v>1</v>
      </c>
      <c r="T195" s="5">
        <v>211.33750000000001</v>
      </c>
      <c r="W195" s="4">
        <v>15</v>
      </c>
      <c r="X195" s="4" t="str">
        <f t="shared" ref="X195:X258" si="38">IF(W195&lt;10,"Child",IF(W195&lt;18,"Teenager",IF(W195&lt;30,"Young Adult",IF(W195&lt;60,"Adult","Old Adult"))))</f>
        <v>Teenager</v>
      </c>
      <c r="Y195" s="4" t="s">
        <v>48</v>
      </c>
      <c r="AA195" s="4" t="s">
        <v>48</v>
      </c>
      <c r="AB195" s="4" t="str">
        <f t="shared" ref="AB195:AB258" si="39">LEFT(AA195,1)</f>
        <v>B</v>
      </c>
      <c r="AC195" s="4" t="str">
        <f t="shared" ref="AC195:AC258" si="40">IF(AB195="","Unknown",LEFT(AB195,1))</f>
        <v>B</v>
      </c>
      <c r="AD195" s="4" t="s">
        <v>457</v>
      </c>
      <c r="AF195" s="4">
        <v>2</v>
      </c>
      <c r="AG195" s="4">
        <f t="shared" ref="AG195:AG258" si="41">IF(AF195="",IF(E195=1,"Unknown","Not Applicable"),AF195)</f>
        <v>2</v>
      </c>
      <c r="AK195" s="4" t="s">
        <v>3573</v>
      </c>
      <c r="AL195" s="4" t="str">
        <f t="shared" ref="AL195:AL258" si="42">IF(AK195="","Not Found","Found")</f>
        <v>Found</v>
      </c>
      <c r="AN195" s="6">
        <v>211.33750000000001</v>
      </c>
      <c r="AO195" s="4" t="str">
        <f t="shared" ref="AO195:AO258" si="43">IF(AN195&lt;=10,"Low",IF(AN195&lt;=50,"Mid","High"))</f>
        <v>High</v>
      </c>
    </row>
    <row r="196" spans="1:41">
      <c r="A196">
        <v>1</v>
      </c>
      <c r="B196" t="str">
        <f t="shared" si="33"/>
        <v>First Class</v>
      </c>
      <c r="C196">
        <v>0</v>
      </c>
      <c r="E196" t="str">
        <f t="shared" si="34"/>
        <v>Died</v>
      </c>
      <c r="F196" t="s">
        <v>1118</v>
      </c>
      <c r="G196" t="s">
        <v>848</v>
      </c>
      <c r="H196" t="s">
        <v>862</v>
      </c>
      <c r="I196" t="str">
        <f t="shared" si="35"/>
        <v>Mr. Maguire John</v>
      </c>
      <c r="J196" t="s">
        <v>20</v>
      </c>
      <c r="K196" t="str">
        <f t="shared" si="36"/>
        <v>Male</v>
      </c>
      <c r="L196">
        <v>30</v>
      </c>
      <c r="O196">
        <f t="shared" si="37"/>
        <v>30</v>
      </c>
      <c r="P196">
        <v>0</v>
      </c>
      <c r="R196" s="4">
        <v>0</v>
      </c>
      <c r="T196" s="5">
        <v>26</v>
      </c>
      <c r="W196" s="4">
        <v>30</v>
      </c>
      <c r="X196" s="4" t="str">
        <f t="shared" si="38"/>
        <v>Adult</v>
      </c>
      <c r="Y196" s="4" t="s">
        <v>271</v>
      </c>
      <c r="AA196" s="4" t="s">
        <v>271</v>
      </c>
      <c r="AB196" s="4" t="str">
        <f t="shared" si="39"/>
        <v>C</v>
      </c>
      <c r="AC196" s="4" t="str">
        <f t="shared" si="40"/>
        <v>C</v>
      </c>
      <c r="AD196" s="4" t="s">
        <v>457</v>
      </c>
      <c r="AG196" s="4" t="str">
        <f t="shared" si="41"/>
        <v>Not Applicable</v>
      </c>
      <c r="AK196" s="4" t="s">
        <v>3573</v>
      </c>
      <c r="AL196" s="4" t="str">
        <f t="shared" si="42"/>
        <v>Found</v>
      </c>
      <c r="AN196" s="6">
        <v>26</v>
      </c>
      <c r="AO196" s="4" t="str">
        <f t="shared" si="43"/>
        <v>Mid</v>
      </c>
    </row>
    <row r="197" spans="1:41">
      <c r="A197">
        <v>1</v>
      </c>
      <c r="B197" t="str">
        <f t="shared" si="33"/>
        <v>First Class</v>
      </c>
      <c r="C197">
        <v>1</v>
      </c>
      <c r="E197" t="str">
        <f t="shared" si="34"/>
        <v>Survived</v>
      </c>
      <c r="F197" t="s">
        <v>1119</v>
      </c>
      <c r="G197" t="s">
        <v>842</v>
      </c>
      <c r="H197" t="s">
        <v>1120</v>
      </c>
      <c r="I197" t="str">
        <f t="shared" si="35"/>
        <v>Miss. Maioni Roberta</v>
      </c>
      <c r="J197" t="s">
        <v>47</v>
      </c>
      <c r="K197" t="str">
        <f t="shared" si="36"/>
        <v>Female</v>
      </c>
      <c r="L197">
        <v>16</v>
      </c>
      <c r="O197">
        <f t="shared" si="37"/>
        <v>16</v>
      </c>
      <c r="P197">
        <v>0</v>
      </c>
      <c r="R197" s="4">
        <v>0</v>
      </c>
      <c r="T197" s="5">
        <v>86.5</v>
      </c>
      <c r="W197" s="4">
        <v>16</v>
      </c>
      <c r="X197" s="4" t="str">
        <f t="shared" si="38"/>
        <v>Teenager</v>
      </c>
      <c r="Y197" s="4" t="s">
        <v>273</v>
      </c>
      <c r="AA197" s="4" t="s">
        <v>273</v>
      </c>
      <c r="AB197" s="4" t="str">
        <f t="shared" si="39"/>
        <v>B</v>
      </c>
      <c r="AC197" s="4" t="str">
        <f t="shared" si="40"/>
        <v>B</v>
      </c>
      <c r="AD197" s="4" t="s">
        <v>457</v>
      </c>
      <c r="AF197" s="4">
        <v>8</v>
      </c>
      <c r="AG197" s="4">
        <f t="shared" si="41"/>
        <v>8</v>
      </c>
      <c r="AK197" s="4" t="s">
        <v>3573</v>
      </c>
      <c r="AL197" s="4" t="str">
        <f t="shared" si="42"/>
        <v>Found</v>
      </c>
      <c r="AN197" s="6">
        <v>86.5</v>
      </c>
      <c r="AO197" s="4" t="str">
        <f t="shared" si="43"/>
        <v>High</v>
      </c>
    </row>
    <row r="198" spans="1:41">
      <c r="A198">
        <v>1</v>
      </c>
      <c r="B198" t="str">
        <f t="shared" si="33"/>
        <v>First Class</v>
      </c>
      <c r="C198">
        <v>1</v>
      </c>
      <c r="E198" t="str">
        <f t="shared" si="34"/>
        <v>Survived</v>
      </c>
      <c r="F198" t="s">
        <v>1121</v>
      </c>
      <c r="G198" t="s">
        <v>848</v>
      </c>
      <c r="H198" t="s">
        <v>1122</v>
      </c>
      <c r="I198" t="str">
        <f t="shared" si="35"/>
        <v>Mr. Marechal Pierre</v>
      </c>
      <c r="J198" t="s">
        <v>20</v>
      </c>
      <c r="K198" t="str">
        <f t="shared" si="36"/>
        <v>Male</v>
      </c>
      <c r="L198">
        <v>28</v>
      </c>
      <c r="O198">
        <f t="shared" si="37"/>
        <v>28</v>
      </c>
      <c r="P198">
        <v>0</v>
      </c>
      <c r="R198" s="4">
        <v>0</v>
      </c>
      <c r="T198" s="5">
        <v>29.7</v>
      </c>
      <c r="W198" s="4">
        <v>28</v>
      </c>
      <c r="X198" s="4" t="str">
        <f t="shared" si="38"/>
        <v>Young Adult</v>
      </c>
      <c r="Y198" s="4" t="s">
        <v>274</v>
      </c>
      <c r="AA198" s="4" t="s">
        <v>274</v>
      </c>
      <c r="AB198" s="4" t="str">
        <f t="shared" si="39"/>
        <v>C</v>
      </c>
      <c r="AC198" s="4" t="str">
        <f t="shared" si="40"/>
        <v>C</v>
      </c>
      <c r="AD198" s="4" t="s">
        <v>3566</v>
      </c>
      <c r="AF198" s="4">
        <v>7</v>
      </c>
      <c r="AG198" s="4">
        <f t="shared" si="41"/>
        <v>7</v>
      </c>
      <c r="AK198" s="4" t="s">
        <v>3573</v>
      </c>
      <c r="AL198" s="4" t="str">
        <f t="shared" si="42"/>
        <v>Found</v>
      </c>
      <c r="AN198" s="6">
        <v>29.7</v>
      </c>
      <c r="AO198" s="4" t="str">
        <f t="shared" si="43"/>
        <v>Mid</v>
      </c>
    </row>
    <row r="199" spans="1:41">
      <c r="A199">
        <v>1</v>
      </c>
      <c r="B199" t="str">
        <f t="shared" si="33"/>
        <v>First Class</v>
      </c>
      <c r="C199">
        <v>0</v>
      </c>
      <c r="E199" t="str">
        <f t="shared" si="34"/>
        <v>Died</v>
      </c>
      <c r="F199" t="s">
        <v>1123</v>
      </c>
      <c r="G199" t="s">
        <v>848</v>
      </c>
      <c r="H199" t="s">
        <v>989</v>
      </c>
      <c r="I199" t="str">
        <f t="shared" si="35"/>
        <v>Mr. Marvin Daniel</v>
      </c>
      <c r="J199" t="s">
        <v>20</v>
      </c>
      <c r="K199" t="str">
        <f t="shared" si="36"/>
        <v>Male</v>
      </c>
      <c r="L199">
        <v>19</v>
      </c>
      <c r="O199">
        <f t="shared" si="37"/>
        <v>19</v>
      </c>
      <c r="P199">
        <v>1</v>
      </c>
      <c r="R199" s="4">
        <v>0</v>
      </c>
      <c r="T199" s="5">
        <v>53.1</v>
      </c>
      <c r="W199" s="4">
        <v>19</v>
      </c>
      <c r="X199" s="4" t="str">
        <f t="shared" si="38"/>
        <v>Young Adult</v>
      </c>
      <c r="Y199" s="4" t="s">
        <v>275</v>
      </c>
      <c r="AA199" s="4" t="s">
        <v>275</v>
      </c>
      <c r="AB199" s="4" t="str">
        <f t="shared" si="39"/>
        <v>D</v>
      </c>
      <c r="AC199" s="4" t="str">
        <f t="shared" si="40"/>
        <v>D</v>
      </c>
      <c r="AD199" s="4" t="s">
        <v>457</v>
      </c>
      <c r="AG199" s="4" t="str">
        <f t="shared" si="41"/>
        <v>Not Applicable</v>
      </c>
      <c r="AK199" s="4" t="s">
        <v>3573</v>
      </c>
      <c r="AL199" s="4" t="str">
        <f t="shared" si="42"/>
        <v>Found</v>
      </c>
      <c r="AN199" s="6">
        <v>53.1</v>
      </c>
      <c r="AO199" s="4" t="str">
        <f t="shared" si="43"/>
        <v>High</v>
      </c>
    </row>
    <row r="200" spans="1:41">
      <c r="A200">
        <v>1</v>
      </c>
      <c r="B200" t="str">
        <f t="shared" si="33"/>
        <v>First Class</v>
      </c>
      <c r="C200">
        <v>1</v>
      </c>
      <c r="E200" t="str">
        <f t="shared" si="34"/>
        <v>Survived</v>
      </c>
      <c r="F200" t="s">
        <v>1123</v>
      </c>
      <c r="G200" t="s">
        <v>849</v>
      </c>
      <c r="H200" t="s">
        <v>989</v>
      </c>
      <c r="I200" t="str">
        <f t="shared" si="35"/>
        <v>Mrs. Marvin Daniel</v>
      </c>
      <c r="J200" t="s">
        <v>47</v>
      </c>
      <c r="K200" t="str">
        <f t="shared" si="36"/>
        <v>Female</v>
      </c>
      <c r="L200">
        <v>18</v>
      </c>
      <c r="O200">
        <f t="shared" si="37"/>
        <v>18</v>
      </c>
      <c r="P200">
        <v>1</v>
      </c>
      <c r="R200" s="4">
        <v>0</v>
      </c>
      <c r="T200" s="5">
        <v>53.1</v>
      </c>
      <c r="W200" s="4">
        <v>18</v>
      </c>
      <c r="X200" s="4" t="str">
        <f t="shared" si="38"/>
        <v>Young Adult</v>
      </c>
      <c r="Y200" s="4" t="s">
        <v>275</v>
      </c>
      <c r="AA200" s="4" t="s">
        <v>275</v>
      </c>
      <c r="AB200" s="4" t="str">
        <f t="shared" si="39"/>
        <v>D</v>
      </c>
      <c r="AC200" s="4" t="str">
        <f t="shared" si="40"/>
        <v>D</v>
      </c>
      <c r="AD200" s="4" t="s">
        <v>457</v>
      </c>
      <c r="AF200" s="4">
        <v>10</v>
      </c>
      <c r="AG200" s="4">
        <f t="shared" si="41"/>
        <v>10</v>
      </c>
      <c r="AK200" s="4" t="s">
        <v>3573</v>
      </c>
      <c r="AL200" s="4" t="str">
        <f t="shared" si="42"/>
        <v>Found</v>
      </c>
      <c r="AN200" s="6">
        <v>53.1</v>
      </c>
      <c r="AO200" s="4" t="str">
        <f t="shared" si="43"/>
        <v>High</v>
      </c>
    </row>
    <row r="201" spans="1:41">
      <c r="A201">
        <v>1</v>
      </c>
      <c r="B201" t="str">
        <f t="shared" si="33"/>
        <v>First Class</v>
      </c>
      <c r="C201">
        <v>1</v>
      </c>
      <c r="E201" t="str">
        <f t="shared" si="34"/>
        <v>Survived</v>
      </c>
      <c r="F201" t="s">
        <v>1124</v>
      </c>
      <c r="G201" t="s">
        <v>1125</v>
      </c>
      <c r="H201" t="s">
        <v>1126</v>
      </c>
      <c r="I201" t="str">
        <f t="shared" si="35"/>
        <v>Mlle. Mayne Berthe</v>
      </c>
      <c r="J201" t="s">
        <v>47</v>
      </c>
      <c r="K201" t="str">
        <f t="shared" si="36"/>
        <v>Female</v>
      </c>
      <c r="L201">
        <v>24</v>
      </c>
      <c r="O201">
        <f t="shared" si="37"/>
        <v>24</v>
      </c>
      <c r="P201">
        <v>0</v>
      </c>
      <c r="R201" s="4">
        <v>0</v>
      </c>
      <c r="T201" s="5">
        <v>49.504199999999997</v>
      </c>
      <c r="W201" s="4">
        <v>24</v>
      </c>
      <c r="X201" s="4" t="str">
        <f t="shared" si="38"/>
        <v>Young Adult</v>
      </c>
      <c r="Y201" s="4" t="s">
        <v>277</v>
      </c>
      <c r="AA201" s="4" t="s">
        <v>277</v>
      </c>
      <c r="AB201" s="4" t="str">
        <f t="shared" si="39"/>
        <v>C</v>
      </c>
      <c r="AC201" s="4" t="str">
        <f t="shared" si="40"/>
        <v>C</v>
      </c>
      <c r="AD201" s="4" t="s">
        <v>3566</v>
      </c>
      <c r="AF201" s="4">
        <v>6</v>
      </c>
      <c r="AG201" s="4">
        <f t="shared" si="41"/>
        <v>6</v>
      </c>
      <c r="AK201" s="4" t="s">
        <v>3573</v>
      </c>
      <c r="AL201" s="4" t="str">
        <f t="shared" si="42"/>
        <v>Found</v>
      </c>
      <c r="AN201" s="6">
        <v>49.504199999999997</v>
      </c>
      <c r="AO201" s="4" t="str">
        <f t="shared" si="43"/>
        <v>Mid</v>
      </c>
    </row>
    <row r="202" spans="1:41">
      <c r="A202">
        <v>1</v>
      </c>
      <c r="B202" t="str">
        <f t="shared" si="33"/>
        <v>First Class</v>
      </c>
      <c r="C202">
        <v>0</v>
      </c>
      <c r="E202" t="str">
        <f t="shared" si="34"/>
        <v>Died</v>
      </c>
      <c r="F202" t="s">
        <v>1128</v>
      </c>
      <c r="G202" t="s">
        <v>848</v>
      </c>
      <c r="H202" t="s">
        <v>855</v>
      </c>
      <c r="I202" t="str">
        <f t="shared" si="35"/>
        <v>Mr. McCaffry Thomas</v>
      </c>
      <c r="J202" t="s">
        <v>20</v>
      </c>
      <c r="K202" t="str">
        <f t="shared" si="36"/>
        <v>Male</v>
      </c>
      <c r="L202">
        <v>46</v>
      </c>
      <c r="O202">
        <f t="shared" si="37"/>
        <v>46</v>
      </c>
      <c r="P202">
        <v>0</v>
      </c>
      <c r="R202" s="4">
        <v>0</v>
      </c>
      <c r="T202" s="5">
        <v>75.241699999999994</v>
      </c>
      <c r="W202" s="4">
        <v>46</v>
      </c>
      <c r="X202" s="4" t="str">
        <f t="shared" si="38"/>
        <v>Adult</v>
      </c>
      <c r="Y202" s="4" t="s">
        <v>77</v>
      </c>
      <c r="AA202" s="4" t="s">
        <v>77</v>
      </c>
      <c r="AB202" s="4" t="str">
        <f t="shared" si="39"/>
        <v>C</v>
      </c>
      <c r="AC202" s="4" t="str">
        <f t="shared" si="40"/>
        <v>C</v>
      </c>
      <c r="AD202" s="4" t="s">
        <v>3566</v>
      </c>
      <c r="AG202" s="4" t="str">
        <f t="shared" si="41"/>
        <v>Not Applicable</v>
      </c>
      <c r="AH202" s="4">
        <v>292</v>
      </c>
      <c r="AK202" s="4">
        <v>292</v>
      </c>
      <c r="AL202" s="4" t="str">
        <f t="shared" si="42"/>
        <v>Found</v>
      </c>
      <c r="AN202" s="6">
        <v>75.241699999999994</v>
      </c>
      <c r="AO202" s="4" t="str">
        <f t="shared" si="43"/>
        <v>High</v>
      </c>
    </row>
    <row r="203" spans="1:41">
      <c r="A203">
        <v>1</v>
      </c>
      <c r="B203" t="str">
        <f t="shared" si="33"/>
        <v>First Class</v>
      </c>
      <c r="C203">
        <v>0</v>
      </c>
      <c r="E203" t="str">
        <f t="shared" si="34"/>
        <v>Died</v>
      </c>
      <c r="F203" t="s">
        <v>1130</v>
      </c>
      <c r="G203" t="s">
        <v>848</v>
      </c>
      <c r="H203" t="s">
        <v>1131</v>
      </c>
      <c r="I203" t="str">
        <f t="shared" si="35"/>
        <v>Mr. McCarthy Timothy</v>
      </c>
      <c r="J203" t="s">
        <v>20</v>
      </c>
      <c r="K203" t="str">
        <f t="shared" si="36"/>
        <v>Male</v>
      </c>
      <c r="L203">
        <v>54</v>
      </c>
      <c r="O203">
        <f t="shared" si="37"/>
        <v>54</v>
      </c>
      <c r="P203">
        <v>0</v>
      </c>
      <c r="R203" s="4">
        <v>0</v>
      </c>
      <c r="T203" s="5">
        <v>51.862499999999997</v>
      </c>
      <c r="W203" s="4">
        <v>54</v>
      </c>
      <c r="X203" s="4" t="str">
        <f t="shared" si="38"/>
        <v>Adult</v>
      </c>
      <c r="Y203" s="4" t="s">
        <v>230</v>
      </c>
      <c r="AA203" s="4" t="s">
        <v>230</v>
      </c>
      <c r="AB203" s="4" t="str">
        <f t="shared" si="39"/>
        <v>E</v>
      </c>
      <c r="AC203" s="4" t="str">
        <f t="shared" si="40"/>
        <v>E</v>
      </c>
      <c r="AD203" s="4" t="s">
        <v>457</v>
      </c>
      <c r="AG203" s="4" t="str">
        <f t="shared" si="41"/>
        <v>Not Applicable</v>
      </c>
      <c r="AH203" s="4">
        <v>175</v>
      </c>
      <c r="AK203" s="4">
        <v>175</v>
      </c>
      <c r="AL203" s="4" t="str">
        <f t="shared" si="42"/>
        <v>Found</v>
      </c>
      <c r="AN203" s="6">
        <v>51.862499999999997</v>
      </c>
      <c r="AO203" s="4" t="str">
        <f t="shared" si="43"/>
        <v>High</v>
      </c>
    </row>
    <row r="204" spans="1:41">
      <c r="A204">
        <v>1</v>
      </c>
      <c r="B204" t="str">
        <f t="shared" si="33"/>
        <v>First Class</v>
      </c>
      <c r="C204">
        <v>1</v>
      </c>
      <c r="E204" t="str">
        <f t="shared" si="34"/>
        <v>Survived</v>
      </c>
      <c r="F204" t="s">
        <v>1132</v>
      </c>
      <c r="G204" t="s">
        <v>848</v>
      </c>
      <c r="H204" t="s">
        <v>878</v>
      </c>
      <c r="I204" t="str">
        <f t="shared" si="35"/>
        <v>Mr. McGough James</v>
      </c>
      <c r="J204" t="s">
        <v>20</v>
      </c>
      <c r="K204" t="str">
        <f t="shared" si="36"/>
        <v>Male</v>
      </c>
      <c r="L204">
        <v>36</v>
      </c>
      <c r="O204">
        <f t="shared" si="37"/>
        <v>36</v>
      </c>
      <c r="P204">
        <v>0</v>
      </c>
      <c r="R204" s="4">
        <v>0</v>
      </c>
      <c r="T204" s="5">
        <v>26.287500000000001</v>
      </c>
      <c r="W204" s="4">
        <v>36</v>
      </c>
      <c r="X204" s="4" t="str">
        <f t="shared" si="38"/>
        <v>Adult</v>
      </c>
      <c r="Y204" s="4" t="s">
        <v>185</v>
      </c>
      <c r="AA204" s="4" t="s">
        <v>185</v>
      </c>
      <c r="AB204" s="4" t="str">
        <f t="shared" si="39"/>
        <v>E</v>
      </c>
      <c r="AC204" s="4" t="str">
        <f t="shared" si="40"/>
        <v>E</v>
      </c>
      <c r="AD204" s="4" t="s">
        <v>457</v>
      </c>
      <c r="AF204" s="4">
        <v>7</v>
      </c>
      <c r="AG204" s="4">
        <f t="shared" si="41"/>
        <v>7</v>
      </c>
      <c r="AK204" s="4" t="s">
        <v>3573</v>
      </c>
      <c r="AL204" s="4" t="str">
        <f t="shared" si="42"/>
        <v>Found</v>
      </c>
      <c r="AN204" s="6">
        <v>26.287500000000001</v>
      </c>
      <c r="AO204" s="4" t="str">
        <f t="shared" si="43"/>
        <v>Mid</v>
      </c>
    </row>
    <row r="205" spans="1:41">
      <c r="A205">
        <v>1</v>
      </c>
      <c r="B205" t="str">
        <f t="shared" si="33"/>
        <v>First Class</v>
      </c>
      <c r="C205">
        <v>0</v>
      </c>
      <c r="E205" t="str">
        <f t="shared" si="34"/>
        <v>Died</v>
      </c>
      <c r="F205" t="s">
        <v>1133</v>
      </c>
      <c r="G205" t="s">
        <v>848</v>
      </c>
      <c r="H205" t="s">
        <v>1134</v>
      </c>
      <c r="I205" t="str">
        <f t="shared" si="35"/>
        <v>Mr. Meyer Edgar</v>
      </c>
      <c r="J205" t="s">
        <v>20</v>
      </c>
      <c r="K205" t="str">
        <f t="shared" si="36"/>
        <v>Male</v>
      </c>
      <c r="L205">
        <v>28</v>
      </c>
      <c r="O205">
        <f t="shared" si="37"/>
        <v>28</v>
      </c>
      <c r="P205">
        <v>1</v>
      </c>
      <c r="R205" s="4">
        <v>0</v>
      </c>
      <c r="T205" s="5">
        <v>82.1708</v>
      </c>
      <c r="W205" s="4">
        <v>28</v>
      </c>
      <c r="X205" s="4" t="str">
        <f t="shared" si="38"/>
        <v>Young Adult</v>
      </c>
      <c r="Y205" s="4" t="s">
        <v>3561</v>
      </c>
      <c r="AB205" s="4" t="str">
        <f t="shared" si="39"/>
        <v/>
      </c>
      <c r="AC205" s="4" t="str">
        <f t="shared" si="40"/>
        <v>Unknown</v>
      </c>
      <c r="AD205" s="4" t="s">
        <v>3566</v>
      </c>
      <c r="AG205" s="4" t="str">
        <f t="shared" si="41"/>
        <v>Not Applicable</v>
      </c>
      <c r="AK205" s="4" t="s">
        <v>3573</v>
      </c>
      <c r="AL205" s="4" t="str">
        <f t="shared" si="42"/>
        <v>Found</v>
      </c>
      <c r="AN205" s="6">
        <v>82.1708</v>
      </c>
      <c r="AO205" s="4" t="str">
        <f t="shared" si="43"/>
        <v>High</v>
      </c>
    </row>
    <row r="206" spans="1:41">
      <c r="A206">
        <v>1</v>
      </c>
      <c r="B206" t="str">
        <f t="shared" si="33"/>
        <v>First Class</v>
      </c>
      <c r="C206">
        <v>1</v>
      </c>
      <c r="E206" t="str">
        <f t="shared" si="34"/>
        <v>Survived</v>
      </c>
      <c r="F206" t="s">
        <v>1133</v>
      </c>
      <c r="G206" t="s">
        <v>849</v>
      </c>
      <c r="H206" t="s">
        <v>1134</v>
      </c>
      <c r="I206" t="str">
        <f t="shared" si="35"/>
        <v>Mrs. Meyer Edgar</v>
      </c>
      <c r="J206" t="s">
        <v>47</v>
      </c>
      <c r="K206" t="str">
        <f t="shared" si="36"/>
        <v>Female</v>
      </c>
      <c r="L206">
        <v>28</v>
      </c>
      <c r="O206">
        <f t="shared" si="37"/>
        <v>28</v>
      </c>
      <c r="P206">
        <v>1</v>
      </c>
      <c r="R206" s="4">
        <v>0</v>
      </c>
      <c r="T206" s="5">
        <v>82.1708</v>
      </c>
      <c r="W206" s="4">
        <v>28</v>
      </c>
      <c r="X206" s="4" t="str">
        <f t="shared" si="38"/>
        <v>Young Adult</v>
      </c>
      <c r="Y206" s="4" t="s">
        <v>3561</v>
      </c>
      <c r="AB206" s="4" t="str">
        <f t="shared" si="39"/>
        <v/>
      </c>
      <c r="AC206" s="4" t="str">
        <f t="shared" si="40"/>
        <v>Unknown</v>
      </c>
      <c r="AD206" s="4" t="s">
        <v>3566</v>
      </c>
      <c r="AF206" s="4">
        <v>6</v>
      </c>
      <c r="AG206" s="4">
        <f t="shared" si="41"/>
        <v>6</v>
      </c>
      <c r="AK206" s="4" t="s">
        <v>3573</v>
      </c>
      <c r="AL206" s="4" t="str">
        <f t="shared" si="42"/>
        <v>Found</v>
      </c>
      <c r="AN206" s="6">
        <v>82.1708</v>
      </c>
      <c r="AO206" s="4" t="str">
        <f t="shared" si="43"/>
        <v>High</v>
      </c>
    </row>
    <row r="207" spans="1:41">
      <c r="A207">
        <v>1</v>
      </c>
      <c r="B207" t="str">
        <f t="shared" si="33"/>
        <v>First Class</v>
      </c>
      <c r="C207">
        <v>0</v>
      </c>
      <c r="E207" t="str">
        <f t="shared" si="34"/>
        <v>Died</v>
      </c>
      <c r="F207" t="s">
        <v>1135</v>
      </c>
      <c r="G207" t="s">
        <v>848</v>
      </c>
      <c r="H207" t="s">
        <v>1129</v>
      </c>
      <c r="I207" t="str">
        <f t="shared" si="35"/>
        <v>Mr. Millet Francis</v>
      </c>
      <c r="J207" t="s">
        <v>20</v>
      </c>
      <c r="K207" t="str">
        <f t="shared" si="36"/>
        <v>Male</v>
      </c>
      <c r="L207">
        <v>65</v>
      </c>
      <c r="O207">
        <f t="shared" si="37"/>
        <v>65</v>
      </c>
      <c r="P207">
        <v>0</v>
      </c>
      <c r="R207" s="4">
        <v>0</v>
      </c>
      <c r="T207" s="5">
        <v>26.55</v>
      </c>
      <c r="W207" s="4">
        <v>65</v>
      </c>
      <c r="X207" s="4" t="str">
        <f t="shared" si="38"/>
        <v>Old Adult</v>
      </c>
      <c r="Y207" s="4" t="s">
        <v>283</v>
      </c>
      <c r="AA207" s="4" t="s">
        <v>283</v>
      </c>
      <c r="AB207" s="4" t="str">
        <f t="shared" si="39"/>
        <v>E</v>
      </c>
      <c r="AC207" s="4" t="str">
        <f t="shared" si="40"/>
        <v>E</v>
      </c>
      <c r="AD207" s="4" t="s">
        <v>457</v>
      </c>
      <c r="AG207" s="4" t="str">
        <f t="shared" si="41"/>
        <v>Not Applicable</v>
      </c>
      <c r="AH207" s="4">
        <v>249</v>
      </c>
      <c r="AK207" s="4">
        <v>249</v>
      </c>
      <c r="AL207" s="4" t="str">
        <f t="shared" si="42"/>
        <v>Found</v>
      </c>
      <c r="AN207" s="6">
        <v>26.55</v>
      </c>
      <c r="AO207" s="4" t="str">
        <f t="shared" si="43"/>
        <v>Mid</v>
      </c>
    </row>
    <row r="208" spans="1:41">
      <c r="A208">
        <v>1</v>
      </c>
      <c r="B208" t="str">
        <f t="shared" si="33"/>
        <v>First Class</v>
      </c>
      <c r="C208">
        <v>0</v>
      </c>
      <c r="E208" t="str">
        <f t="shared" si="34"/>
        <v>Died</v>
      </c>
      <c r="F208" t="s">
        <v>1137</v>
      </c>
      <c r="G208" t="s">
        <v>919</v>
      </c>
      <c r="H208" t="s">
        <v>924</v>
      </c>
      <c r="I208" t="str">
        <f t="shared" si="35"/>
        <v>Dr. Minahan William</v>
      </c>
      <c r="J208" t="s">
        <v>20</v>
      </c>
      <c r="K208" t="str">
        <f t="shared" si="36"/>
        <v>Male</v>
      </c>
      <c r="L208">
        <v>44</v>
      </c>
      <c r="O208">
        <f t="shared" si="37"/>
        <v>44</v>
      </c>
      <c r="P208">
        <v>2</v>
      </c>
      <c r="R208" s="4">
        <v>0</v>
      </c>
      <c r="T208" s="5">
        <v>90</v>
      </c>
      <c r="W208" s="4">
        <v>44</v>
      </c>
      <c r="X208" s="4" t="str">
        <f t="shared" si="38"/>
        <v>Adult</v>
      </c>
      <c r="Y208" s="4" t="s">
        <v>285</v>
      </c>
      <c r="AA208" s="4" t="s">
        <v>285</v>
      </c>
      <c r="AB208" s="4" t="str">
        <f t="shared" si="39"/>
        <v>C</v>
      </c>
      <c r="AC208" s="4" t="str">
        <f t="shared" si="40"/>
        <v>C</v>
      </c>
      <c r="AD208" s="4" t="s">
        <v>3567</v>
      </c>
      <c r="AG208" s="4" t="str">
        <f t="shared" si="41"/>
        <v>Not Applicable</v>
      </c>
      <c r="AH208" s="4">
        <v>230</v>
      </c>
      <c r="AK208" s="4">
        <v>230</v>
      </c>
      <c r="AL208" s="4" t="str">
        <f t="shared" si="42"/>
        <v>Found</v>
      </c>
      <c r="AN208" s="6">
        <v>90</v>
      </c>
      <c r="AO208" s="4" t="str">
        <f t="shared" si="43"/>
        <v>High</v>
      </c>
    </row>
    <row r="209" spans="1:41">
      <c r="A209">
        <v>1</v>
      </c>
      <c r="B209" t="str">
        <f t="shared" si="33"/>
        <v>First Class</v>
      </c>
      <c r="C209">
        <v>1</v>
      </c>
      <c r="E209" t="str">
        <f t="shared" si="34"/>
        <v>Survived</v>
      </c>
      <c r="F209" t="s">
        <v>1137</v>
      </c>
      <c r="G209" t="s">
        <v>842</v>
      </c>
      <c r="H209" t="s">
        <v>1138</v>
      </c>
      <c r="I209" t="str">
        <f t="shared" si="35"/>
        <v>Miss. Minahan Daisy</v>
      </c>
      <c r="J209" t="s">
        <v>47</v>
      </c>
      <c r="K209" t="str">
        <f t="shared" si="36"/>
        <v>Female</v>
      </c>
      <c r="L209">
        <v>33</v>
      </c>
      <c r="O209">
        <f t="shared" si="37"/>
        <v>33</v>
      </c>
      <c r="P209">
        <v>1</v>
      </c>
      <c r="R209" s="4">
        <v>0</v>
      </c>
      <c r="T209" s="5">
        <v>90</v>
      </c>
      <c r="W209" s="4">
        <v>33</v>
      </c>
      <c r="X209" s="4" t="str">
        <f t="shared" si="38"/>
        <v>Adult</v>
      </c>
      <c r="Y209" s="4" t="s">
        <v>285</v>
      </c>
      <c r="AA209" s="4" t="s">
        <v>285</v>
      </c>
      <c r="AB209" s="4" t="str">
        <f t="shared" si="39"/>
        <v>C</v>
      </c>
      <c r="AC209" s="4" t="str">
        <f t="shared" si="40"/>
        <v>C</v>
      </c>
      <c r="AD209" s="4" t="s">
        <v>3567</v>
      </c>
      <c r="AF209" s="4">
        <v>14</v>
      </c>
      <c r="AG209" s="4">
        <f t="shared" si="41"/>
        <v>14</v>
      </c>
      <c r="AK209" s="4" t="s">
        <v>3573</v>
      </c>
      <c r="AL209" s="4" t="str">
        <f t="shared" si="42"/>
        <v>Found</v>
      </c>
      <c r="AN209" s="6">
        <v>90</v>
      </c>
      <c r="AO209" s="4" t="str">
        <f t="shared" si="43"/>
        <v>High</v>
      </c>
    </row>
    <row r="210" spans="1:41">
      <c r="A210">
        <v>1</v>
      </c>
      <c r="B210" t="str">
        <f t="shared" si="33"/>
        <v>First Class</v>
      </c>
      <c r="C210">
        <v>1</v>
      </c>
      <c r="E210" t="str">
        <f t="shared" si="34"/>
        <v>Survived</v>
      </c>
      <c r="F210" t="s">
        <v>1137</v>
      </c>
      <c r="G210" t="s">
        <v>849</v>
      </c>
      <c r="H210" t="s">
        <v>924</v>
      </c>
      <c r="I210" t="str">
        <f t="shared" si="35"/>
        <v>Mrs. Minahan William</v>
      </c>
      <c r="J210" t="s">
        <v>47</v>
      </c>
      <c r="K210" t="str">
        <f t="shared" si="36"/>
        <v>Female</v>
      </c>
      <c r="L210">
        <v>37</v>
      </c>
      <c r="O210">
        <f t="shared" si="37"/>
        <v>37</v>
      </c>
      <c r="P210">
        <v>1</v>
      </c>
      <c r="R210" s="4">
        <v>0</v>
      </c>
      <c r="T210" s="5">
        <v>90</v>
      </c>
      <c r="W210" s="4">
        <v>37</v>
      </c>
      <c r="X210" s="4" t="str">
        <f t="shared" si="38"/>
        <v>Adult</v>
      </c>
      <c r="Y210" s="4" t="s">
        <v>285</v>
      </c>
      <c r="AA210" s="4" t="s">
        <v>285</v>
      </c>
      <c r="AB210" s="4" t="str">
        <f t="shared" si="39"/>
        <v>C</v>
      </c>
      <c r="AC210" s="4" t="str">
        <f t="shared" si="40"/>
        <v>C</v>
      </c>
      <c r="AD210" s="4" t="s">
        <v>3567</v>
      </c>
      <c r="AF210" s="4">
        <v>14</v>
      </c>
      <c r="AG210" s="4">
        <f t="shared" si="41"/>
        <v>14</v>
      </c>
      <c r="AK210" s="4" t="s">
        <v>3573</v>
      </c>
      <c r="AL210" s="4" t="str">
        <f t="shared" si="42"/>
        <v>Found</v>
      </c>
      <c r="AN210" s="6">
        <v>90</v>
      </c>
      <c r="AO210" s="4" t="str">
        <f t="shared" si="43"/>
        <v>High</v>
      </c>
    </row>
    <row r="211" spans="1:41">
      <c r="A211">
        <v>1</v>
      </c>
      <c r="B211" t="str">
        <f t="shared" si="33"/>
        <v>First Class</v>
      </c>
      <c r="C211">
        <v>1</v>
      </c>
      <c r="E211" t="str">
        <f t="shared" si="34"/>
        <v>Survived</v>
      </c>
      <c r="F211" t="s">
        <v>1139</v>
      </c>
      <c r="G211" t="s">
        <v>848</v>
      </c>
      <c r="H211" t="s">
        <v>1140</v>
      </c>
      <c r="I211" t="str">
        <f t="shared" si="35"/>
        <v>Mr. Mock Philipp</v>
      </c>
      <c r="J211" t="s">
        <v>20</v>
      </c>
      <c r="K211" t="str">
        <f t="shared" si="36"/>
        <v>Male</v>
      </c>
      <c r="L211">
        <v>30</v>
      </c>
      <c r="O211">
        <f t="shared" si="37"/>
        <v>30</v>
      </c>
      <c r="P211">
        <v>1</v>
      </c>
      <c r="R211" s="4">
        <v>0</v>
      </c>
      <c r="T211" s="5">
        <v>57.75</v>
      </c>
      <c r="W211" s="4">
        <v>30</v>
      </c>
      <c r="X211" s="4" t="str">
        <f t="shared" si="38"/>
        <v>Adult</v>
      </c>
      <c r="Y211" s="4" t="s">
        <v>285</v>
      </c>
      <c r="AA211" s="4" t="s">
        <v>285</v>
      </c>
      <c r="AB211" s="4" t="str">
        <f t="shared" si="39"/>
        <v>C</v>
      </c>
      <c r="AC211" s="4" t="str">
        <f t="shared" si="40"/>
        <v>C</v>
      </c>
      <c r="AD211" s="4" t="s">
        <v>3566</v>
      </c>
      <c r="AF211" s="4">
        <v>11</v>
      </c>
      <c r="AG211" s="4">
        <f t="shared" si="41"/>
        <v>11</v>
      </c>
      <c r="AK211" s="4" t="s">
        <v>3573</v>
      </c>
      <c r="AL211" s="4" t="str">
        <f t="shared" si="42"/>
        <v>Found</v>
      </c>
      <c r="AN211" s="6">
        <v>57.75</v>
      </c>
      <c r="AO211" s="4" t="str">
        <f t="shared" si="43"/>
        <v>High</v>
      </c>
    </row>
    <row r="212" spans="1:41">
      <c r="A212">
        <v>1</v>
      </c>
      <c r="B212" t="str">
        <f t="shared" si="33"/>
        <v>First Class</v>
      </c>
      <c r="C212">
        <v>0</v>
      </c>
      <c r="E212" t="str">
        <f t="shared" si="34"/>
        <v>Died</v>
      </c>
      <c r="F212" t="s">
        <v>1141</v>
      </c>
      <c r="G212" t="s">
        <v>848</v>
      </c>
      <c r="H212" t="s">
        <v>852</v>
      </c>
      <c r="I212" t="str">
        <f t="shared" si="35"/>
        <v>Mr. Molson Harry</v>
      </c>
      <c r="J212" t="s">
        <v>20</v>
      </c>
      <c r="K212" t="str">
        <f t="shared" si="36"/>
        <v>Male</v>
      </c>
      <c r="L212">
        <v>55</v>
      </c>
      <c r="O212">
        <f t="shared" si="37"/>
        <v>55</v>
      </c>
      <c r="P212">
        <v>0</v>
      </c>
      <c r="R212" s="4">
        <v>0</v>
      </c>
      <c r="T212" s="5">
        <v>30.5</v>
      </c>
      <c r="W212" s="4">
        <v>55</v>
      </c>
      <c r="X212" s="4" t="str">
        <f t="shared" si="38"/>
        <v>Adult</v>
      </c>
      <c r="Y212" s="4" t="s">
        <v>288</v>
      </c>
      <c r="AA212" s="4" t="s">
        <v>288</v>
      </c>
      <c r="AB212" s="4" t="str">
        <f t="shared" si="39"/>
        <v>C</v>
      </c>
      <c r="AC212" s="4" t="str">
        <f t="shared" si="40"/>
        <v>C</v>
      </c>
      <c r="AD212" s="4" t="s">
        <v>457</v>
      </c>
      <c r="AG212" s="4" t="str">
        <f t="shared" si="41"/>
        <v>Not Applicable</v>
      </c>
      <c r="AK212" s="4" t="s">
        <v>3573</v>
      </c>
      <c r="AL212" s="4" t="str">
        <f t="shared" si="42"/>
        <v>Found</v>
      </c>
      <c r="AN212" s="6">
        <v>30.5</v>
      </c>
      <c r="AO212" s="4" t="str">
        <f t="shared" si="43"/>
        <v>Mid</v>
      </c>
    </row>
    <row r="213" spans="1:41">
      <c r="A213">
        <v>1</v>
      </c>
      <c r="B213" t="str">
        <f t="shared" si="33"/>
        <v>First Class</v>
      </c>
      <c r="C213">
        <v>0</v>
      </c>
      <c r="E213" t="str">
        <f t="shared" si="34"/>
        <v>Died</v>
      </c>
      <c r="F213" t="s">
        <v>1142</v>
      </c>
      <c r="G213" t="s">
        <v>848</v>
      </c>
      <c r="H213" t="s">
        <v>1143</v>
      </c>
      <c r="I213" t="str">
        <f t="shared" si="35"/>
        <v>Mr. Moore Clarence</v>
      </c>
      <c r="J213" t="s">
        <v>20</v>
      </c>
      <c r="K213" t="str">
        <f t="shared" si="36"/>
        <v>Male</v>
      </c>
      <c r="L213">
        <v>47</v>
      </c>
      <c r="O213">
        <f t="shared" si="37"/>
        <v>47</v>
      </c>
      <c r="P213">
        <v>0</v>
      </c>
      <c r="R213" s="4">
        <v>0</v>
      </c>
      <c r="T213" s="5">
        <v>42.4</v>
      </c>
      <c r="W213" s="4">
        <v>47</v>
      </c>
      <c r="X213" s="4" t="str">
        <f t="shared" si="38"/>
        <v>Adult</v>
      </c>
      <c r="Y213" s="4" t="s">
        <v>3561</v>
      </c>
      <c r="AB213" s="4" t="str">
        <f t="shared" si="39"/>
        <v/>
      </c>
      <c r="AC213" s="4" t="str">
        <f t="shared" si="40"/>
        <v>Unknown</v>
      </c>
      <c r="AD213" s="4" t="s">
        <v>457</v>
      </c>
      <c r="AG213" s="4" t="str">
        <f t="shared" si="41"/>
        <v>Not Applicable</v>
      </c>
      <c r="AK213" s="4" t="s">
        <v>3573</v>
      </c>
      <c r="AL213" s="4" t="str">
        <f t="shared" si="42"/>
        <v>Found</v>
      </c>
      <c r="AN213" s="6">
        <v>42.4</v>
      </c>
      <c r="AO213" s="4" t="str">
        <f t="shared" si="43"/>
        <v>Mid</v>
      </c>
    </row>
    <row r="214" spans="1:41">
      <c r="A214">
        <v>1</v>
      </c>
      <c r="B214" t="str">
        <f t="shared" si="33"/>
        <v>First Class</v>
      </c>
      <c r="C214">
        <v>0</v>
      </c>
      <c r="E214" t="str">
        <f t="shared" si="34"/>
        <v>Died</v>
      </c>
      <c r="F214" t="s">
        <v>1144</v>
      </c>
      <c r="G214" t="s">
        <v>848</v>
      </c>
      <c r="H214" t="s">
        <v>1000</v>
      </c>
      <c r="I214" t="str">
        <f t="shared" si="35"/>
        <v>Mr. Natsch Charles</v>
      </c>
      <c r="J214" t="s">
        <v>20</v>
      </c>
      <c r="K214" t="str">
        <f t="shared" si="36"/>
        <v>Male</v>
      </c>
      <c r="L214">
        <v>37</v>
      </c>
      <c r="O214">
        <f t="shared" si="37"/>
        <v>37</v>
      </c>
      <c r="P214">
        <v>0</v>
      </c>
      <c r="R214" s="4">
        <v>1</v>
      </c>
      <c r="T214" s="5">
        <v>29.7</v>
      </c>
      <c r="W214" s="4">
        <v>37</v>
      </c>
      <c r="X214" s="4" t="str">
        <f t="shared" si="38"/>
        <v>Adult</v>
      </c>
      <c r="Y214" s="4" t="s">
        <v>290</v>
      </c>
      <c r="AA214" s="4" t="s">
        <v>290</v>
      </c>
      <c r="AB214" s="4" t="str">
        <f t="shared" si="39"/>
        <v>C</v>
      </c>
      <c r="AC214" s="4" t="str">
        <f t="shared" si="40"/>
        <v>C</v>
      </c>
      <c r="AD214" s="4" t="s">
        <v>3566</v>
      </c>
      <c r="AG214" s="4" t="str">
        <f t="shared" si="41"/>
        <v>Not Applicable</v>
      </c>
      <c r="AK214" s="4" t="s">
        <v>3573</v>
      </c>
      <c r="AL214" s="4" t="str">
        <f t="shared" si="42"/>
        <v>Found</v>
      </c>
      <c r="AN214" s="6">
        <v>29.7</v>
      </c>
      <c r="AO214" s="4" t="str">
        <f t="shared" si="43"/>
        <v>Mid</v>
      </c>
    </row>
    <row r="215" spans="1:41">
      <c r="A215">
        <v>1</v>
      </c>
      <c r="B215" t="str">
        <f t="shared" si="33"/>
        <v>First Class</v>
      </c>
      <c r="C215">
        <v>1</v>
      </c>
      <c r="E215" t="str">
        <f t="shared" si="34"/>
        <v>Survived</v>
      </c>
      <c r="F215" t="s">
        <v>1145</v>
      </c>
      <c r="G215" t="s">
        <v>842</v>
      </c>
      <c r="H215" t="s">
        <v>1146</v>
      </c>
      <c r="I215" t="str">
        <f t="shared" si="35"/>
        <v>Miss. Newell Madeleine</v>
      </c>
      <c r="J215" t="s">
        <v>47</v>
      </c>
      <c r="K215" t="str">
        <f t="shared" si="36"/>
        <v>Female</v>
      </c>
      <c r="L215">
        <v>31</v>
      </c>
      <c r="O215">
        <f t="shared" si="37"/>
        <v>31</v>
      </c>
      <c r="P215">
        <v>1</v>
      </c>
      <c r="R215" s="4">
        <v>0</v>
      </c>
      <c r="T215" s="5">
        <v>113.27500000000001</v>
      </c>
      <c r="W215" s="4">
        <v>31</v>
      </c>
      <c r="X215" s="4" t="str">
        <f t="shared" si="38"/>
        <v>Adult</v>
      </c>
      <c r="Y215" s="4" t="s">
        <v>291</v>
      </c>
      <c r="AA215" s="4" t="s">
        <v>291</v>
      </c>
      <c r="AB215" s="4" t="str">
        <f t="shared" si="39"/>
        <v>D</v>
      </c>
      <c r="AC215" s="4" t="str">
        <f t="shared" si="40"/>
        <v>D</v>
      </c>
      <c r="AD215" s="4" t="s">
        <v>3566</v>
      </c>
      <c r="AF215" s="4">
        <v>6</v>
      </c>
      <c r="AG215" s="4">
        <f t="shared" si="41"/>
        <v>6</v>
      </c>
      <c r="AK215" s="4" t="s">
        <v>3573</v>
      </c>
      <c r="AL215" s="4" t="str">
        <f t="shared" si="42"/>
        <v>Found</v>
      </c>
      <c r="AN215" s="6">
        <v>113.27500000000001</v>
      </c>
      <c r="AO215" s="4" t="str">
        <f t="shared" si="43"/>
        <v>High</v>
      </c>
    </row>
    <row r="216" spans="1:41">
      <c r="A216">
        <v>1</v>
      </c>
      <c r="B216" t="str">
        <f t="shared" si="33"/>
        <v>First Class</v>
      </c>
      <c r="C216">
        <v>1</v>
      </c>
      <c r="E216" t="str">
        <f t="shared" si="34"/>
        <v>Survived</v>
      </c>
      <c r="F216" t="s">
        <v>1145</v>
      </c>
      <c r="G216" t="s">
        <v>842</v>
      </c>
      <c r="H216" t="s">
        <v>1147</v>
      </c>
      <c r="I216" t="str">
        <f t="shared" si="35"/>
        <v>Miss. Newell Marjorie</v>
      </c>
      <c r="J216" t="s">
        <v>47</v>
      </c>
      <c r="K216" t="str">
        <f t="shared" si="36"/>
        <v>Female</v>
      </c>
      <c r="L216">
        <v>23</v>
      </c>
      <c r="O216">
        <f t="shared" si="37"/>
        <v>23</v>
      </c>
      <c r="P216">
        <v>1</v>
      </c>
      <c r="R216" s="4">
        <v>0</v>
      </c>
      <c r="T216" s="5">
        <v>113.27500000000001</v>
      </c>
      <c r="W216" s="4">
        <v>23</v>
      </c>
      <c r="X216" s="4" t="str">
        <f t="shared" si="38"/>
        <v>Young Adult</v>
      </c>
      <c r="Y216" s="4" t="s">
        <v>291</v>
      </c>
      <c r="AA216" s="4" t="s">
        <v>291</v>
      </c>
      <c r="AB216" s="4" t="str">
        <f t="shared" si="39"/>
        <v>D</v>
      </c>
      <c r="AC216" s="4" t="str">
        <f t="shared" si="40"/>
        <v>D</v>
      </c>
      <c r="AD216" s="4" t="s">
        <v>3566</v>
      </c>
      <c r="AF216" s="4">
        <v>6</v>
      </c>
      <c r="AG216" s="4">
        <f t="shared" si="41"/>
        <v>6</v>
      </c>
      <c r="AK216" s="4" t="s">
        <v>3573</v>
      </c>
      <c r="AL216" s="4" t="str">
        <f t="shared" si="42"/>
        <v>Found</v>
      </c>
      <c r="AN216" s="6">
        <v>113.27500000000001</v>
      </c>
      <c r="AO216" s="4" t="str">
        <f t="shared" si="43"/>
        <v>High</v>
      </c>
    </row>
    <row r="217" spans="1:41">
      <c r="A217">
        <v>1</v>
      </c>
      <c r="B217" t="str">
        <f t="shared" si="33"/>
        <v>First Class</v>
      </c>
      <c r="C217">
        <v>0</v>
      </c>
      <c r="E217" t="str">
        <f t="shared" si="34"/>
        <v>Died</v>
      </c>
      <c r="F217" t="s">
        <v>1145</v>
      </c>
      <c r="G217" t="s">
        <v>848</v>
      </c>
      <c r="H217" t="s">
        <v>913</v>
      </c>
      <c r="I217" t="str">
        <f t="shared" si="35"/>
        <v>Mr. Newell Arthur</v>
      </c>
      <c r="J217" t="s">
        <v>20</v>
      </c>
      <c r="K217" t="str">
        <f t="shared" si="36"/>
        <v>Male</v>
      </c>
      <c r="L217">
        <v>58</v>
      </c>
      <c r="O217">
        <f t="shared" si="37"/>
        <v>58</v>
      </c>
      <c r="P217">
        <v>0</v>
      </c>
      <c r="R217" s="4">
        <v>2</v>
      </c>
      <c r="T217" s="5">
        <v>113.27500000000001</v>
      </c>
      <c r="W217" s="4">
        <v>58</v>
      </c>
      <c r="X217" s="4" t="str">
        <f t="shared" si="38"/>
        <v>Adult</v>
      </c>
      <c r="Y217" s="4" t="s">
        <v>293</v>
      </c>
      <c r="AA217" s="4" t="s">
        <v>293</v>
      </c>
      <c r="AB217" s="4" t="str">
        <f t="shared" si="39"/>
        <v>D</v>
      </c>
      <c r="AC217" s="4" t="str">
        <f t="shared" si="40"/>
        <v>D</v>
      </c>
      <c r="AD217" s="4" t="s">
        <v>3566</v>
      </c>
      <c r="AG217" s="4" t="str">
        <f t="shared" si="41"/>
        <v>Not Applicable</v>
      </c>
      <c r="AH217" s="4">
        <v>122</v>
      </c>
      <c r="AK217" s="4">
        <v>122</v>
      </c>
      <c r="AL217" s="4" t="str">
        <f t="shared" si="42"/>
        <v>Found</v>
      </c>
      <c r="AN217" s="6">
        <v>113.27500000000001</v>
      </c>
      <c r="AO217" s="4" t="str">
        <f t="shared" si="43"/>
        <v>High</v>
      </c>
    </row>
    <row r="218" spans="1:41">
      <c r="A218">
        <v>1</v>
      </c>
      <c r="B218" t="str">
        <f t="shared" si="33"/>
        <v>First Class</v>
      </c>
      <c r="C218">
        <v>1</v>
      </c>
      <c r="E218" t="str">
        <f t="shared" si="34"/>
        <v>Survived</v>
      </c>
      <c r="F218" t="s">
        <v>1148</v>
      </c>
      <c r="G218" t="s">
        <v>842</v>
      </c>
      <c r="H218" t="s">
        <v>847</v>
      </c>
      <c r="I218" t="str">
        <f t="shared" si="35"/>
        <v>Miss. Newsom Helen</v>
      </c>
      <c r="J218" t="s">
        <v>47</v>
      </c>
      <c r="K218" t="str">
        <f t="shared" si="36"/>
        <v>Female</v>
      </c>
      <c r="L218">
        <v>19</v>
      </c>
      <c r="O218">
        <f t="shared" si="37"/>
        <v>19</v>
      </c>
      <c r="P218">
        <v>0</v>
      </c>
      <c r="R218" s="4">
        <v>2</v>
      </c>
      <c r="T218" s="5">
        <v>26.283300000000001</v>
      </c>
      <c r="W218" s="4">
        <v>19</v>
      </c>
      <c r="X218" s="4" t="str">
        <f t="shared" si="38"/>
        <v>Young Adult</v>
      </c>
      <c r="Y218" s="4" t="s">
        <v>294</v>
      </c>
      <c r="AA218" s="4" t="s">
        <v>294</v>
      </c>
      <c r="AB218" s="4" t="str">
        <f t="shared" si="39"/>
        <v>D</v>
      </c>
      <c r="AC218" s="4" t="str">
        <f t="shared" si="40"/>
        <v>D</v>
      </c>
      <c r="AD218" s="4" t="s">
        <v>457</v>
      </c>
      <c r="AF218" s="4">
        <v>5</v>
      </c>
      <c r="AG218" s="4">
        <f t="shared" si="41"/>
        <v>5</v>
      </c>
      <c r="AK218" s="4" t="s">
        <v>3573</v>
      </c>
      <c r="AL218" s="4" t="str">
        <f t="shared" si="42"/>
        <v>Found</v>
      </c>
      <c r="AN218" s="6">
        <v>26.283300000000001</v>
      </c>
      <c r="AO218" s="4" t="str">
        <f t="shared" si="43"/>
        <v>Mid</v>
      </c>
    </row>
    <row r="219" spans="1:41">
      <c r="A219">
        <v>1</v>
      </c>
      <c r="B219" t="str">
        <f t="shared" si="33"/>
        <v>First Class</v>
      </c>
      <c r="C219">
        <v>0</v>
      </c>
      <c r="E219" t="str">
        <f t="shared" si="34"/>
        <v>Died</v>
      </c>
      <c r="F219" t="s">
        <v>1149</v>
      </c>
      <c r="G219" t="s">
        <v>848</v>
      </c>
      <c r="H219" t="s">
        <v>913</v>
      </c>
      <c r="I219" t="str">
        <f t="shared" si="35"/>
        <v>Mr. Nicholson Arthur</v>
      </c>
      <c r="J219" t="s">
        <v>20</v>
      </c>
      <c r="K219" t="str">
        <f t="shared" si="36"/>
        <v>Male</v>
      </c>
      <c r="L219">
        <v>64</v>
      </c>
      <c r="O219">
        <f t="shared" si="37"/>
        <v>64</v>
      </c>
      <c r="P219">
        <v>0</v>
      </c>
      <c r="R219" s="4">
        <v>0</v>
      </c>
      <c r="T219" s="5">
        <v>26</v>
      </c>
      <c r="W219" s="4">
        <v>64</v>
      </c>
      <c r="X219" s="4" t="str">
        <f t="shared" si="38"/>
        <v>Old Adult</v>
      </c>
      <c r="Y219" s="4" t="s">
        <v>3561</v>
      </c>
      <c r="AB219" s="4" t="str">
        <f t="shared" si="39"/>
        <v/>
      </c>
      <c r="AC219" s="4" t="str">
        <f t="shared" si="40"/>
        <v>Unknown</v>
      </c>
      <c r="AD219" s="4" t="s">
        <v>457</v>
      </c>
      <c r="AG219" s="4" t="str">
        <f t="shared" si="41"/>
        <v>Not Applicable</v>
      </c>
      <c r="AH219" s="4">
        <v>263</v>
      </c>
      <c r="AK219" s="4">
        <v>263</v>
      </c>
      <c r="AL219" s="4" t="str">
        <f t="shared" si="42"/>
        <v>Found</v>
      </c>
      <c r="AN219" s="6">
        <v>26</v>
      </c>
      <c r="AO219" s="4" t="str">
        <f t="shared" si="43"/>
        <v>Mid</v>
      </c>
    </row>
    <row r="220" spans="1:41">
      <c r="A220">
        <v>1</v>
      </c>
      <c r="B220" t="str">
        <f t="shared" si="33"/>
        <v>First Class</v>
      </c>
      <c r="C220">
        <v>1</v>
      </c>
      <c r="E220" t="str">
        <f t="shared" si="34"/>
        <v>Survived</v>
      </c>
      <c r="F220" t="s">
        <v>1150</v>
      </c>
      <c r="G220" t="s">
        <v>1151</v>
      </c>
      <c r="H220" t="s">
        <v>1152</v>
      </c>
      <c r="I220" t="str">
        <f t="shared" si="35"/>
        <v>y Oliva Ocana</v>
      </c>
      <c r="J220" t="s">
        <v>47</v>
      </c>
      <c r="K220" t="str">
        <f t="shared" si="36"/>
        <v>Female</v>
      </c>
      <c r="L220">
        <v>39</v>
      </c>
      <c r="O220">
        <f t="shared" si="37"/>
        <v>39</v>
      </c>
      <c r="P220">
        <v>0</v>
      </c>
      <c r="R220" s="4">
        <v>0</v>
      </c>
      <c r="T220" s="5">
        <v>108.9</v>
      </c>
      <c r="W220" s="4">
        <v>39</v>
      </c>
      <c r="X220" s="4" t="str">
        <f t="shared" si="38"/>
        <v>Adult</v>
      </c>
      <c r="Y220" s="4" t="s">
        <v>297</v>
      </c>
      <c r="AA220" s="4" t="s">
        <v>297</v>
      </c>
      <c r="AB220" s="4" t="str">
        <f t="shared" si="39"/>
        <v>C</v>
      </c>
      <c r="AC220" s="4" t="str">
        <f t="shared" si="40"/>
        <v>C</v>
      </c>
      <c r="AD220" s="4" t="s">
        <v>3566</v>
      </c>
      <c r="AF220" s="4">
        <v>8</v>
      </c>
      <c r="AG220" s="4">
        <f t="shared" si="41"/>
        <v>8</v>
      </c>
      <c r="AK220" s="4" t="s">
        <v>3573</v>
      </c>
      <c r="AL220" s="4" t="str">
        <f t="shared" si="42"/>
        <v>Found</v>
      </c>
      <c r="AN220" s="6">
        <v>108.9</v>
      </c>
      <c r="AO220" s="4" t="str">
        <f t="shared" si="43"/>
        <v>High</v>
      </c>
    </row>
    <row r="221" spans="1:41">
      <c r="A221">
        <v>1</v>
      </c>
      <c r="B221" t="str">
        <f t="shared" si="33"/>
        <v>First Class</v>
      </c>
      <c r="C221">
        <v>1</v>
      </c>
      <c r="E221" t="str">
        <f t="shared" si="34"/>
        <v>Survived</v>
      </c>
      <c r="F221" t="s">
        <v>1153</v>
      </c>
      <c r="G221" t="s">
        <v>848</v>
      </c>
      <c r="H221" t="s">
        <v>1015</v>
      </c>
      <c r="I221" t="str">
        <f t="shared" si="35"/>
        <v>Mr. Omont Alfred</v>
      </c>
      <c r="J221" t="s">
        <v>20</v>
      </c>
      <c r="K221" t="str">
        <f t="shared" si="36"/>
        <v>Male</v>
      </c>
      <c r="L221">
        <v>28</v>
      </c>
      <c r="O221">
        <f t="shared" si="37"/>
        <v>28</v>
      </c>
      <c r="P221">
        <v>0</v>
      </c>
      <c r="R221" s="4">
        <v>0</v>
      </c>
      <c r="T221" s="5">
        <v>25.741700000000002</v>
      </c>
      <c r="W221" s="4">
        <v>28</v>
      </c>
      <c r="X221" s="4" t="str">
        <f t="shared" si="38"/>
        <v>Young Adult</v>
      </c>
      <c r="Y221" s="4" t="s">
        <v>3561</v>
      </c>
      <c r="AB221" s="4" t="str">
        <f t="shared" si="39"/>
        <v/>
      </c>
      <c r="AC221" s="4" t="str">
        <f t="shared" si="40"/>
        <v>Unknown</v>
      </c>
      <c r="AD221" s="4" t="s">
        <v>3566</v>
      </c>
      <c r="AF221" s="4">
        <v>7</v>
      </c>
      <c r="AG221" s="4">
        <f t="shared" si="41"/>
        <v>7</v>
      </c>
      <c r="AK221" s="4" t="s">
        <v>3573</v>
      </c>
      <c r="AL221" s="4" t="str">
        <f t="shared" si="42"/>
        <v>Found</v>
      </c>
      <c r="AN221" s="6">
        <v>25.741700000000002</v>
      </c>
      <c r="AO221" s="4" t="str">
        <f t="shared" si="43"/>
        <v>Mid</v>
      </c>
    </row>
    <row r="222" spans="1:41">
      <c r="A222">
        <v>1</v>
      </c>
      <c r="B222" t="str">
        <f t="shared" si="33"/>
        <v>First Class</v>
      </c>
      <c r="C222">
        <v>1</v>
      </c>
      <c r="E222" t="str">
        <f t="shared" si="34"/>
        <v>Survived</v>
      </c>
      <c r="F222" t="s">
        <v>1154</v>
      </c>
      <c r="G222" t="s">
        <v>842</v>
      </c>
      <c r="H222" t="s">
        <v>1001</v>
      </c>
      <c r="I222" t="str">
        <f t="shared" si="35"/>
        <v>Miss. Ostby Helene</v>
      </c>
      <c r="J222" t="s">
        <v>47</v>
      </c>
      <c r="K222" t="str">
        <f t="shared" si="36"/>
        <v>Female</v>
      </c>
      <c r="L222">
        <v>22</v>
      </c>
      <c r="O222">
        <f t="shared" si="37"/>
        <v>22</v>
      </c>
      <c r="P222">
        <v>0</v>
      </c>
      <c r="R222" s="4">
        <v>1</v>
      </c>
      <c r="T222" s="5">
        <v>61.979199999999999</v>
      </c>
      <c r="W222" s="4">
        <v>22</v>
      </c>
      <c r="X222" s="4" t="str">
        <f t="shared" si="38"/>
        <v>Young Adult</v>
      </c>
      <c r="Y222" s="4" t="s">
        <v>299</v>
      </c>
      <c r="AA222" s="4" t="s">
        <v>299</v>
      </c>
      <c r="AB222" s="4" t="str">
        <f t="shared" si="39"/>
        <v>B</v>
      </c>
      <c r="AC222" s="4" t="str">
        <f t="shared" si="40"/>
        <v>B</v>
      </c>
      <c r="AD222" s="4" t="s">
        <v>3566</v>
      </c>
      <c r="AF222" s="4">
        <v>5</v>
      </c>
      <c r="AG222" s="4">
        <f t="shared" si="41"/>
        <v>5</v>
      </c>
      <c r="AK222" s="4" t="s">
        <v>3573</v>
      </c>
      <c r="AL222" s="4" t="str">
        <f t="shared" si="42"/>
        <v>Found</v>
      </c>
      <c r="AN222" s="6">
        <v>61.979199999999999</v>
      </c>
      <c r="AO222" s="4" t="str">
        <f t="shared" si="43"/>
        <v>High</v>
      </c>
    </row>
    <row r="223" spans="1:41">
      <c r="A223">
        <v>1</v>
      </c>
      <c r="B223" t="str">
        <f t="shared" si="33"/>
        <v>First Class</v>
      </c>
      <c r="C223">
        <v>0</v>
      </c>
      <c r="E223" t="str">
        <f t="shared" si="34"/>
        <v>Died</v>
      </c>
      <c r="F223" t="s">
        <v>1154</v>
      </c>
      <c r="G223" t="s">
        <v>848</v>
      </c>
      <c r="H223" t="s">
        <v>1155</v>
      </c>
      <c r="I223" t="str">
        <f t="shared" si="35"/>
        <v>Mr. Ostby Engelhart</v>
      </c>
      <c r="J223" t="s">
        <v>20</v>
      </c>
      <c r="K223" t="str">
        <f t="shared" si="36"/>
        <v>Male</v>
      </c>
      <c r="L223">
        <v>65</v>
      </c>
      <c r="O223">
        <f t="shared" si="37"/>
        <v>65</v>
      </c>
      <c r="P223">
        <v>0</v>
      </c>
      <c r="R223" s="4">
        <v>1</v>
      </c>
      <c r="T223" s="5">
        <v>61.979199999999999</v>
      </c>
      <c r="W223" s="4">
        <v>65</v>
      </c>
      <c r="X223" s="4" t="str">
        <f t="shared" si="38"/>
        <v>Old Adult</v>
      </c>
      <c r="Y223" s="4" t="s">
        <v>301</v>
      </c>
      <c r="AA223" s="4" t="s">
        <v>301</v>
      </c>
      <c r="AB223" s="4" t="str">
        <f t="shared" si="39"/>
        <v>B</v>
      </c>
      <c r="AC223" s="4" t="str">
        <f t="shared" si="40"/>
        <v>B</v>
      </c>
      <c r="AD223" s="4" t="s">
        <v>3566</v>
      </c>
      <c r="AG223" s="4" t="str">
        <f t="shared" si="41"/>
        <v>Not Applicable</v>
      </c>
      <c r="AH223" s="4">
        <v>234</v>
      </c>
      <c r="AK223" s="4">
        <v>234</v>
      </c>
      <c r="AL223" s="4" t="str">
        <f t="shared" si="42"/>
        <v>Found</v>
      </c>
      <c r="AN223" s="6">
        <v>61.979199999999999</v>
      </c>
      <c r="AO223" s="4" t="str">
        <f t="shared" si="43"/>
        <v>High</v>
      </c>
    </row>
    <row r="224" spans="1:41">
      <c r="A224">
        <v>1</v>
      </c>
      <c r="B224" t="str">
        <f t="shared" si="33"/>
        <v>First Class</v>
      </c>
      <c r="C224">
        <v>0</v>
      </c>
      <c r="E224" t="str">
        <f t="shared" si="34"/>
        <v>Died</v>
      </c>
      <c r="F224" t="s">
        <v>1156</v>
      </c>
      <c r="G224" t="s">
        <v>1151</v>
      </c>
      <c r="H224" t="s">
        <v>1157</v>
      </c>
      <c r="I224" t="str">
        <f t="shared" si="35"/>
        <v>y Ovies Rodriguez</v>
      </c>
      <c r="J224" t="s">
        <v>20</v>
      </c>
      <c r="K224" t="str">
        <f t="shared" si="36"/>
        <v>Male</v>
      </c>
      <c r="L224">
        <v>28.5</v>
      </c>
      <c r="O224">
        <f t="shared" si="37"/>
        <v>29</v>
      </c>
      <c r="P224">
        <v>0</v>
      </c>
      <c r="R224" s="4">
        <v>0</v>
      </c>
      <c r="T224" s="5">
        <v>27.720800000000001</v>
      </c>
      <c r="W224" s="4">
        <v>29</v>
      </c>
      <c r="X224" s="4" t="str">
        <f t="shared" si="38"/>
        <v>Young Adult</v>
      </c>
      <c r="Y224" s="4" t="s">
        <v>303</v>
      </c>
      <c r="AA224" s="4" t="s">
        <v>303</v>
      </c>
      <c r="AB224" s="4" t="str">
        <f t="shared" si="39"/>
        <v>D</v>
      </c>
      <c r="AC224" s="4" t="str">
        <f t="shared" si="40"/>
        <v>D</v>
      </c>
      <c r="AD224" s="4" t="s">
        <v>3566</v>
      </c>
      <c r="AG224" s="4" t="str">
        <f t="shared" si="41"/>
        <v>Not Applicable</v>
      </c>
      <c r="AH224" s="4">
        <v>189</v>
      </c>
      <c r="AK224" s="4">
        <v>189</v>
      </c>
      <c r="AL224" s="4" t="str">
        <f t="shared" si="42"/>
        <v>Found</v>
      </c>
      <c r="AN224" s="6">
        <v>27.720800000000001</v>
      </c>
      <c r="AO224" s="4" t="str">
        <f t="shared" si="43"/>
        <v>Mid</v>
      </c>
    </row>
    <row r="225" spans="1:41">
      <c r="A225">
        <v>1</v>
      </c>
      <c r="B225" t="str">
        <f t="shared" si="33"/>
        <v>First Class</v>
      </c>
      <c r="C225">
        <v>0</v>
      </c>
      <c r="E225" t="str">
        <f t="shared" si="34"/>
        <v>Died</v>
      </c>
      <c r="F225" t="s">
        <v>1158</v>
      </c>
      <c r="G225" t="s">
        <v>848</v>
      </c>
      <c r="H225" t="s">
        <v>924</v>
      </c>
      <c r="I225" t="str">
        <f t="shared" si="35"/>
        <v>Mr. Parr William</v>
      </c>
      <c r="J225" t="s">
        <v>20</v>
      </c>
      <c r="K225" t="str">
        <f t="shared" si="36"/>
        <v>Male</v>
      </c>
      <c r="L225">
        <v>28</v>
      </c>
      <c r="O225">
        <f t="shared" si="37"/>
        <v>28</v>
      </c>
      <c r="P225">
        <v>0</v>
      </c>
      <c r="R225" s="4">
        <v>0</v>
      </c>
      <c r="T225" s="5">
        <v>0</v>
      </c>
      <c r="W225" s="4">
        <v>28</v>
      </c>
      <c r="X225" s="4" t="str">
        <f t="shared" si="38"/>
        <v>Young Adult</v>
      </c>
      <c r="Y225" s="4" t="s">
        <v>3561</v>
      </c>
      <c r="AB225" s="4" t="str">
        <f t="shared" si="39"/>
        <v/>
      </c>
      <c r="AC225" s="4" t="str">
        <f t="shared" si="40"/>
        <v>Unknown</v>
      </c>
      <c r="AD225" s="4" t="s">
        <v>457</v>
      </c>
      <c r="AG225" s="4" t="str">
        <f t="shared" si="41"/>
        <v>Not Applicable</v>
      </c>
      <c r="AK225" s="4" t="s">
        <v>3573</v>
      </c>
      <c r="AL225" s="4" t="str">
        <f t="shared" si="42"/>
        <v>Found</v>
      </c>
      <c r="AN225" s="6">
        <v>0</v>
      </c>
      <c r="AO225" s="4" t="str">
        <f t="shared" si="43"/>
        <v>Low</v>
      </c>
    </row>
    <row r="226" spans="1:41">
      <c r="A226">
        <v>1</v>
      </c>
      <c r="B226" t="str">
        <f t="shared" si="33"/>
        <v>First Class</v>
      </c>
      <c r="C226">
        <v>0</v>
      </c>
      <c r="E226" t="str">
        <f t="shared" si="34"/>
        <v>Died</v>
      </c>
      <c r="F226" t="s">
        <v>1159</v>
      </c>
      <c r="G226" t="s">
        <v>848</v>
      </c>
      <c r="H226" t="s">
        <v>1160</v>
      </c>
      <c r="I226" t="str">
        <f t="shared" si="35"/>
        <v>Mr. Partner Austen</v>
      </c>
      <c r="J226" t="s">
        <v>20</v>
      </c>
      <c r="K226" t="str">
        <f t="shared" si="36"/>
        <v>Male</v>
      </c>
      <c r="L226">
        <v>45.5</v>
      </c>
      <c r="O226">
        <f t="shared" si="37"/>
        <v>46</v>
      </c>
      <c r="P226">
        <v>0</v>
      </c>
      <c r="R226" s="4">
        <v>0</v>
      </c>
      <c r="T226" s="5">
        <v>28.5</v>
      </c>
      <c r="W226" s="4">
        <v>46</v>
      </c>
      <c r="X226" s="4" t="str">
        <f t="shared" si="38"/>
        <v>Adult</v>
      </c>
      <c r="Y226" s="4" t="s">
        <v>257</v>
      </c>
      <c r="AA226" s="4" t="s">
        <v>257</v>
      </c>
      <c r="AB226" s="4" t="str">
        <f t="shared" si="39"/>
        <v>C</v>
      </c>
      <c r="AC226" s="4" t="str">
        <f t="shared" si="40"/>
        <v>C</v>
      </c>
      <c r="AD226" s="4" t="s">
        <v>457</v>
      </c>
      <c r="AG226" s="4" t="str">
        <f t="shared" si="41"/>
        <v>Not Applicable</v>
      </c>
      <c r="AH226" s="4">
        <v>166</v>
      </c>
      <c r="AK226" s="4">
        <v>166</v>
      </c>
      <c r="AL226" s="4" t="str">
        <f t="shared" si="42"/>
        <v>Found</v>
      </c>
      <c r="AN226" s="6">
        <v>28.5</v>
      </c>
      <c r="AO226" s="4" t="str">
        <f t="shared" si="43"/>
        <v>Mid</v>
      </c>
    </row>
    <row r="227" spans="1:41">
      <c r="A227">
        <v>1</v>
      </c>
      <c r="B227" t="str">
        <f t="shared" si="33"/>
        <v>First Class</v>
      </c>
      <c r="C227">
        <v>0</v>
      </c>
      <c r="E227" t="str">
        <f t="shared" si="34"/>
        <v>Died</v>
      </c>
      <c r="F227" t="s">
        <v>1161</v>
      </c>
      <c r="G227" t="s">
        <v>848</v>
      </c>
      <c r="H227" t="s">
        <v>1162</v>
      </c>
      <c r="I227" t="str">
        <f t="shared" si="35"/>
        <v>Mr. Payne Vivian</v>
      </c>
      <c r="J227" t="s">
        <v>20</v>
      </c>
      <c r="K227" t="str">
        <f t="shared" si="36"/>
        <v>Male</v>
      </c>
      <c r="L227">
        <v>23</v>
      </c>
      <c r="O227">
        <f t="shared" si="37"/>
        <v>23</v>
      </c>
      <c r="P227">
        <v>0</v>
      </c>
      <c r="R227" s="4">
        <v>0</v>
      </c>
      <c r="T227" s="5">
        <v>93.5</v>
      </c>
      <c r="W227" s="4">
        <v>23</v>
      </c>
      <c r="X227" s="4" t="str">
        <f t="shared" si="38"/>
        <v>Young Adult</v>
      </c>
      <c r="Y227" s="4" t="s">
        <v>307</v>
      </c>
      <c r="AA227" s="4" t="s">
        <v>307</v>
      </c>
      <c r="AB227" s="4" t="str">
        <f t="shared" si="39"/>
        <v>B</v>
      </c>
      <c r="AC227" s="4" t="str">
        <f t="shared" si="40"/>
        <v>B</v>
      </c>
      <c r="AD227" s="4" t="s">
        <v>457</v>
      </c>
      <c r="AG227" s="4" t="str">
        <f t="shared" si="41"/>
        <v>Not Applicable</v>
      </c>
      <c r="AK227" s="4" t="s">
        <v>3573</v>
      </c>
      <c r="AL227" s="4" t="str">
        <f t="shared" si="42"/>
        <v>Found</v>
      </c>
      <c r="AN227" s="6">
        <v>93.5</v>
      </c>
      <c r="AO227" s="4" t="str">
        <f t="shared" si="43"/>
        <v>High</v>
      </c>
    </row>
    <row r="228" spans="1:41">
      <c r="A228">
        <v>1</v>
      </c>
      <c r="B228" t="str">
        <f t="shared" si="33"/>
        <v>First Class</v>
      </c>
      <c r="C228">
        <v>0</v>
      </c>
      <c r="E228" t="str">
        <f t="shared" si="34"/>
        <v>Died</v>
      </c>
      <c r="F228" t="s">
        <v>1163</v>
      </c>
      <c r="G228" t="s">
        <v>848</v>
      </c>
      <c r="H228" t="s">
        <v>855</v>
      </c>
      <c r="I228" t="str">
        <f t="shared" si="35"/>
        <v>Mr. Pears Thomas</v>
      </c>
      <c r="J228" t="s">
        <v>20</v>
      </c>
      <c r="K228" t="str">
        <f t="shared" si="36"/>
        <v>Male</v>
      </c>
      <c r="L228">
        <v>29</v>
      </c>
      <c r="O228">
        <f t="shared" si="37"/>
        <v>29</v>
      </c>
      <c r="P228">
        <v>1</v>
      </c>
      <c r="R228" s="4">
        <v>0</v>
      </c>
      <c r="T228" s="5">
        <v>66.599999999999994</v>
      </c>
      <c r="W228" s="4">
        <v>29</v>
      </c>
      <c r="X228" s="4" t="str">
        <f t="shared" si="38"/>
        <v>Young Adult</v>
      </c>
      <c r="Y228" s="4" t="s">
        <v>308</v>
      </c>
      <c r="AA228" s="4" t="s">
        <v>308</v>
      </c>
      <c r="AB228" s="4" t="str">
        <f t="shared" si="39"/>
        <v>C</v>
      </c>
      <c r="AC228" s="4" t="str">
        <f t="shared" si="40"/>
        <v>C</v>
      </c>
      <c r="AD228" s="4" t="s">
        <v>457</v>
      </c>
      <c r="AG228" s="4" t="str">
        <f t="shared" si="41"/>
        <v>Not Applicable</v>
      </c>
      <c r="AK228" s="4" t="s">
        <v>3573</v>
      </c>
      <c r="AL228" s="4" t="str">
        <f t="shared" si="42"/>
        <v>Found</v>
      </c>
      <c r="AN228" s="6">
        <v>66.599999999999994</v>
      </c>
      <c r="AO228" s="4" t="str">
        <f t="shared" si="43"/>
        <v>High</v>
      </c>
    </row>
    <row r="229" spans="1:41">
      <c r="A229">
        <v>1</v>
      </c>
      <c r="B229" t="str">
        <f t="shared" si="33"/>
        <v>First Class</v>
      </c>
      <c r="C229">
        <v>1</v>
      </c>
      <c r="E229" t="str">
        <f t="shared" si="34"/>
        <v>Survived</v>
      </c>
      <c r="F229" t="s">
        <v>1163</v>
      </c>
      <c r="G229" t="s">
        <v>849</v>
      </c>
      <c r="H229" t="s">
        <v>855</v>
      </c>
      <c r="I229" t="str">
        <f t="shared" si="35"/>
        <v>Mrs. Pears Thomas</v>
      </c>
      <c r="J229" t="s">
        <v>47</v>
      </c>
      <c r="K229" t="str">
        <f t="shared" si="36"/>
        <v>Female</v>
      </c>
      <c r="L229">
        <v>22</v>
      </c>
      <c r="O229">
        <f t="shared" si="37"/>
        <v>22</v>
      </c>
      <c r="P229">
        <v>1</v>
      </c>
      <c r="R229" s="4">
        <v>0</v>
      </c>
      <c r="T229" s="5">
        <v>66.599999999999994</v>
      </c>
      <c r="W229" s="4">
        <v>22</v>
      </c>
      <c r="X229" s="4" t="str">
        <f t="shared" si="38"/>
        <v>Young Adult</v>
      </c>
      <c r="Y229" s="4" t="s">
        <v>308</v>
      </c>
      <c r="AA229" s="4" t="s">
        <v>308</v>
      </c>
      <c r="AB229" s="4" t="str">
        <f t="shared" si="39"/>
        <v>C</v>
      </c>
      <c r="AC229" s="4" t="str">
        <f t="shared" si="40"/>
        <v>C</v>
      </c>
      <c r="AD229" s="4" t="s">
        <v>457</v>
      </c>
      <c r="AF229" s="4">
        <v>8</v>
      </c>
      <c r="AG229" s="4">
        <f t="shared" si="41"/>
        <v>8</v>
      </c>
      <c r="AK229" s="4" t="s">
        <v>3573</v>
      </c>
      <c r="AL229" s="4" t="str">
        <f t="shared" si="42"/>
        <v>Found</v>
      </c>
      <c r="AN229" s="6">
        <v>66.599999999999994</v>
      </c>
      <c r="AO229" s="4" t="str">
        <f t="shared" si="43"/>
        <v>High</v>
      </c>
    </row>
    <row r="230" spans="1:41">
      <c r="A230">
        <v>1</v>
      </c>
      <c r="B230" t="str">
        <f t="shared" si="33"/>
        <v>First Class</v>
      </c>
      <c r="C230">
        <v>0</v>
      </c>
      <c r="E230" t="str">
        <f t="shared" si="34"/>
        <v>Died</v>
      </c>
      <c r="F230" t="s">
        <v>1164</v>
      </c>
      <c r="G230" t="s">
        <v>1151</v>
      </c>
      <c r="H230" t="s">
        <v>1165</v>
      </c>
      <c r="I230" t="str">
        <f t="shared" si="35"/>
        <v>y Penasco Castellana</v>
      </c>
      <c r="J230" t="s">
        <v>20</v>
      </c>
      <c r="K230" t="str">
        <f t="shared" si="36"/>
        <v>Male</v>
      </c>
      <c r="L230">
        <v>18</v>
      </c>
      <c r="O230">
        <f t="shared" si="37"/>
        <v>18</v>
      </c>
      <c r="P230">
        <v>1</v>
      </c>
      <c r="R230" s="4">
        <v>0</v>
      </c>
      <c r="T230" s="5">
        <v>108.9</v>
      </c>
      <c r="W230" s="4">
        <v>18</v>
      </c>
      <c r="X230" s="4" t="str">
        <f t="shared" si="38"/>
        <v>Young Adult</v>
      </c>
      <c r="Y230" s="4" t="s">
        <v>310</v>
      </c>
      <c r="AA230" s="4" t="s">
        <v>310</v>
      </c>
      <c r="AB230" s="4" t="str">
        <f t="shared" si="39"/>
        <v>C</v>
      </c>
      <c r="AC230" s="4" t="str">
        <f t="shared" si="40"/>
        <v>C</v>
      </c>
      <c r="AD230" s="4" t="s">
        <v>3566</v>
      </c>
      <c r="AG230" s="4" t="str">
        <f t="shared" si="41"/>
        <v>Not Applicable</v>
      </c>
      <c r="AK230" s="4" t="s">
        <v>3573</v>
      </c>
      <c r="AL230" s="4" t="str">
        <f t="shared" si="42"/>
        <v>Found</v>
      </c>
      <c r="AN230" s="6">
        <v>108.9</v>
      </c>
      <c r="AO230" s="4" t="str">
        <f t="shared" si="43"/>
        <v>High</v>
      </c>
    </row>
    <row r="231" spans="1:41">
      <c r="A231">
        <v>1</v>
      </c>
      <c r="B231" t="str">
        <f t="shared" si="33"/>
        <v>First Class</v>
      </c>
      <c r="C231">
        <v>1</v>
      </c>
      <c r="E231" t="str">
        <f t="shared" si="34"/>
        <v>Survived</v>
      </c>
      <c r="F231" t="s">
        <v>1164</v>
      </c>
      <c r="G231" t="s">
        <v>1151</v>
      </c>
      <c r="H231" t="s">
        <v>1165</v>
      </c>
      <c r="I231" t="str">
        <f t="shared" si="35"/>
        <v>y Penasco Castellana</v>
      </c>
      <c r="J231" t="s">
        <v>47</v>
      </c>
      <c r="K231" t="str">
        <f t="shared" si="36"/>
        <v>Female</v>
      </c>
      <c r="L231">
        <v>17</v>
      </c>
      <c r="O231">
        <f t="shared" si="37"/>
        <v>17</v>
      </c>
      <c r="P231">
        <v>1</v>
      </c>
      <c r="Q231" t="s">
        <v>1166</v>
      </c>
      <c r="R231" s="4">
        <v>0</v>
      </c>
      <c r="T231" s="5">
        <v>108.9</v>
      </c>
      <c r="W231" s="4">
        <v>17</v>
      </c>
      <c r="X231" s="4" t="str">
        <f t="shared" si="38"/>
        <v>Teenager</v>
      </c>
      <c r="Y231" s="4" t="s">
        <v>310</v>
      </c>
      <c r="AA231" s="4" t="s">
        <v>310</v>
      </c>
      <c r="AB231" s="4" t="str">
        <f t="shared" si="39"/>
        <v>C</v>
      </c>
      <c r="AC231" s="4" t="str">
        <f t="shared" si="40"/>
        <v>C</v>
      </c>
      <c r="AD231" s="4" t="s">
        <v>3566</v>
      </c>
      <c r="AF231" s="4">
        <v>8</v>
      </c>
      <c r="AG231" s="4">
        <f t="shared" si="41"/>
        <v>8</v>
      </c>
      <c r="AK231" s="4" t="s">
        <v>3573</v>
      </c>
      <c r="AL231" s="4" t="str">
        <f t="shared" si="42"/>
        <v>Found</v>
      </c>
      <c r="AN231" s="6">
        <v>108.9</v>
      </c>
      <c r="AO231" s="4" t="str">
        <f t="shared" si="43"/>
        <v>High</v>
      </c>
    </row>
    <row r="232" spans="1:41">
      <c r="A232">
        <v>1</v>
      </c>
      <c r="B232" t="str">
        <f t="shared" si="33"/>
        <v>First Class</v>
      </c>
      <c r="C232">
        <v>1</v>
      </c>
      <c r="E232" t="str">
        <f t="shared" si="34"/>
        <v>Survived</v>
      </c>
      <c r="F232" t="s">
        <v>1167</v>
      </c>
      <c r="G232" t="s">
        <v>842</v>
      </c>
      <c r="H232" t="s">
        <v>1076</v>
      </c>
      <c r="I232" t="str">
        <f t="shared" si="35"/>
        <v>Miss. Perreault Anne</v>
      </c>
      <c r="J232" t="s">
        <v>47</v>
      </c>
      <c r="K232" t="str">
        <f t="shared" si="36"/>
        <v>Female</v>
      </c>
      <c r="L232">
        <v>30</v>
      </c>
      <c r="O232">
        <f t="shared" si="37"/>
        <v>30</v>
      </c>
      <c r="P232">
        <v>0</v>
      </c>
      <c r="R232" s="4">
        <v>0</v>
      </c>
      <c r="T232" s="5">
        <v>93.5</v>
      </c>
      <c r="W232" s="4">
        <v>30</v>
      </c>
      <c r="X232" s="4" t="str">
        <f t="shared" si="38"/>
        <v>Adult</v>
      </c>
      <c r="Y232" s="4" t="s">
        <v>312</v>
      </c>
      <c r="AA232" s="4" t="s">
        <v>312</v>
      </c>
      <c r="AB232" s="4" t="str">
        <f t="shared" si="39"/>
        <v>B</v>
      </c>
      <c r="AC232" s="4" t="str">
        <f t="shared" si="40"/>
        <v>B</v>
      </c>
      <c r="AD232" s="4" t="s">
        <v>457</v>
      </c>
      <c r="AF232" s="4">
        <v>3</v>
      </c>
      <c r="AG232" s="4">
        <f t="shared" si="41"/>
        <v>3</v>
      </c>
      <c r="AK232" s="4" t="s">
        <v>3573</v>
      </c>
      <c r="AL232" s="4" t="str">
        <f t="shared" si="42"/>
        <v>Found</v>
      </c>
      <c r="AN232" s="6">
        <v>93.5</v>
      </c>
      <c r="AO232" s="4" t="str">
        <f t="shared" si="43"/>
        <v>High</v>
      </c>
    </row>
    <row r="233" spans="1:41">
      <c r="A233">
        <v>1</v>
      </c>
      <c r="B233" t="str">
        <f t="shared" si="33"/>
        <v>First Class</v>
      </c>
      <c r="C233">
        <v>1</v>
      </c>
      <c r="E233" t="str">
        <f t="shared" si="34"/>
        <v>Survived</v>
      </c>
      <c r="F233" t="s">
        <v>1168</v>
      </c>
      <c r="G233" t="s">
        <v>929</v>
      </c>
      <c r="H233" t="s">
        <v>913</v>
      </c>
      <c r="I233" t="str">
        <f t="shared" si="35"/>
        <v>Major. Peuchen Arthur</v>
      </c>
      <c r="J233" t="s">
        <v>20</v>
      </c>
      <c r="K233" t="str">
        <f t="shared" si="36"/>
        <v>Male</v>
      </c>
      <c r="L233">
        <v>52</v>
      </c>
      <c r="O233">
        <f t="shared" si="37"/>
        <v>52</v>
      </c>
      <c r="P233">
        <v>0</v>
      </c>
      <c r="R233" s="4">
        <v>0</v>
      </c>
      <c r="T233" s="5">
        <v>30.5</v>
      </c>
      <c r="W233" s="4">
        <v>52</v>
      </c>
      <c r="X233" s="4" t="str">
        <f t="shared" si="38"/>
        <v>Adult</v>
      </c>
      <c r="Y233" s="4" t="s">
        <v>313</v>
      </c>
      <c r="AA233" s="4" t="s">
        <v>313</v>
      </c>
      <c r="AB233" s="4" t="str">
        <f t="shared" si="39"/>
        <v>C</v>
      </c>
      <c r="AC233" s="4" t="str">
        <f t="shared" si="40"/>
        <v>C</v>
      </c>
      <c r="AD233" s="4" t="s">
        <v>457</v>
      </c>
      <c r="AF233" s="4">
        <v>6</v>
      </c>
      <c r="AG233" s="4">
        <f t="shared" si="41"/>
        <v>6</v>
      </c>
      <c r="AK233" s="4" t="s">
        <v>3573</v>
      </c>
      <c r="AL233" s="4" t="str">
        <f t="shared" si="42"/>
        <v>Found</v>
      </c>
      <c r="AN233" s="6">
        <v>30.5</v>
      </c>
      <c r="AO233" s="4" t="str">
        <f t="shared" si="43"/>
        <v>Mid</v>
      </c>
    </row>
    <row r="234" spans="1:41">
      <c r="A234">
        <v>1</v>
      </c>
      <c r="B234" t="str">
        <f t="shared" si="33"/>
        <v>First Class</v>
      </c>
      <c r="C234">
        <v>0</v>
      </c>
      <c r="E234" t="str">
        <f t="shared" si="34"/>
        <v>Died</v>
      </c>
      <c r="F234" t="s">
        <v>1169</v>
      </c>
      <c r="G234" t="s">
        <v>848</v>
      </c>
      <c r="H234" t="s">
        <v>970</v>
      </c>
      <c r="I234" t="str">
        <f t="shared" si="35"/>
        <v>Mr. Porter Walter</v>
      </c>
      <c r="J234" t="s">
        <v>20</v>
      </c>
      <c r="K234" t="str">
        <f t="shared" si="36"/>
        <v>Male</v>
      </c>
      <c r="L234">
        <v>47</v>
      </c>
      <c r="O234">
        <f t="shared" si="37"/>
        <v>47</v>
      </c>
      <c r="P234">
        <v>0</v>
      </c>
      <c r="R234" s="4">
        <v>0</v>
      </c>
      <c r="T234" s="5">
        <v>52</v>
      </c>
      <c r="W234" s="4">
        <v>47</v>
      </c>
      <c r="X234" s="4" t="str">
        <f t="shared" si="38"/>
        <v>Adult</v>
      </c>
      <c r="Y234" s="4" t="s">
        <v>315</v>
      </c>
      <c r="AA234" s="4" t="s">
        <v>315</v>
      </c>
      <c r="AB234" s="4" t="str">
        <f t="shared" si="39"/>
        <v>C</v>
      </c>
      <c r="AC234" s="4" t="str">
        <f t="shared" si="40"/>
        <v>C</v>
      </c>
      <c r="AD234" s="4" t="s">
        <v>457</v>
      </c>
      <c r="AG234" s="4" t="str">
        <f t="shared" si="41"/>
        <v>Not Applicable</v>
      </c>
      <c r="AH234" s="4">
        <v>207</v>
      </c>
      <c r="AK234" s="4">
        <v>207</v>
      </c>
      <c r="AL234" s="4" t="str">
        <f t="shared" si="42"/>
        <v>Found</v>
      </c>
      <c r="AN234" s="6">
        <v>52</v>
      </c>
      <c r="AO234" s="4" t="str">
        <f t="shared" si="43"/>
        <v>High</v>
      </c>
    </row>
    <row r="235" spans="1:41">
      <c r="A235">
        <v>1</v>
      </c>
      <c r="B235" t="str">
        <f t="shared" si="33"/>
        <v>First Class</v>
      </c>
      <c r="C235">
        <v>1</v>
      </c>
      <c r="E235" t="str">
        <f t="shared" si="34"/>
        <v>Survived</v>
      </c>
      <c r="F235" t="s">
        <v>1170</v>
      </c>
      <c r="G235" t="s">
        <v>849</v>
      </c>
      <c r="H235" t="s">
        <v>855</v>
      </c>
      <c r="I235" t="str">
        <f t="shared" si="35"/>
        <v>Mrs. Potter Thomas</v>
      </c>
      <c r="J235" t="s">
        <v>47</v>
      </c>
      <c r="K235" t="str">
        <f t="shared" si="36"/>
        <v>Female</v>
      </c>
      <c r="L235">
        <v>56</v>
      </c>
      <c r="O235">
        <f t="shared" si="37"/>
        <v>56</v>
      </c>
      <c r="P235">
        <v>0</v>
      </c>
      <c r="R235" s="4">
        <v>1</v>
      </c>
      <c r="T235" s="5">
        <v>83.158299999999997</v>
      </c>
      <c r="W235" s="4">
        <v>56</v>
      </c>
      <c r="X235" s="4" t="str">
        <f t="shared" si="38"/>
        <v>Adult</v>
      </c>
      <c r="Y235" s="4" t="s">
        <v>317</v>
      </c>
      <c r="AA235" s="4" t="s">
        <v>317</v>
      </c>
      <c r="AB235" s="4" t="str">
        <f t="shared" si="39"/>
        <v>C</v>
      </c>
      <c r="AC235" s="4" t="str">
        <f t="shared" si="40"/>
        <v>C</v>
      </c>
      <c r="AD235" s="4" t="s">
        <v>3566</v>
      </c>
      <c r="AF235" s="4">
        <v>7</v>
      </c>
      <c r="AG235" s="4">
        <f t="shared" si="41"/>
        <v>7</v>
      </c>
      <c r="AK235" s="4" t="s">
        <v>3573</v>
      </c>
      <c r="AL235" s="4" t="str">
        <f t="shared" si="42"/>
        <v>Found</v>
      </c>
      <c r="AN235" s="6">
        <v>83.158299999999997</v>
      </c>
      <c r="AO235" s="4" t="str">
        <f t="shared" si="43"/>
        <v>High</v>
      </c>
    </row>
    <row r="236" spans="1:41">
      <c r="A236">
        <v>1</v>
      </c>
      <c r="B236" t="str">
        <f t="shared" si="33"/>
        <v>First Class</v>
      </c>
      <c r="C236">
        <v>0</v>
      </c>
      <c r="E236" t="str">
        <f t="shared" si="34"/>
        <v>Died</v>
      </c>
      <c r="F236" t="s">
        <v>1171</v>
      </c>
      <c r="G236" t="s">
        <v>1172</v>
      </c>
      <c r="H236" t="s">
        <v>862</v>
      </c>
      <c r="I236" t="str">
        <f t="shared" si="35"/>
        <v>Jonkheer. Reuchlin John</v>
      </c>
      <c r="J236" t="s">
        <v>20</v>
      </c>
      <c r="K236" t="str">
        <f t="shared" si="36"/>
        <v>Male</v>
      </c>
      <c r="L236">
        <v>38</v>
      </c>
      <c r="O236">
        <f t="shared" si="37"/>
        <v>38</v>
      </c>
      <c r="P236">
        <v>0</v>
      </c>
      <c r="R236" s="4">
        <v>0</v>
      </c>
      <c r="T236" s="5">
        <v>0</v>
      </c>
      <c r="W236" s="4">
        <v>38</v>
      </c>
      <c r="X236" s="4" t="str">
        <f t="shared" si="38"/>
        <v>Adult</v>
      </c>
      <c r="Y236" s="4" t="s">
        <v>3561</v>
      </c>
      <c r="AB236" s="4" t="str">
        <f t="shared" si="39"/>
        <v/>
      </c>
      <c r="AC236" s="4" t="str">
        <f t="shared" si="40"/>
        <v>Unknown</v>
      </c>
      <c r="AD236" s="4" t="s">
        <v>457</v>
      </c>
      <c r="AG236" s="4" t="str">
        <f t="shared" si="41"/>
        <v>Not Applicable</v>
      </c>
      <c r="AK236" s="4" t="s">
        <v>3573</v>
      </c>
      <c r="AL236" s="4" t="str">
        <f t="shared" si="42"/>
        <v>Found</v>
      </c>
      <c r="AN236" s="6">
        <v>0</v>
      </c>
      <c r="AO236" s="4" t="str">
        <f t="shared" si="43"/>
        <v>Low</v>
      </c>
    </row>
    <row r="237" spans="1:41">
      <c r="A237">
        <v>1</v>
      </c>
      <c r="B237" t="str">
        <f t="shared" si="33"/>
        <v>First Class</v>
      </c>
      <c r="C237">
        <v>1</v>
      </c>
      <c r="E237" t="str">
        <f t="shared" si="34"/>
        <v>Survived</v>
      </c>
      <c r="F237" t="s">
        <v>1173</v>
      </c>
      <c r="G237" t="s">
        <v>848</v>
      </c>
      <c r="H237" t="s">
        <v>912</v>
      </c>
      <c r="I237" t="str">
        <f t="shared" si="35"/>
        <v>Mr. Rheims George</v>
      </c>
      <c r="J237" t="s">
        <v>20</v>
      </c>
      <c r="K237" t="str">
        <f t="shared" si="36"/>
        <v>Male</v>
      </c>
      <c r="L237">
        <v>28</v>
      </c>
      <c r="O237">
        <f t="shared" si="37"/>
        <v>28</v>
      </c>
      <c r="P237">
        <v>0</v>
      </c>
      <c r="R237" s="4">
        <v>0</v>
      </c>
      <c r="T237" s="5">
        <v>39.6</v>
      </c>
      <c r="W237" s="4">
        <v>28</v>
      </c>
      <c r="X237" s="4" t="str">
        <f t="shared" si="38"/>
        <v>Young Adult</v>
      </c>
      <c r="Y237" s="4" t="s">
        <v>3561</v>
      </c>
      <c r="AB237" s="4" t="str">
        <f t="shared" si="39"/>
        <v/>
      </c>
      <c r="AC237" s="4" t="str">
        <f t="shared" si="40"/>
        <v>Unknown</v>
      </c>
      <c r="AD237" s="4" t="s">
        <v>457</v>
      </c>
      <c r="AF237" s="4" t="s">
        <v>78</v>
      </c>
      <c r="AG237" s="4" t="str">
        <f t="shared" si="41"/>
        <v>A</v>
      </c>
      <c r="AK237" s="4" t="s">
        <v>3573</v>
      </c>
      <c r="AL237" s="4" t="str">
        <f t="shared" si="42"/>
        <v>Found</v>
      </c>
      <c r="AN237" s="6">
        <v>39.6</v>
      </c>
      <c r="AO237" s="4" t="str">
        <f t="shared" si="43"/>
        <v>Mid</v>
      </c>
    </row>
    <row r="238" spans="1:41">
      <c r="A238">
        <v>1</v>
      </c>
      <c r="B238" t="str">
        <f t="shared" si="33"/>
        <v>First Class</v>
      </c>
      <c r="C238">
        <v>0</v>
      </c>
      <c r="E238" t="str">
        <f t="shared" si="34"/>
        <v>Died</v>
      </c>
      <c r="F238" t="s">
        <v>1175</v>
      </c>
      <c r="G238" t="s">
        <v>848</v>
      </c>
      <c r="H238" t="s">
        <v>1176</v>
      </c>
      <c r="I238" t="str">
        <f t="shared" si="35"/>
        <v>Mr. Ringhini Sante</v>
      </c>
      <c r="J238" t="s">
        <v>20</v>
      </c>
      <c r="K238" t="str">
        <f t="shared" si="36"/>
        <v>Male</v>
      </c>
      <c r="L238">
        <v>22</v>
      </c>
      <c r="O238">
        <f t="shared" si="37"/>
        <v>22</v>
      </c>
      <c r="P238">
        <v>0</v>
      </c>
      <c r="R238" s="4">
        <v>0</v>
      </c>
      <c r="T238" s="5">
        <v>135.63329999999999</v>
      </c>
      <c r="W238" s="4">
        <v>22</v>
      </c>
      <c r="X238" s="4" t="str">
        <f t="shared" si="38"/>
        <v>Young Adult</v>
      </c>
      <c r="Y238" s="4" t="s">
        <v>3561</v>
      </c>
      <c r="AB238" s="4" t="str">
        <f t="shared" si="39"/>
        <v/>
      </c>
      <c r="AC238" s="4" t="str">
        <f t="shared" si="40"/>
        <v>Unknown</v>
      </c>
      <c r="AD238" s="4" t="s">
        <v>3566</v>
      </c>
      <c r="AG238" s="4" t="str">
        <f t="shared" si="41"/>
        <v>Not Applicable</v>
      </c>
      <c r="AH238" s="4">
        <v>232</v>
      </c>
      <c r="AK238" s="4">
        <v>232</v>
      </c>
      <c r="AL238" s="4" t="str">
        <f t="shared" si="42"/>
        <v>Found</v>
      </c>
      <c r="AN238" s="6">
        <v>135.63329999999999</v>
      </c>
      <c r="AO238" s="4" t="str">
        <f t="shared" si="43"/>
        <v>High</v>
      </c>
    </row>
    <row r="239" spans="1:41">
      <c r="A239">
        <v>1</v>
      </c>
      <c r="B239" t="str">
        <f t="shared" si="33"/>
        <v>First Class</v>
      </c>
      <c r="C239">
        <v>0</v>
      </c>
      <c r="E239" t="str">
        <f t="shared" si="34"/>
        <v>Died</v>
      </c>
      <c r="F239" t="s">
        <v>1177</v>
      </c>
      <c r="G239" t="s">
        <v>848</v>
      </c>
      <c r="H239" t="s">
        <v>1044</v>
      </c>
      <c r="I239" t="str">
        <f t="shared" si="35"/>
        <v>Mr. Robbins Victor</v>
      </c>
      <c r="J239" t="s">
        <v>20</v>
      </c>
      <c r="K239" t="str">
        <f t="shared" si="36"/>
        <v>Male</v>
      </c>
      <c r="L239">
        <v>28</v>
      </c>
      <c r="O239">
        <f t="shared" si="37"/>
        <v>28</v>
      </c>
      <c r="P239">
        <v>0</v>
      </c>
      <c r="R239" s="4">
        <v>0</v>
      </c>
      <c r="T239" s="5">
        <v>227.52500000000001</v>
      </c>
      <c r="W239" s="4">
        <v>28</v>
      </c>
      <c r="X239" s="4" t="str">
        <f t="shared" si="38"/>
        <v>Young Adult</v>
      </c>
      <c r="Y239" s="4" t="s">
        <v>3561</v>
      </c>
      <c r="AB239" s="4" t="str">
        <f t="shared" si="39"/>
        <v/>
      </c>
      <c r="AC239" s="4" t="str">
        <f t="shared" si="40"/>
        <v>Unknown</v>
      </c>
      <c r="AD239" s="4" t="s">
        <v>3566</v>
      </c>
      <c r="AG239" s="4" t="str">
        <f t="shared" si="41"/>
        <v>Not Applicable</v>
      </c>
      <c r="AK239" s="4" t="s">
        <v>3573</v>
      </c>
      <c r="AL239" s="4" t="str">
        <f t="shared" si="42"/>
        <v>Found</v>
      </c>
      <c r="AN239" s="6">
        <v>227.52500000000001</v>
      </c>
      <c r="AO239" s="4" t="str">
        <f t="shared" si="43"/>
        <v>High</v>
      </c>
    </row>
    <row r="240" spans="1:41">
      <c r="A240">
        <v>1</v>
      </c>
      <c r="B240" t="str">
        <f t="shared" si="33"/>
        <v>First Class</v>
      </c>
      <c r="C240">
        <v>1</v>
      </c>
      <c r="E240" t="str">
        <f t="shared" si="34"/>
        <v>Survived</v>
      </c>
      <c r="F240" t="s">
        <v>925</v>
      </c>
      <c r="G240" t="s">
        <v>849</v>
      </c>
      <c r="H240" t="s">
        <v>857</v>
      </c>
      <c r="I240" t="str">
        <f t="shared" si="35"/>
        <v>Mrs. Robert Edward</v>
      </c>
      <c r="J240" t="s">
        <v>47</v>
      </c>
      <c r="K240" t="str">
        <f t="shared" si="36"/>
        <v>Female</v>
      </c>
      <c r="L240">
        <v>43</v>
      </c>
      <c r="O240">
        <f t="shared" si="37"/>
        <v>43</v>
      </c>
      <c r="P240">
        <v>0</v>
      </c>
      <c r="R240" s="4">
        <v>1</v>
      </c>
      <c r="T240" s="5">
        <v>211.33750000000001</v>
      </c>
      <c r="W240" s="4">
        <v>43</v>
      </c>
      <c r="X240" s="4" t="str">
        <f t="shared" si="38"/>
        <v>Adult</v>
      </c>
      <c r="Y240" s="4" t="s">
        <v>321</v>
      </c>
      <c r="AA240" s="4" t="s">
        <v>321</v>
      </c>
      <c r="AB240" s="4" t="str">
        <f t="shared" si="39"/>
        <v>B</v>
      </c>
      <c r="AC240" s="4" t="str">
        <f t="shared" si="40"/>
        <v>B</v>
      </c>
      <c r="AD240" s="4" t="s">
        <v>457</v>
      </c>
      <c r="AF240" s="4">
        <v>2</v>
      </c>
      <c r="AG240" s="4">
        <f t="shared" si="41"/>
        <v>2</v>
      </c>
      <c r="AK240" s="4" t="s">
        <v>3573</v>
      </c>
      <c r="AL240" s="4" t="str">
        <f t="shared" si="42"/>
        <v>Found</v>
      </c>
      <c r="AN240" s="6">
        <v>211.33750000000001</v>
      </c>
      <c r="AO240" s="4" t="str">
        <f t="shared" si="43"/>
        <v>High</v>
      </c>
    </row>
    <row r="241" spans="1:41">
      <c r="A241">
        <v>1</v>
      </c>
      <c r="B241" t="str">
        <f t="shared" si="33"/>
        <v>First Class</v>
      </c>
      <c r="C241">
        <v>0</v>
      </c>
      <c r="E241" t="str">
        <f t="shared" si="34"/>
        <v>Died</v>
      </c>
      <c r="F241" t="s">
        <v>1178</v>
      </c>
      <c r="G241" t="s">
        <v>848</v>
      </c>
      <c r="H241" t="s">
        <v>997</v>
      </c>
      <c r="I241" t="str">
        <f t="shared" si="35"/>
        <v>Mr. Roebling Washington</v>
      </c>
      <c r="J241" t="s">
        <v>20</v>
      </c>
      <c r="K241" t="str">
        <f t="shared" si="36"/>
        <v>Male</v>
      </c>
      <c r="L241">
        <v>31</v>
      </c>
      <c r="O241">
        <f t="shared" si="37"/>
        <v>31</v>
      </c>
      <c r="P241">
        <v>0</v>
      </c>
      <c r="R241" s="4">
        <v>0</v>
      </c>
      <c r="T241" s="5">
        <v>50.495800000000003</v>
      </c>
      <c r="W241" s="4">
        <v>31</v>
      </c>
      <c r="X241" s="4" t="str">
        <f t="shared" si="38"/>
        <v>Adult</v>
      </c>
      <c r="Y241" s="4" t="s">
        <v>323</v>
      </c>
      <c r="AA241" s="4" t="s">
        <v>323</v>
      </c>
      <c r="AB241" s="4" t="str">
        <f t="shared" si="39"/>
        <v>A</v>
      </c>
      <c r="AC241" s="4" t="str">
        <f t="shared" si="40"/>
        <v>A</v>
      </c>
      <c r="AD241" s="4" t="s">
        <v>457</v>
      </c>
      <c r="AG241" s="4" t="str">
        <f t="shared" si="41"/>
        <v>Not Applicable</v>
      </c>
      <c r="AK241" s="4" t="s">
        <v>3573</v>
      </c>
      <c r="AL241" s="4" t="str">
        <f t="shared" si="42"/>
        <v>Found</v>
      </c>
      <c r="AN241" s="6">
        <v>50.495800000000003</v>
      </c>
      <c r="AO241" s="4" t="str">
        <f t="shared" si="43"/>
        <v>High</v>
      </c>
    </row>
    <row r="242" spans="1:41">
      <c r="A242">
        <v>1</v>
      </c>
      <c r="B242" t="str">
        <f t="shared" si="33"/>
        <v>First Class</v>
      </c>
      <c r="C242">
        <v>1</v>
      </c>
      <c r="E242" t="str">
        <f t="shared" si="34"/>
        <v>Survived</v>
      </c>
      <c r="F242" t="s">
        <v>964</v>
      </c>
      <c r="G242" t="s">
        <v>848</v>
      </c>
      <c r="H242" t="s">
        <v>1000</v>
      </c>
      <c r="I242" t="str">
        <f t="shared" si="35"/>
        <v>Mr. Romaine Charles</v>
      </c>
      <c r="J242" t="s">
        <v>20</v>
      </c>
      <c r="K242" t="str">
        <f t="shared" si="36"/>
        <v>Male</v>
      </c>
      <c r="L242">
        <v>45</v>
      </c>
      <c r="O242">
        <f t="shared" si="37"/>
        <v>45</v>
      </c>
      <c r="P242">
        <v>0</v>
      </c>
      <c r="R242" s="4">
        <v>0</v>
      </c>
      <c r="T242" s="5">
        <v>26.55</v>
      </c>
      <c r="W242" s="4">
        <v>45</v>
      </c>
      <c r="X242" s="4" t="str">
        <f t="shared" si="38"/>
        <v>Adult</v>
      </c>
      <c r="Y242" s="4" t="s">
        <v>3561</v>
      </c>
      <c r="AB242" s="4" t="str">
        <f t="shared" si="39"/>
        <v/>
      </c>
      <c r="AC242" s="4" t="str">
        <f t="shared" si="40"/>
        <v>Unknown</v>
      </c>
      <c r="AD242" s="4" t="s">
        <v>457</v>
      </c>
      <c r="AF242" s="4">
        <v>9</v>
      </c>
      <c r="AG242" s="4">
        <f t="shared" si="41"/>
        <v>9</v>
      </c>
      <c r="AK242" s="4" t="s">
        <v>3573</v>
      </c>
      <c r="AL242" s="4" t="str">
        <f t="shared" si="42"/>
        <v>Found</v>
      </c>
      <c r="AN242" s="6">
        <v>26.55</v>
      </c>
      <c r="AO242" s="4" t="str">
        <f t="shared" si="43"/>
        <v>Mid</v>
      </c>
    </row>
    <row r="243" spans="1:41">
      <c r="A243">
        <v>1</v>
      </c>
      <c r="B243" t="str">
        <f t="shared" si="33"/>
        <v>First Class</v>
      </c>
      <c r="C243">
        <v>0</v>
      </c>
      <c r="E243" t="str">
        <f t="shared" si="34"/>
        <v>Died</v>
      </c>
      <c r="F243" t="s">
        <v>1179</v>
      </c>
      <c r="G243" t="s">
        <v>848</v>
      </c>
      <c r="H243" t="s">
        <v>1180</v>
      </c>
      <c r="I243" t="str">
        <f t="shared" si="35"/>
        <v>Mr. Rood Hugh</v>
      </c>
      <c r="J243" t="s">
        <v>20</v>
      </c>
      <c r="K243" t="str">
        <f t="shared" si="36"/>
        <v>Male</v>
      </c>
      <c r="L243">
        <v>28</v>
      </c>
      <c r="O243">
        <f t="shared" si="37"/>
        <v>28</v>
      </c>
      <c r="P243">
        <v>0</v>
      </c>
      <c r="R243" s="4">
        <v>0</v>
      </c>
      <c r="T243" s="5">
        <v>50</v>
      </c>
      <c r="W243" s="4">
        <v>28</v>
      </c>
      <c r="X243" s="4" t="str">
        <f t="shared" si="38"/>
        <v>Young Adult</v>
      </c>
      <c r="Y243" s="4" t="s">
        <v>324</v>
      </c>
      <c r="AA243" s="4" t="s">
        <v>324</v>
      </c>
      <c r="AB243" s="4" t="str">
        <f t="shared" si="39"/>
        <v>A</v>
      </c>
      <c r="AC243" s="4" t="str">
        <f t="shared" si="40"/>
        <v>A</v>
      </c>
      <c r="AD243" s="4" t="s">
        <v>457</v>
      </c>
      <c r="AG243" s="4" t="str">
        <f t="shared" si="41"/>
        <v>Not Applicable</v>
      </c>
      <c r="AK243" s="4" t="s">
        <v>3573</v>
      </c>
      <c r="AL243" s="4" t="str">
        <f t="shared" si="42"/>
        <v>Found</v>
      </c>
      <c r="AN243" s="6">
        <v>50</v>
      </c>
      <c r="AO243" s="4" t="str">
        <f t="shared" si="43"/>
        <v>Mid</v>
      </c>
    </row>
    <row r="244" spans="1:41">
      <c r="A244">
        <v>1</v>
      </c>
      <c r="B244" t="str">
        <f t="shared" si="33"/>
        <v>First Class</v>
      </c>
      <c r="C244">
        <v>1</v>
      </c>
      <c r="E244" t="str">
        <f t="shared" si="34"/>
        <v>Survived</v>
      </c>
      <c r="F244" t="s">
        <v>1181</v>
      </c>
      <c r="G244" t="s">
        <v>842</v>
      </c>
      <c r="H244" t="s">
        <v>910</v>
      </c>
      <c r="I244" t="str">
        <f t="shared" si="35"/>
        <v>Miss. Rosenbaum Edith</v>
      </c>
      <c r="J244" t="s">
        <v>47</v>
      </c>
      <c r="K244" t="str">
        <f t="shared" si="36"/>
        <v>Female</v>
      </c>
      <c r="L244">
        <v>33</v>
      </c>
      <c r="O244">
        <f t="shared" si="37"/>
        <v>33</v>
      </c>
      <c r="P244">
        <v>0</v>
      </c>
      <c r="R244" s="4">
        <v>0</v>
      </c>
      <c r="T244" s="5">
        <v>27.720800000000001</v>
      </c>
      <c r="W244" s="4">
        <v>33</v>
      </c>
      <c r="X244" s="4" t="str">
        <f t="shared" si="38"/>
        <v>Adult</v>
      </c>
      <c r="Y244" s="4" t="s">
        <v>327</v>
      </c>
      <c r="AA244" s="4" t="s">
        <v>327</v>
      </c>
      <c r="AB244" s="4" t="str">
        <f t="shared" si="39"/>
        <v>A</v>
      </c>
      <c r="AC244" s="4" t="str">
        <f t="shared" si="40"/>
        <v>A</v>
      </c>
      <c r="AD244" s="4" t="s">
        <v>3566</v>
      </c>
      <c r="AF244" s="4">
        <v>11</v>
      </c>
      <c r="AG244" s="4">
        <f t="shared" si="41"/>
        <v>11</v>
      </c>
      <c r="AK244" s="4" t="s">
        <v>3573</v>
      </c>
      <c r="AL244" s="4" t="str">
        <f t="shared" si="42"/>
        <v>Found</v>
      </c>
      <c r="AN244" s="6">
        <v>27.720800000000001</v>
      </c>
      <c r="AO244" s="4" t="str">
        <f t="shared" si="43"/>
        <v>Mid</v>
      </c>
    </row>
    <row r="245" spans="1:41">
      <c r="A245">
        <v>1</v>
      </c>
      <c r="B245" t="str">
        <f t="shared" si="33"/>
        <v>First Class</v>
      </c>
      <c r="C245">
        <v>0</v>
      </c>
      <c r="E245" t="str">
        <f t="shared" si="34"/>
        <v>Died</v>
      </c>
      <c r="F245" t="s">
        <v>1182</v>
      </c>
      <c r="G245" t="s">
        <v>848</v>
      </c>
      <c r="H245" t="s">
        <v>912</v>
      </c>
      <c r="I245" t="str">
        <f t="shared" si="35"/>
        <v>Mr. Rosenshine George</v>
      </c>
      <c r="J245" t="s">
        <v>20</v>
      </c>
      <c r="K245" t="str">
        <f t="shared" si="36"/>
        <v>Male</v>
      </c>
      <c r="L245">
        <v>46</v>
      </c>
      <c r="O245">
        <f t="shared" si="37"/>
        <v>46</v>
      </c>
      <c r="P245">
        <v>0</v>
      </c>
      <c r="R245" s="4">
        <v>0</v>
      </c>
      <c r="T245" s="5">
        <v>79.2</v>
      </c>
      <c r="W245" s="4">
        <v>46</v>
      </c>
      <c r="X245" s="4" t="str">
        <f t="shared" si="38"/>
        <v>Adult</v>
      </c>
      <c r="Y245" s="4" t="s">
        <v>3561</v>
      </c>
      <c r="AB245" s="4" t="str">
        <f t="shared" si="39"/>
        <v/>
      </c>
      <c r="AC245" s="4" t="str">
        <f t="shared" si="40"/>
        <v>Unknown</v>
      </c>
      <c r="AD245" s="4" t="s">
        <v>3566</v>
      </c>
      <c r="AG245" s="4" t="str">
        <f t="shared" si="41"/>
        <v>Not Applicable</v>
      </c>
      <c r="AH245" s="4">
        <v>16</v>
      </c>
      <c r="AK245" s="4">
        <v>16</v>
      </c>
      <c r="AL245" s="4" t="str">
        <f t="shared" si="42"/>
        <v>Found</v>
      </c>
      <c r="AN245" s="6">
        <v>79.2</v>
      </c>
      <c r="AO245" s="4" t="str">
        <f t="shared" si="43"/>
        <v>High</v>
      </c>
    </row>
    <row r="246" spans="1:41">
      <c r="A246">
        <v>1</v>
      </c>
      <c r="B246" t="str">
        <f t="shared" si="33"/>
        <v>First Class</v>
      </c>
      <c r="C246">
        <v>0</v>
      </c>
      <c r="E246" t="str">
        <f t="shared" si="34"/>
        <v>Died</v>
      </c>
      <c r="F246" t="s">
        <v>1183</v>
      </c>
      <c r="G246" t="s">
        <v>848</v>
      </c>
      <c r="H246" t="s">
        <v>862</v>
      </c>
      <c r="I246" t="str">
        <f t="shared" si="35"/>
        <v>Mr. Ross John</v>
      </c>
      <c r="J246" t="s">
        <v>20</v>
      </c>
      <c r="K246" t="str">
        <f t="shared" si="36"/>
        <v>Male</v>
      </c>
      <c r="L246">
        <v>36</v>
      </c>
      <c r="O246">
        <f t="shared" si="37"/>
        <v>36</v>
      </c>
      <c r="P246">
        <v>0</v>
      </c>
      <c r="R246" s="4">
        <v>0</v>
      </c>
      <c r="T246" s="5">
        <v>40.125</v>
      </c>
      <c r="W246" s="4">
        <v>36</v>
      </c>
      <c r="X246" s="4" t="str">
        <f t="shared" si="38"/>
        <v>Adult</v>
      </c>
      <c r="Y246" s="4" t="s">
        <v>329</v>
      </c>
      <c r="AA246" s="4" t="s">
        <v>329</v>
      </c>
      <c r="AB246" s="4" t="str">
        <f t="shared" si="39"/>
        <v>A</v>
      </c>
      <c r="AC246" s="4" t="str">
        <f t="shared" si="40"/>
        <v>A</v>
      </c>
      <c r="AD246" s="4" t="s">
        <v>3566</v>
      </c>
      <c r="AG246" s="4" t="str">
        <f t="shared" si="41"/>
        <v>Not Applicable</v>
      </c>
      <c r="AK246" s="4" t="s">
        <v>3573</v>
      </c>
      <c r="AL246" s="4" t="str">
        <f t="shared" si="42"/>
        <v>Found</v>
      </c>
      <c r="AN246" s="6">
        <v>40.125</v>
      </c>
      <c r="AO246" s="4" t="str">
        <f t="shared" si="43"/>
        <v>Mid</v>
      </c>
    </row>
    <row r="247" spans="1:41">
      <c r="A247">
        <v>1</v>
      </c>
      <c r="B247" t="str">
        <f t="shared" si="33"/>
        <v>First Class</v>
      </c>
      <c r="C247">
        <v>1</v>
      </c>
      <c r="E247" t="str">
        <f t="shared" si="34"/>
        <v>Survived</v>
      </c>
      <c r="F247" t="s">
        <v>1184</v>
      </c>
      <c r="G247" t="s">
        <v>1185</v>
      </c>
      <c r="H247" t="s">
        <v>1186</v>
      </c>
      <c r="I247" t="str">
        <f t="shared" si="35"/>
        <v>the Rothes Countess.</v>
      </c>
      <c r="J247" t="s">
        <v>47</v>
      </c>
      <c r="K247" t="str">
        <f t="shared" si="36"/>
        <v>Female</v>
      </c>
      <c r="L247">
        <v>33</v>
      </c>
      <c r="O247">
        <f t="shared" si="37"/>
        <v>33</v>
      </c>
      <c r="P247">
        <v>0</v>
      </c>
      <c r="R247" s="4">
        <v>0</v>
      </c>
      <c r="T247" s="5">
        <v>86.5</v>
      </c>
      <c r="W247" s="4">
        <v>33</v>
      </c>
      <c r="X247" s="4" t="str">
        <f t="shared" si="38"/>
        <v>Adult</v>
      </c>
      <c r="Y247" s="4" t="s">
        <v>137</v>
      </c>
      <c r="AA247" s="4" t="s">
        <v>137</v>
      </c>
      <c r="AB247" s="4" t="str">
        <f t="shared" si="39"/>
        <v>B</v>
      </c>
      <c r="AC247" s="4" t="str">
        <f t="shared" si="40"/>
        <v>B</v>
      </c>
      <c r="AD247" s="4" t="s">
        <v>457</v>
      </c>
      <c r="AF247" s="4">
        <v>8</v>
      </c>
      <c r="AG247" s="4">
        <f t="shared" si="41"/>
        <v>8</v>
      </c>
      <c r="AK247" s="4" t="s">
        <v>3573</v>
      </c>
      <c r="AL247" s="4" t="str">
        <f t="shared" si="42"/>
        <v>Found</v>
      </c>
      <c r="AN247" s="6">
        <v>86.5</v>
      </c>
      <c r="AO247" s="4" t="str">
        <f t="shared" si="43"/>
        <v>High</v>
      </c>
    </row>
    <row r="248" spans="1:41">
      <c r="A248">
        <v>1</v>
      </c>
      <c r="B248" t="str">
        <f t="shared" si="33"/>
        <v>First Class</v>
      </c>
      <c r="C248">
        <v>0</v>
      </c>
      <c r="E248" t="str">
        <f t="shared" si="34"/>
        <v>Died</v>
      </c>
      <c r="F248" t="s">
        <v>1188</v>
      </c>
      <c r="G248" t="s">
        <v>848</v>
      </c>
      <c r="H248" t="s">
        <v>1189</v>
      </c>
      <c r="I248" t="str">
        <f t="shared" si="35"/>
        <v>Mr. Rothschild Martin</v>
      </c>
      <c r="J248" t="s">
        <v>20</v>
      </c>
      <c r="K248" t="str">
        <f t="shared" si="36"/>
        <v>Male</v>
      </c>
      <c r="L248">
        <v>55</v>
      </c>
      <c r="O248">
        <f t="shared" si="37"/>
        <v>55</v>
      </c>
      <c r="P248">
        <v>1</v>
      </c>
      <c r="R248" s="4">
        <v>0</v>
      </c>
      <c r="T248" s="5">
        <v>59.4</v>
      </c>
      <c r="W248" s="4">
        <v>55</v>
      </c>
      <c r="X248" s="4" t="str">
        <f t="shared" si="38"/>
        <v>Adult</v>
      </c>
      <c r="Y248" s="4" t="s">
        <v>3561</v>
      </c>
      <c r="AB248" s="4" t="str">
        <f t="shared" si="39"/>
        <v/>
      </c>
      <c r="AC248" s="4" t="str">
        <f t="shared" si="40"/>
        <v>Unknown</v>
      </c>
      <c r="AD248" s="4" t="s">
        <v>3566</v>
      </c>
      <c r="AG248" s="4" t="str">
        <f t="shared" si="41"/>
        <v>Not Applicable</v>
      </c>
      <c r="AK248" s="4" t="s">
        <v>3573</v>
      </c>
      <c r="AL248" s="4" t="str">
        <f t="shared" si="42"/>
        <v>Found</v>
      </c>
      <c r="AN248" s="6">
        <v>59.4</v>
      </c>
      <c r="AO248" s="4" t="str">
        <f t="shared" si="43"/>
        <v>High</v>
      </c>
    </row>
    <row r="249" spans="1:41">
      <c r="A249">
        <v>1</v>
      </c>
      <c r="B249" t="str">
        <f t="shared" si="33"/>
        <v>First Class</v>
      </c>
      <c r="C249">
        <v>1</v>
      </c>
      <c r="E249" t="str">
        <f t="shared" si="34"/>
        <v>Survived</v>
      </c>
      <c r="F249" t="s">
        <v>1188</v>
      </c>
      <c r="G249" t="s">
        <v>849</v>
      </c>
      <c r="H249" t="s">
        <v>1189</v>
      </c>
      <c r="I249" t="str">
        <f t="shared" si="35"/>
        <v>Mrs. Rothschild Martin</v>
      </c>
      <c r="J249" t="s">
        <v>47</v>
      </c>
      <c r="K249" t="str">
        <f t="shared" si="36"/>
        <v>Female</v>
      </c>
      <c r="L249">
        <v>54</v>
      </c>
      <c r="O249">
        <f t="shared" si="37"/>
        <v>54</v>
      </c>
      <c r="P249">
        <v>1</v>
      </c>
      <c r="R249" s="4">
        <v>0</v>
      </c>
      <c r="T249" s="5">
        <v>59.4</v>
      </c>
      <c r="W249" s="4">
        <v>54</v>
      </c>
      <c r="X249" s="4" t="str">
        <f t="shared" si="38"/>
        <v>Adult</v>
      </c>
      <c r="Y249" s="4" t="s">
        <v>3561</v>
      </c>
      <c r="AB249" s="4" t="str">
        <f t="shared" si="39"/>
        <v/>
      </c>
      <c r="AC249" s="4" t="str">
        <f t="shared" si="40"/>
        <v>Unknown</v>
      </c>
      <c r="AD249" s="4" t="s">
        <v>3566</v>
      </c>
      <c r="AF249" s="4">
        <v>6</v>
      </c>
      <c r="AG249" s="4">
        <f t="shared" si="41"/>
        <v>6</v>
      </c>
      <c r="AK249" s="4" t="s">
        <v>3573</v>
      </c>
      <c r="AL249" s="4" t="str">
        <f t="shared" si="42"/>
        <v>Found</v>
      </c>
      <c r="AN249" s="6">
        <v>59.4</v>
      </c>
      <c r="AO249" s="4" t="str">
        <f t="shared" si="43"/>
        <v>High</v>
      </c>
    </row>
    <row r="250" spans="1:41">
      <c r="A250">
        <v>1</v>
      </c>
      <c r="B250" t="str">
        <f t="shared" si="33"/>
        <v>First Class</v>
      </c>
      <c r="C250">
        <v>0</v>
      </c>
      <c r="E250" t="str">
        <f t="shared" si="34"/>
        <v>Died</v>
      </c>
      <c r="F250" t="s">
        <v>1190</v>
      </c>
      <c r="G250" t="s">
        <v>848</v>
      </c>
      <c r="H250" t="s">
        <v>1015</v>
      </c>
      <c r="I250" t="str">
        <f t="shared" si="35"/>
        <v>Mr. Rowe Alfred</v>
      </c>
      <c r="J250" t="s">
        <v>20</v>
      </c>
      <c r="K250" t="str">
        <f t="shared" si="36"/>
        <v>Male</v>
      </c>
      <c r="L250">
        <v>33</v>
      </c>
      <c r="O250">
        <f t="shared" si="37"/>
        <v>33</v>
      </c>
      <c r="P250">
        <v>0</v>
      </c>
      <c r="R250" s="4">
        <v>0</v>
      </c>
      <c r="T250" s="5">
        <v>26.55</v>
      </c>
      <c r="W250" s="4">
        <v>33</v>
      </c>
      <c r="X250" s="4" t="str">
        <f t="shared" si="38"/>
        <v>Adult</v>
      </c>
      <c r="Y250" s="4" t="s">
        <v>3561</v>
      </c>
      <c r="AB250" s="4" t="str">
        <f t="shared" si="39"/>
        <v/>
      </c>
      <c r="AC250" s="4" t="str">
        <f t="shared" si="40"/>
        <v>Unknown</v>
      </c>
      <c r="AD250" s="4" t="s">
        <v>457</v>
      </c>
      <c r="AG250" s="4" t="str">
        <f t="shared" si="41"/>
        <v>Not Applicable</v>
      </c>
      <c r="AH250" s="4">
        <v>109</v>
      </c>
      <c r="AK250" s="4">
        <v>109</v>
      </c>
      <c r="AL250" s="4" t="str">
        <f t="shared" si="42"/>
        <v>Found</v>
      </c>
      <c r="AN250" s="6">
        <v>26.55</v>
      </c>
      <c r="AO250" s="4" t="str">
        <f t="shared" si="43"/>
        <v>Mid</v>
      </c>
    </row>
    <row r="251" spans="1:41">
      <c r="A251">
        <v>1</v>
      </c>
      <c r="B251" t="str">
        <f t="shared" si="33"/>
        <v>First Class</v>
      </c>
      <c r="C251">
        <v>1</v>
      </c>
      <c r="E251" t="str">
        <f t="shared" si="34"/>
        <v>Survived</v>
      </c>
      <c r="F251" t="s">
        <v>1191</v>
      </c>
      <c r="G251" t="s">
        <v>845</v>
      </c>
      <c r="H251" t="s">
        <v>862</v>
      </c>
      <c r="I251" t="str">
        <f t="shared" si="35"/>
        <v>Master. Ryerson John</v>
      </c>
      <c r="J251" t="s">
        <v>20</v>
      </c>
      <c r="K251" t="str">
        <f t="shared" si="36"/>
        <v>Male</v>
      </c>
      <c r="L251">
        <v>13</v>
      </c>
      <c r="O251">
        <f t="shared" si="37"/>
        <v>13</v>
      </c>
      <c r="P251">
        <v>2</v>
      </c>
      <c r="R251" s="4">
        <v>2</v>
      </c>
      <c r="T251" s="5">
        <v>262.375</v>
      </c>
      <c r="W251" s="4">
        <v>13</v>
      </c>
      <c r="X251" s="4" t="str">
        <f t="shared" si="38"/>
        <v>Teenager</v>
      </c>
      <c r="Y251" s="4" t="s">
        <v>332</v>
      </c>
      <c r="AA251" s="4" t="s">
        <v>332</v>
      </c>
      <c r="AB251" s="4" t="str">
        <f t="shared" si="39"/>
        <v>B</v>
      </c>
      <c r="AC251" s="4" t="str">
        <f t="shared" si="40"/>
        <v>B</v>
      </c>
      <c r="AD251" s="4" t="s">
        <v>3566</v>
      </c>
      <c r="AF251" s="4">
        <v>4</v>
      </c>
      <c r="AG251" s="4">
        <f t="shared" si="41"/>
        <v>4</v>
      </c>
      <c r="AK251" s="4" t="s">
        <v>3573</v>
      </c>
      <c r="AL251" s="4" t="str">
        <f t="shared" si="42"/>
        <v>Found</v>
      </c>
      <c r="AN251" s="6">
        <v>262.375</v>
      </c>
      <c r="AO251" s="4" t="str">
        <f t="shared" si="43"/>
        <v>High</v>
      </c>
    </row>
    <row r="252" spans="1:41">
      <c r="A252">
        <v>1</v>
      </c>
      <c r="B252" t="str">
        <f t="shared" si="33"/>
        <v>First Class</v>
      </c>
      <c r="C252">
        <v>1</v>
      </c>
      <c r="E252" t="str">
        <f t="shared" si="34"/>
        <v>Survived</v>
      </c>
      <c r="F252" t="s">
        <v>1191</v>
      </c>
      <c r="G252" t="s">
        <v>842</v>
      </c>
      <c r="H252" t="s">
        <v>1192</v>
      </c>
      <c r="I252" t="str">
        <f t="shared" si="35"/>
        <v>Miss. Ryerson Emily</v>
      </c>
      <c r="J252" t="s">
        <v>47</v>
      </c>
      <c r="K252" t="str">
        <f t="shared" si="36"/>
        <v>Female</v>
      </c>
      <c r="L252">
        <v>18</v>
      </c>
      <c r="O252">
        <f t="shared" si="37"/>
        <v>18</v>
      </c>
      <c r="P252">
        <v>2</v>
      </c>
      <c r="R252" s="4">
        <v>2</v>
      </c>
      <c r="T252" s="5">
        <v>262.375</v>
      </c>
      <c r="W252" s="4">
        <v>18</v>
      </c>
      <c r="X252" s="4" t="str">
        <f t="shared" si="38"/>
        <v>Young Adult</v>
      </c>
      <c r="Y252" s="4" t="s">
        <v>332</v>
      </c>
      <c r="AA252" s="4" t="s">
        <v>332</v>
      </c>
      <c r="AB252" s="4" t="str">
        <f t="shared" si="39"/>
        <v>B</v>
      </c>
      <c r="AC252" s="4" t="str">
        <f t="shared" si="40"/>
        <v>B</v>
      </c>
      <c r="AD252" s="4" t="s">
        <v>3566</v>
      </c>
      <c r="AF252" s="4">
        <v>4</v>
      </c>
      <c r="AG252" s="4">
        <f t="shared" si="41"/>
        <v>4</v>
      </c>
      <c r="AK252" s="4" t="s">
        <v>3573</v>
      </c>
      <c r="AL252" s="4" t="str">
        <f t="shared" si="42"/>
        <v>Found</v>
      </c>
      <c r="AN252" s="6">
        <v>262.375</v>
      </c>
      <c r="AO252" s="4" t="str">
        <f t="shared" si="43"/>
        <v>High</v>
      </c>
    </row>
    <row r="253" spans="1:41">
      <c r="A253">
        <v>1</v>
      </c>
      <c r="B253" t="str">
        <f t="shared" si="33"/>
        <v>First Class</v>
      </c>
      <c r="C253">
        <v>1</v>
      </c>
      <c r="E253" t="str">
        <f t="shared" si="34"/>
        <v>Survived</v>
      </c>
      <c r="F253" t="s">
        <v>1191</v>
      </c>
      <c r="G253" t="s">
        <v>842</v>
      </c>
      <c r="H253" t="s">
        <v>1193</v>
      </c>
      <c r="I253" t="str">
        <f t="shared" si="35"/>
        <v>Miss. Ryerson Susan</v>
      </c>
      <c r="J253" t="s">
        <v>47</v>
      </c>
      <c r="K253" t="str">
        <f t="shared" si="36"/>
        <v>Female</v>
      </c>
      <c r="L253">
        <v>21</v>
      </c>
      <c r="O253">
        <f t="shared" si="37"/>
        <v>21</v>
      </c>
      <c r="P253">
        <v>2</v>
      </c>
      <c r="R253" s="4">
        <v>2</v>
      </c>
      <c r="T253" s="5">
        <v>262.375</v>
      </c>
      <c r="W253" s="4">
        <v>21</v>
      </c>
      <c r="X253" s="4" t="str">
        <f t="shared" si="38"/>
        <v>Young Adult</v>
      </c>
      <c r="Y253" s="4" t="s">
        <v>332</v>
      </c>
      <c r="AA253" s="4" t="s">
        <v>332</v>
      </c>
      <c r="AB253" s="4" t="str">
        <f t="shared" si="39"/>
        <v>B</v>
      </c>
      <c r="AC253" s="4" t="str">
        <f t="shared" si="40"/>
        <v>B</v>
      </c>
      <c r="AD253" s="4" t="s">
        <v>3566</v>
      </c>
      <c r="AF253" s="4">
        <v>4</v>
      </c>
      <c r="AG253" s="4">
        <f t="shared" si="41"/>
        <v>4</v>
      </c>
      <c r="AK253" s="4" t="s">
        <v>3573</v>
      </c>
      <c r="AL253" s="4" t="str">
        <f t="shared" si="42"/>
        <v>Found</v>
      </c>
      <c r="AN253" s="6">
        <v>262.375</v>
      </c>
      <c r="AO253" s="4" t="str">
        <f t="shared" si="43"/>
        <v>High</v>
      </c>
    </row>
    <row r="254" spans="1:41">
      <c r="A254">
        <v>1</v>
      </c>
      <c r="B254" t="str">
        <f t="shared" si="33"/>
        <v>First Class</v>
      </c>
      <c r="C254">
        <v>0</v>
      </c>
      <c r="E254" t="str">
        <f t="shared" si="34"/>
        <v>Died</v>
      </c>
      <c r="F254" t="s">
        <v>1191</v>
      </c>
      <c r="G254" t="s">
        <v>848</v>
      </c>
      <c r="H254" t="s">
        <v>913</v>
      </c>
      <c r="I254" t="str">
        <f t="shared" si="35"/>
        <v>Mr. Ryerson Arthur</v>
      </c>
      <c r="J254" t="s">
        <v>20</v>
      </c>
      <c r="K254" t="str">
        <f t="shared" si="36"/>
        <v>Male</v>
      </c>
      <c r="L254">
        <v>61</v>
      </c>
      <c r="O254">
        <f t="shared" si="37"/>
        <v>61</v>
      </c>
      <c r="P254">
        <v>1</v>
      </c>
      <c r="R254" s="4">
        <v>3</v>
      </c>
      <c r="T254" s="5">
        <v>262.375</v>
      </c>
      <c r="W254" s="4">
        <v>61</v>
      </c>
      <c r="X254" s="4" t="str">
        <f t="shared" si="38"/>
        <v>Old Adult</v>
      </c>
      <c r="Y254" s="4" t="s">
        <v>332</v>
      </c>
      <c r="AA254" s="4" t="s">
        <v>332</v>
      </c>
      <c r="AB254" s="4" t="str">
        <f t="shared" si="39"/>
        <v>B</v>
      </c>
      <c r="AC254" s="4" t="str">
        <f t="shared" si="40"/>
        <v>B</v>
      </c>
      <c r="AD254" s="4" t="s">
        <v>3566</v>
      </c>
      <c r="AG254" s="4" t="str">
        <f t="shared" si="41"/>
        <v>Not Applicable</v>
      </c>
      <c r="AK254" s="4" t="s">
        <v>3573</v>
      </c>
      <c r="AL254" s="4" t="str">
        <f t="shared" si="42"/>
        <v>Found</v>
      </c>
      <c r="AN254" s="6">
        <v>262.375</v>
      </c>
      <c r="AO254" s="4" t="str">
        <f t="shared" si="43"/>
        <v>High</v>
      </c>
    </row>
    <row r="255" spans="1:41">
      <c r="A255">
        <v>1</v>
      </c>
      <c r="B255" t="str">
        <f t="shared" si="33"/>
        <v>First Class</v>
      </c>
      <c r="C255">
        <v>1</v>
      </c>
      <c r="E255" t="str">
        <f t="shared" si="34"/>
        <v>Survived</v>
      </c>
      <c r="F255" t="s">
        <v>1191</v>
      </c>
      <c r="G255" t="s">
        <v>849</v>
      </c>
      <c r="H255" t="s">
        <v>913</v>
      </c>
      <c r="I255" t="str">
        <f t="shared" si="35"/>
        <v>Mrs. Ryerson Arthur</v>
      </c>
      <c r="J255" t="s">
        <v>47</v>
      </c>
      <c r="K255" t="str">
        <f t="shared" si="36"/>
        <v>Female</v>
      </c>
      <c r="L255">
        <v>48</v>
      </c>
      <c r="O255">
        <f t="shared" si="37"/>
        <v>48</v>
      </c>
      <c r="P255">
        <v>1</v>
      </c>
      <c r="R255" s="4">
        <v>3</v>
      </c>
      <c r="T255" s="5">
        <v>262.375</v>
      </c>
      <c r="W255" s="4">
        <v>48</v>
      </c>
      <c r="X255" s="4" t="str">
        <f t="shared" si="38"/>
        <v>Adult</v>
      </c>
      <c r="Y255" s="4" t="s">
        <v>332</v>
      </c>
      <c r="AA255" s="4" t="s">
        <v>332</v>
      </c>
      <c r="AB255" s="4" t="str">
        <f t="shared" si="39"/>
        <v>B</v>
      </c>
      <c r="AC255" s="4" t="str">
        <f t="shared" si="40"/>
        <v>B</v>
      </c>
      <c r="AD255" s="4" t="s">
        <v>3566</v>
      </c>
      <c r="AF255" s="4">
        <v>4</v>
      </c>
      <c r="AG255" s="4">
        <f t="shared" si="41"/>
        <v>4</v>
      </c>
      <c r="AK255" s="4" t="s">
        <v>3573</v>
      </c>
      <c r="AL255" s="4" t="str">
        <f t="shared" si="42"/>
        <v>Found</v>
      </c>
      <c r="AN255" s="6">
        <v>262.375</v>
      </c>
      <c r="AO255" s="4" t="str">
        <f t="shared" si="43"/>
        <v>High</v>
      </c>
    </row>
    <row r="256" spans="1:41">
      <c r="A256">
        <v>1</v>
      </c>
      <c r="B256" t="str">
        <f t="shared" si="33"/>
        <v>First Class</v>
      </c>
      <c r="C256">
        <v>1</v>
      </c>
      <c r="E256" t="str">
        <f t="shared" si="34"/>
        <v>Survived</v>
      </c>
      <c r="F256" t="s">
        <v>1196</v>
      </c>
      <c r="G256" t="s">
        <v>848</v>
      </c>
      <c r="H256" t="s">
        <v>1197</v>
      </c>
      <c r="I256" t="str">
        <f t="shared" si="35"/>
        <v>Mr. Saalfeld Adolphe</v>
      </c>
      <c r="J256" t="s">
        <v>20</v>
      </c>
      <c r="K256" t="str">
        <f t="shared" si="36"/>
        <v>Male</v>
      </c>
      <c r="L256">
        <v>28</v>
      </c>
      <c r="O256">
        <f t="shared" si="37"/>
        <v>28</v>
      </c>
      <c r="P256">
        <v>0</v>
      </c>
      <c r="R256" s="4">
        <v>0</v>
      </c>
      <c r="T256" s="5">
        <v>30.5</v>
      </c>
      <c r="W256" s="4">
        <v>28</v>
      </c>
      <c r="X256" s="4" t="str">
        <f t="shared" si="38"/>
        <v>Young Adult</v>
      </c>
      <c r="Y256" s="4" t="s">
        <v>271</v>
      </c>
      <c r="AA256" s="4" t="s">
        <v>271</v>
      </c>
      <c r="AB256" s="4" t="str">
        <f t="shared" si="39"/>
        <v>C</v>
      </c>
      <c r="AC256" s="4" t="str">
        <f t="shared" si="40"/>
        <v>C</v>
      </c>
      <c r="AD256" s="4" t="s">
        <v>457</v>
      </c>
      <c r="AF256" s="4">
        <v>3</v>
      </c>
      <c r="AG256" s="4">
        <f t="shared" si="41"/>
        <v>3</v>
      </c>
      <c r="AK256" s="4" t="s">
        <v>3573</v>
      </c>
      <c r="AL256" s="4" t="str">
        <f t="shared" si="42"/>
        <v>Found</v>
      </c>
      <c r="AN256" s="6">
        <v>30.5</v>
      </c>
      <c r="AO256" s="4" t="str">
        <f t="shared" si="43"/>
        <v>Mid</v>
      </c>
    </row>
    <row r="257" spans="1:41">
      <c r="A257">
        <v>1</v>
      </c>
      <c r="B257" t="str">
        <f t="shared" si="33"/>
        <v>First Class</v>
      </c>
      <c r="C257">
        <v>1</v>
      </c>
      <c r="E257" t="str">
        <f t="shared" si="34"/>
        <v>Survived</v>
      </c>
      <c r="F257" t="s">
        <v>1198</v>
      </c>
      <c r="G257" t="s">
        <v>1125</v>
      </c>
      <c r="H257" t="s">
        <v>1199</v>
      </c>
      <c r="I257" t="str">
        <f t="shared" si="35"/>
        <v>Mlle. Sagesser Emma</v>
      </c>
      <c r="J257" t="s">
        <v>47</v>
      </c>
      <c r="K257" t="str">
        <f t="shared" si="36"/>
        <v>Female</v>
      </c>
      <c r="L257">
        <v>24</v>
      </c>
      <c r="O257">
        <f t="shared" si="37"/>
        <v>24</v>
      </c>
      <c r="P257">
        <v>0</v>
      </c>
      <c r="R257" s="4">
        <v>0</v>
      </c>
      <c r="T257" s="5">
        <v>69.3</v>
      </c>
      <c r="W257" s="4">
        <v>24</v>
      </c>
      <c r="X257" s="4" t="str">
        <f t="shared" si="38"/>
        <v>Young Adult</v>
      </c>
      <c r="Y257" s="4" t="s">
        <v>67</v>
      </c>
      <c r="AA257" s="4" t="s">
        <v>67</v>
      </c>
      <c r="AB257" s="4" t="str">
        <f t="shared" si="39"/>
        <v>B</v>
      </c>
      <c r="AC257" s="4" t="str">
        <f t="shared" si="40"/>
        <v>B</v>
      </c>
      <c r="AD257" s="4" t="s">
        <v>3566</v>
      </c>
      <c r="AF257" s="4">
        <v>9</v>
      </c>
      <c r="AG257" s="4">
        <f t="shared" si="41"/>
        <v>9</v>
      </c>
      <c r="AK257" s="4" t="s">
        <v>3573</v>
      </c>
      <c r="AL257" s="4" t="str">
        <f t="shared" si="42"/>
        <v>Found</v>
      </c>
      <c r="AN257" s="6">
        <v>69.3</v>
      </c>
      <c r="AO257" s="4" t="str">
        <f t="shared" si="43"/>
        <v>High</v>
      </c>
    </row>
    <row r="258" spans="1:41">
      <c r="A258">
        <v>1</v>
      </c>
      <c r="B258" t="str">
        <f t="shared" si="33"/>
        <v>First Class</v>
      </c>
      <c r="C258">
        <v>1</v>
      </c>
      <c r="E258" t="str">
        <f t="shared" si="34"/>
        <v>Survived</v>
      </c>
      <c r="F258" t="s">
        <v>1200</v>
      </c>
      <c r="G258" t="s">
        <v>848</v>
      </c>
      <c r="H258" t="s">
        <v>1201</v>
      </c>
      <c r="I258" t="str">
        <f t="shared" si="35"/>
        <v>Mr. Salomon Abraham</v>
      </c>
      <c r="J258" t="s">
        <v>20</v>
      </c>
      <c r="K258" t="str">
        <f t="shared" si="36"/>
        <v>Male</v>
      </c>
      <c r="L258">
        <v>28</v>
      </c>
      <c r="O258">
        <f t="shared" si="37"/>
        <v>28</v>
      </c>
      <c r="P258">
        <v>0</v>
      </c>
      <c r="R258" s="4">
        <v>0</v>
      </c>
      <c r="T258" s="5">
        <v>26</v>
      </c>
      <c r="W258" s="4">
        <v>28</v>
      </c>
      <c r="X258" s="4" t="str">
        <f t="shared" si="38"/>
        <v>Young Adult</v>
      </c>
      <c r="Y258" s="4" t="s">
        <v>3561</v>
      </c>
      <c r="AB258" s="4" t="str">
        <f t="shared" si="39"/>
        <v/>
      </c>
      <c r="AC258" s="4" t="str">
        <f t="shared" si="40"/>
        <v>Unknown</v>
      </c>
      <c r="AD258" s="4" t="s">
        <v>457</v>
      </c>
      <c r="AF258" s="4">
        <v>1</v>
      </c>
      <c r="AG258" s="4">
        <f t="shared" si="41"/>
        <v>1</v>
      </c>
      <c r="AK258" s="4" t="s">
        <v>3573</v>
      </c>
      <c r="AL258" s="4" t="str">
        <f t="shared" si="42"/>
        <v>Found</v>
      </c>
      <c r="AN258" s="6">
        <v>26</v>
      </c>
      <c r="AO258" s="4" t="str">
        <f t="shared" si="43"/>
        <v>Mid</v>
      </c>
    </row>
    <row r="259" spans="1:41">
      <c r="A259">
        <v>1</v>
      </c>
      <c r="B259" t="str">
        <f t="shared" ref="B259:B322" si="44">IF(A259=1,"First Class",IF(A259=2,"Second Class",IF(A259=3,"Third Class"," ")))</f>
        <v>First Class</v>
      </c>
      <c r="C259">
        <v>1</v>
      </c>
      <c r="E259" t="str">
        <f t="shared" ref="E259:E322" si="45">IF(C259=1,"Survived",IF(C259=0,"Died"))</f>
        <v>Survived</v>
      </c>
      <c r="F259" t="s">
        <v>1202</v>
      </c>
      <c r="G259" t="s">
        <v>849</v>
      </c>
      <c r="H259" t="s">
        <v>963</v>
      </c>
      <c r="I259" t="str">
        <f t="shared" ref="I259:I322" si="46">_xlfn.CONCAT(G259," ",F259," ",H259)</f>
        <v>Mrs. Schabert Paul</v>
      </c>
      <c r="J259" t="s">
        <v>47</v>
      </c>
      <c r="K259" t="str">
        <f t="shared" ref="K259:K322" si="47">PROPER(J259)</f>
        <v>Female</v>
      </c>
      <c r="L259">
        <v>35</v>
      </c>
      <c r="O259">
        <f t="shared" ref="O259:O322" si="48">IF(L259&lt;1,1,ROUND(L259,0))</f>
        <v>35</v>
      </c>
      <c r="P259">
        <v>1</v>
      </c>
      <c r="R259" s="4">
        <v>0</v>
      </c>
      <c r="T259" s="5">
        <v>57.75</v>
      </c>
      <c r="W259" s="4">
        <v>35</v>
      </c>
      <c r="X259" s="4" t="str">
        <f t="shared" ref="X259:X322" si="49">IF(W259&lt;10,"Child",IF(W259&lt;18,"Teenager",IF(W259&lt;30,"Young Adult",IF(W259&lt;60,"Adult","Old Adult"))))</f>
        <v>Adult</v>
      </c>
      <c r="Y259" s="4" t="s">
        <v>335</v>
      </c>
      <c r="AA259" s="4" t="s">
        <v>335</v>
      </c>
      <c r="AB259" s="4" t="str">
        <f t="shared" ref="AB259:AB322" si="50">LEFT(AA259,1)</f>
        <v>C</v>
      </c>
      <c r="AC259" s="4" t="str">
        <f t="shared" ref="AC259:AC322" si="51">IF(AB259="","Unknown",LEFT(AB259,1))</f>
        <v>C</v>
      </c>
      <c r="AD259" s="4" t="s">
        <v>3566</v>
      </c>
      <c r="AF259" s="4">
        <v>11</v>
      </c>
      <c r="AG259" s="4">
        <f t="shared" ref="AG259:AG322" si="52">IF(AF259="",IF(E259=1,"Unknown","Not Applicable"),AF259)</f>
        <v>11</v>
      </c>
      <c r="AK259" s="4" t="s">
        <v>3573</v>
      </c>
      <c r="AL259" s="4" t="str">
        <f t="shared" ref="AL259:AL322" si="53">IF(AK259="","Not Found","Found")</f>
        <v>Found</v>
      </c>
      <c r="AN259" s="6">
        <v>57.75</v>
      </c>
      <c r="AO259" s="4" t="str">
        <f t="shared" ref="AO259:AO322" si="54">IF(AN259&lt;=10,"Low",IF(AN259&lt;=50,"Mid","High"))</f>
        <v>High</v>
      </c>
    </row>
    <row r="260" spans="1:41">
      <c r="A260">
        <v>1</v>
      </c>
      <c r="B260" t="str">
        <f t="shared" si="44"/>
        <v>First Class</v>
      </c>
      <c r="C260">
        <v>1</v>
      </c>
      <c r="E260" t="str">
        <f t="shared" si="45"/>
        <v>Survived</v>
      </c>
      <c r="F260" t="s">
        <v>1203</v>
      </c>
      <c r="G260" t="s">
        <v>842</v>
      </c>
      <c r="H260" t="s">
        <v>1204</v>
      </c>
      <c r="I260" t="str">
        <f t="shared" si="46"/>
        <v>Miss. Serepeca Augusta</v>
      </c>
      <c r="J260" t="s">
        <v>47</v>
      </c>
      <c r="K260" t="str">
        <f t="shared" si="47"/>
        <v>Female</v>
      </c>
      <c r="L260">
        <v>30</v>
      </c>
      <c r="O260">
        <f t="shared" si="48"/>
        <v>30</v>
      </c>
      <c r="P260">
        <v>0</v>
      </c>
      <c r="R260" s="4">
        <v>0</v>
      </c>
      <c r="T260" s="5">
        <v>31</v>
      </c>
      <c r="W260" s="4">
        <v>30</v>
      </c>
      <c r="X260" s="4" t="str">
        <f t="shared" si="49"/>
        <v>Adult</v>
      </c>
      <c r="Y260" s="4" t="s">
        <v>3561</v>
      </c>
      <c r="AB260" s="4" t="str">
        <f t="shared" si="50"/>
        <v/>
      </c>
      <c r="AC260" s="4" t="str">
        <f t="shared" si="51"/>
        <v>Unknown</v>
      </c>
      <c r="AD260" s="4" t="s">
        <v>3566</v>
      </c>
      <c r="AF260" s="4">
        <v>4</v>
      </c>
      <c r="AG260" s="4">
        <f t="shared" si="52"/>
        <v>4</v>
      </c>
      <c r="AK260" s="4" t="s">
        <v>3573</v>
      </c>
      <c r="AL260" s="4" t="str">
        <f t="shared" si="53"/>
        <v>Found</v>
      </c>
      <c r="AN260" s="6">
        <v>31</v>
      </c>
      <c r="AO260" s="4" t="str">
        <f t="shared" si="54"/>
        <v>Mid</v>
      </c>
    </row>
    <row r="261" spans="1:41">
      <c r="A261">
        <v>1</v>
      </c>
      <c r="B261" t="str">
        <f t="shared" si="44"/>
        <v>First Class</v>
      </c>
      <c r="C261">
        <v>1</v>
      </c>
      <c r="E261" t="str">
        <f t="shared" si="45"/>
        <v>Survived</v>
      </c>
      <c r="F261" t="s">
        <v>1205</v>
      </c>
      <c r="G261" t="s">
        <v>848</v>
      </c>
      <c r="H261" t="s">
        <v>1206</v>
      </c>
      <c r="I261" t="str">
        <f t="shared" si="46"/>
        <v>Mr. Seward Frederic</v>
      </c>
      <c r="J261" t="s">
        <v>20</v>
      </c>
      <c r="K261" t="str">
        <f t="shared" si="47"/>
        <v>Male</v>
      </c>
      <c r="L261">
        <v>34</v>
      </c>
      <c r="O261">
        <f t="shared" si="48"/>
        <v>34</v>
      </c>
      <c r="P261">
        <v>0</v>
      </c>
      <c r="R261" s="4">
        <v>0</v>
      </c>
      <c r="T261" s="5">
        <v>26.55</v>
      </c>
      <c r="W261" s="4">
        <v>34</v>
      </c>
      <c r="X261" s="4" t="str">
        <f t="shared" si="49"/>
        <v>Adult</v>
      </c>
      <c r="Y261" s="4" t="s">
        <v>3561</v>
      </c>
      <c r="AB261" s="4" t="str">
        <f t="shared" si="50"/>
        <v/>
      </c>
      <c r="AC261" s="4" t="str">
        <f t="shared" si="51"/>
        <v>Unknown</v>
      </c>
      <c r="AD261" s="4" t="s">
        <v>457</v>
      </c>
      <c r="AF261" s="4">
        <v>7</v>
      </c>
      <c r="AG261" s="4">
        <f t="shared" si="52"/>
        <v>7</v>
      </c>
      <c r="AK261" s="4" t="s">
        <v>3573</v>
      </c>
      <c r="AL261" s="4" t="str">
        <f t="shared" si="53"/>
        <v>Found</v>
      </c>
      <c r="AN261" s="6">
        <v>26.55</v>
      </c>
      <c r="AO261" s="4" t="str">
        <f t="shared" si="54"/>
        <v>Mid</v>
      </c>
    </row>
    <row r="262" spans="1:41">
      <c r="A262">
        <v>1</v>
      </c>
      <c r="B262" t="str">
        <f t="shared" si="44"/>
        <v>First Class</v>
      </c>
      <c r="C262">
        <v>1</v>
      </c>
      <c r="E262" t="str">
        <f t="shared" si="45"/>
        <v>Survived</v>
      </c>
      <c r="F262" t="s">
        <v>1207</v>
      </c>
      <c r="G262" t="s">
        <v>842</v>
      </c>
      <c r="H262" t="s">
        <v>904</v>
      </c>
      <c r="I262" t="str">
        <f t="shared" si="46"/>
        <v>Miss. Shutes Elizabeth</v>
      </c>
      <c r="J262" t="s">
        <v>47</v>
      </c>
      <c r="K262" t="str">
        <f t="shared" si="47"/>
        <v>Female</v>
      </c>
      <c r="L262">
        <v>40</v>
      </c>
      <c r="O262">
        <f t="shared" si="48"/>
        <v>40</v>
      </c>
      <c r="P262">
        <v>0</v>
      </c>
      <c r="R262" s="4">
        <v>0</v>
      </c>
      <c r="T262" s="5">
        <v>153.46250000000001</v>
      </c>
      <c r="W262" s="4">
        <v>40</v>
      </c>
      <c r="X262" s="4" t="str">
        <f t="shared" si="49"/>
        <v>Adult</v>
      </c>
      <c r="Y262" s="4" t="s">
        <v>215</v>
      </c>
      <c r="AA262" s="4" t="s">
        <v>215</v>
      </c>
      <c r="AB262" s="4" t="str">
        <f t="shared" si="50"/>
        <v>C</v>
      </c>
      <c r="AC262" s="4" t="str">
        <f t="shared" si="51"/>
        <v>C</v>
      </c>
      <c r="AD262" s="4" t="s">
        <v>457</v>
      </c>
      <c r="AF262" s="4">
        <v>3</v>
      </c>
      <c r="AG262" s="4">
        <f t="shared" si="52"/>
        <v>3</v>
      </c>
      <c r="AK262" s="4" t="s">
        <v>3573</v>
      </c>
      <c r="AL262" s="4" t="str">
        <f t="shared" si="53"/>
        <v>Found</v>
      </c>
      <c r="AN262" s="6">
        <v>153.46250000000001</v>
      </c>
      <c r="AO262" s="4" t="str">
        <f t="shared" si="54"/>
        <v>High</v>
      </c>
    </row>
    <row r="263" spans="1:41">
      <c r="A263">
        <v>1</v>
      </c>
      <c r="B263" t="str">
        <f t="shared" si="44"/>
        <v>First Class</v>
      </c>
      <c r="C263">
        <v>1</v>
      </c>
      <c r="E263" t="str">
        <f t="shared" si="45"/>
        <v>Survived</v>
      </c>
      <c r="F263" t="s">
        <v>1208</v>
      </c>
      <c r="G263" t="s">
        <v>848</v>
      </c>
      <c r="H263" t="s">
        <v>1209</v>
      </c>
      <c r="I263" t="str">
        <f t="shared" si="46"/>
        <v>Mr. Silverthorne Spencer</v>
      </c>
      <c r="J263" t="s">
        <v>20</v>
      </c>
      <c r="K263" t="str">
        <f t="shared" si="47"/>
        <v>Male</v>
      </c>
      <c r="L263">
        <v>35</v>
      </c>
      <c r="O263">
        <f t="shared" si="48"/>
        <v>35</v>
      </c>
      <c r="P263">
        <v>0</v>
      </c>
      <c r="R263" s="4">
        <v>0</v>
      </c>
      <c r="T263" s="5">
        <v>26.287500000000001</v>
      </c>
      <c r="W263" s="4">
        <v>35</v>
      </c>
      <c r="X263" s="4" t="str">
        <f t="shared" si="49"/>
        <v>Adult</v>
      </c>
      <c r="Y263" s="4" t="s">
        <v>120</v>
      </c>
      <c r="AA263" s="4" t="s">
        <v>120</v>
      </c>
      <c r="AB263" s="4" t="str">
        <f t="shared" si="50"/>
        <v>E</v>
      </c>
      <c r="AC263" s="4" t="str">
        <f t="shared" si="51"/>
        <v>E</v>
      </c>
      <c r="AD263" s="4" t="s">
        <v>457</v>
      </c>
      <c r="AF263" s="4">
        <v>5</v>
      </c>
      <c r="AG263" s="4">
        <f t="shared" si="52"/>
        <v>5</v>
      </c>
      <c r="AK263" s="4" t="s">
        <v>3573</v>
      </c>
      <c r="AL263" s="4" t="str">
        <f t="shared" si="53"/>
        <v>Found</v>
      </c>
      <c r="AN263" s="6">
        <v>26.287500000000001</v>
      </c>
      <c r="AO263" s="4" t="str">
        <f t="shared" si="54"/>
        <v>Mid</v>
      </c>
    </row>
    <row r="264" spans="1:41">
      <c r="A264">
        <v>1</v>
      </c>
      <c r="B264" t="str">
        <f t="shared" si="44"/>
        <v>First Class</v>
      </c>
      <c r="C264">
        <v>0</v>
      </c>
      <c r="E264" t="str">
        <f t="shared" si="45"/>
        <v>Died</v>
      </c>
      <c r="F264" t="s">
        <v>1210</v>
      </c>
      <c r="G264" t="s">
        <v>848</v>
      </c>
      <c r="H264" t="s">
        <v>924</v>
      </c>
      <c r="I264" t="str">
        <f t="shared" si="46"/>
        <v>Mr. Silvey William</v>
      </c>
      <c r="J264" t="s">
        <v>20</v>
      </c>
      <c r="K264" t="str">
        <f t="shared" si="47"/>
        <v>Male</v>
      </c>
      <c r="L264">
        <v>50</v>
      </c>
      <c r="O264">
        <f t="shared" si="48"/>
        <v>50</v>
      </c>
      <c r="P264">
        <v>1</v>
      </c>
      <c r="R264" s="4">
        <v>0</v>
      </c>
      <c r="T264" s="5">
        <v>55.9</v>
      </c>
      <c r="W264" s="4">
        <v>50</v>
      </c>
      <c r="X264" s="4" t="str">
        <f t="shared" si="49"/>
        <v>Adult</v>
      </c>
      <c r="Y264" s="4" t="s">
        <v>338</v>
      </c>
      <c r="AA264" s="4" t="s">
        <v>338</v>
      </c>
      <c r="AB264" s="4" t="str">
        <f t="shared" si="50"/>
        <v>E</v>
      </c>
      <c r="AC264" s="4" t="str">
        <f t="shared" si="51"/>
        <v>E</v>
      </c>
      <c r="AD264" s="4" t="s">
        <v>457</v>
      </c>
      <c r="AG264" s="4" t="str">
        <f t="shared" si="52"/>
        <v>Not Applicable</v>
      </c>
      <c r="AK264" s="4" t="s">
        <v>3573</v>
      </c>
      <c r="AL264" s="4" t="str">
        <f t="shared" si="53"/>
        <v>Found</v>
      </c>
      <c r="AN264" s="6">
        <v>55.9</v>
      </c>
      <c r="AO264" s="4" t="str">
        <f t="shared" si="54"/>
        <v>High</v>
      </c>
    </row>
    <row r="265" spans="1:41">
      <c r="A265">
        <v>1</v>
      </c>
      <c r="B265" t="str">
        <f t="shared" si="44"/>
        <v>First Class</v>
      </c>
      <c r="C265">
        <v>1</v>
      </c>
      <c r="E265" t="str">
        <f t="shared" si="45"/>
        <v>Survived</v>
      </c>
      <c r="F265" t="s">
        <v>1210</v>
      </c>
      <c r="G265" t="s">
        <v>849</v>
      </c>
      <c r="H265" t="s">
        <v>924</v>
      </c>
      <c r="I265" t="str">
        <f t="shared" si="46"/>
        <v>Mrs. Silvey William</v>
      </c>
      <c r="J265" t="s">
        <v>47</v>
      </c>
      <c r="K265" t="str">
        <f t="shared" si="47"/>
        <v>Female</v>
      </c>
      <c r="L265">
        <v>39</v>
      </c>
      <c r="O265">
        <f t="shared" si="48"/>
        <v>39</v>
      </c>
      <c r="P265">
        <v>1</v>
      </c>
      <c r="R265" s="4">
        <v>0</v>
      </c>
      <c r="T265" s="5">
        <v>55.9</v>
      </c>
      <c r="W265" s="4">
        <v>39</v>
      </c>
      <c r="X265" s="4" t="str">
        <f t="shared" si="49"/>
        <v>Adult</v>
      </c>
      <c r="Y265" s="4" t="s">
        <v>338</v>
      </c>
      <c r="AA265" s="4" t="s">
        <v>338</v>
      </c>
      <c r="AB265" s="4" t="str">
        <f t="shared" si="50"/>
        <v>E</v>
      </c>
      <c r="AC265" s="4" t="str">
        <f t="shared" si="51"/>
        <v>E</v>
      </c>
      <c r="AD265" s="4" t="s">
        <v>457</v>
      </c>
      <c r="AF265" s="4">
        <v>11</v>
      </c>
      <c r="AG265" s="4">
        <f t="shared" si="52"/>
        <v>11</v>
      </c>
      <c r="AK265" s="4" t="s">
        <v>3573</v>
      </c>
      <c r="AL265" s="4" t="str">
        <f t="shared" si="53"/>
        <v>Found</v>
      </c>
      <c r="AN265" s="6">
        <v>55.9</v>
      </c>
      <c r="AO265" s="4" t="str">
        <f t="shared" si="54"/>
        <v>High</v>
      </c>
    </row>
    <row r="266" spans="1:41">
      <c r="A266">
        <v>1</v>
      </c>
      <c r="B266" t="str">
        <f t="shared" si="44"/>
        <v>First Class</v>
      </c>
      <c r="C266">
        <v>1</v>
      </c>
      <c r="E266" t="str">
        <f t="shared" si="45"/>
        <v>Survived</v>
      </c>
      <c r="F266" t="s">
        <v>1212</v>
      </c>
      <c r="G266" t="s">
        <v>861</v>
      </c>
      <c r="H266" t="s">
        <v>1213</v>
      </c>
      <c r="I266" t="str">
        <f t="shared" si="46"/>
        <v>Col. Simonius-Blumer Oberst</v>
      </c>
      <c r="J266" t="s">
        <v>20</v>
      </c>
      <c r="K266" t="str">
        <f t="shared" si="47"/>
        <v>Male</v>
      </c>
      <c r="L266">
        <v>56</v>
      </c>
      <c r="O266">
        <f t="shared" si="48"/>
        <v>56</v>
      </c>
      <c r="P266">
        <v>0</v>
      </c>
      <c r="R266" s="4">
        <v>0</v>
      </c>
      <c r="T266" s="5">
        <v>35.5</v>
      </c>
      <c r="W266" s="4">
        <v>56</v>
      </c>
      <c r="X266" s="4" t="str">
        <f t="shared" si="49"/>
        <v>Adult</v>
      </c>
      <c r="Y266" s="4" t="s">
        <v>340</v>
      </c>
      <c r="AA266" s="4" t="s">
        <v>340</v>
      </c>
      <c r="AB266" s="4" t="str">
        <f t="shared" si="50"/>
        <v>A</v>
      </c>
      <c r="AC266" s="4" t="str">
        <f t="shared" si="51"/>
        <v>A</v>
      </c>
      <c r="AD266" s="4" t="s">
        <v>3566</v>
      </c>
      <c r="AF266" s="4">
        <v>3</v>
      </c>
      <c r="AG266" s="4">
        <f t="shared" si="52"/>
        <v>3</v>
      </c>
      <c r="AK266" s="4" t="s">
        <v>3573</v>
      </c>
      <c r="AL266" s="4" t="str">
        <f t="shared" si="53"/>
        <v>Found</v>
      </c>
      <c r="AN266" s="6">
        <v>35.5</v>
      </c>
      <c r="AO266" s="4" t="str">
        <f t="shared" si="54"/>
        <v>Mid</v>
      </c>
    </row>
    <row r="267" spans="1:41">
      <c r="A267">
        <v>1</v>
      </c>
      <c r="B267" t="str">
        <f t="shared" si="44"/>
        <v>First Class</v>
      </c>
      <c r="C267">
        <v>1</v>
      </c>
      <c r="E267" t="str">
        <f t="shared" si="45"/>
        <v>Survived</v>
      </c>
      <c r="F267" t="s">
        <v>1214</v>
      </c>
      <c r="G267" t="s">
        <v>848</v>
      </c>
      <c r="H267" t="s">
        <v>924</v>
      </c>
      <c r="I267" t="str">
        <f t="shared" si="46"/>
        <v>Mr. Sloper William</v>
      </c>
      <c r="J267" t="s">
        <v>20</v>
      </c>
      <c r="K267" t="str">
        <f t="shared" si="47"/>
        <v>Male</v>
      </c>
      <c r="L267">
        <v>28</v>
      </c>
      <c r="O267">
        <f t="shared" si="48"/>
        <v>28</v>
      </c>
      <c r="P267">
        <v>0</v>
      </c>
      <c r="R267" s="4">
        <v>0</v>
      </c>
      <c r="T267" s="5">
        <v>35.5</v>
      </c>
      <c r="W267" s="4">
        <v>28</v>
      </c>
      <c r="X267" s="4" t="str">
        <f t="shared" si="49"/>
        <v>Young Adult</v>
      </c>
      <c r="Y267" s="4" t="s">
        <v>342</v>
      </c>
      <c r="AA267" s="4" t="s">
        <v>342</v>
      </c>
      <c r="AB267" s="4" t="str">
        <f t="shared" si="50"/>
        <v>A</v>
      </c>
      <c r="AC267" s="4" t="str">
        <f t="shared" si="51"/>
        <v>A</v>
      </c>
      <c r="AD267" s="4" t="s">
        <v>457</v>
      </c>
      <c r="AF267" s="4">
        <v>7</v>
      </c>
      <c r="AG267" s="4">
        <f t="shared" si="52"/>
        <v>7</v>
      </c>
      <c r="AK267" s="4" t="s">
        <v>3573</v>
      </c>
      <c r="AL267" s="4" t="str">
        <f t="shared" si="53"/>
        <v>Found</v>
      </c>
      <c r="AN267" s="6">
        <v>35.5</v>
      </c>
      <c r="AO267" s="4" t="str">
        <f t="shared" si="54"/>
        <v>Mid</v>
      </c>
    </row>
    <row r="268" spans="1:41">
      <c r="A268">
        <v>1</v>
      </c>
      <c r="B268" t="str">
        <f t="shared" si="44"/>
        <v>First Class</v>
      </c>
      <c r="C268">
        <v>0</v>
      </c>
      <c r="E268" t="str">
        <f t="shared" si="45"/>
        <v>Died</v>
      </c>
      <c r="F268" t="s">
        <v>1215</v>
      </c>
      <c r="G268" t="s">
        <v>848</v>
      </c>
      <c r="H268" t="s">
        <v>862</v>
      </c>
      <c r="I268" t="str">
        <f t="shared" si="46"/>
        <v>Mr. Smart John</v>
      </c>
      <c r="J268" t="s">
        <v>20</v>
      </c>
      <c r="K268" t="str">
        <f t="shared" si="47"/>
        <v>Male</v>
      </c>
      <c r="L268">
        <v>56</v>
      </c>
      <c r="O268">
        <f t="shared" si="48"/>
        <v>56</v>
      </c>
      <c r="P268">
        <v>0</v>
      </c>
      <c r="R268" s="4">
        <v>0</v>
      </c>
      <c r="T268" s="5">
        <v>26.55</v>
      </c>
      <c r="W268" s="4">
        <v>56</v>
      </c>
      <c r="X268" s="4" t="str">
        <f t="shared" si="49"/>
        <v>Adult</v>
      </c>
      <c r="Y268" s="4" t="s">
        <v>3561</v>
      </c>
      <c r="AB268" s="4" t="str">
        <f t="shared" si="50"/>
        <v/>
      </c>
      <c r="AC268" s="4" t="str">
        <f t="shared" si="51"/>
        <v>Unknown</v>
      </c>
      <c r="AD268" s="4" t="s">
        <v>457</v>
      </c>
      <c r="AG268" s="4" t="str">
        <f t="shared" si="52"/>
        <v>Not Applicable</v>
      </c>
      <c r="AK268" s="4" t="s">
        <v>3573</v>
      </c>
      <c r="AL268" s="4" t="str">
        <f t="shared" si="53"/>
        <v>Found</v>
      </c>
      <c r="AN268" s="6">
        <v>26.55</v>
      </c>
      <c r="AO268" s="4" t="str">
        <f t="shared" si="54"/>
        <v>Mid</v>
      </c>
    </row>
    <row r="269" spans="1:41">
      <c r="A269">
        <v>1</v>
      </c>
      <c r="B269" t="str">
        <f t="shared" si="44"/>
        <v>First Class</v>
      </c>
      <c r="C269">
        <v>0</v>
      </c>
      <c r="E269" t="str">
        <f t="shared" si="45"/>
        <v>Died</v>
      </c>
      <c r="F269" t="s">
        <v>1216</v>
      </c>
      <c r="G269" t="s">
        <v>848</v>
      </c>
      <c r="H269" t="s">
        <v>878</v>
      </c>
      <c r="I269" t="str">
        <f t="shared" si="46"/>
        <v>Mr. Smith James</v>
      </c>
      <c r="J269" t="s">
        <v>20</v>
      </c>
      <c r="K269" t="str">
        <f t="shared" si="47"/>
        <v>Male</v>
      </c>
      <c r="L269">
        <v>56</v>
      </c>
      <c r="O269">
        <f t="shared" si="48"/>
        <v>56</v>
      </c>
      <c r="P269">
        <v>0</v>
      </c>
      <c r="R269" s="4">
        <v>0</v>
      </c>
      <c r="T269" s="5">
        <v>30.695799999999998</v>
      </c>
      <c r="W269" s="4">
        <v>56</v>
      </c>
      <c r="X269" s="4" t="str">
        <f t="shared" si="49"/>
        <v>Adult</v>
      </c>
      <c r="Y269" s="4" t="s">
        <v>344</v>
      </c>
      <c r="AA269" s="4" t="s">
        <v>344</v>
      </c>
      <c r="AB269" s="4" t="str">
        <f t="shared" si="50"/>
        <v>A</v>
      </c>
      <c r="AC269" s="4" t="str">
        <f t="shared" si="51"/>
        <v>A</v>
      </c>
      <c r="AD269" s="4" t="s">
        <v>3566</v>
      </c>
      <c r="AG269" s="4" t="str">
        <f t="shared" si="52"/>
        <v>Not Applicable</v>
      </c>
      <c r="AK269" s="4" t="s">
        <v>3573</v>
      </c>
      <c r="AL269" s="4" t="str">
        <f t="shared" si="53"/>
        <v>Found</v>
      </c>
      <c r="AN269" s="6">
        <v>30.695799999999998</v>
      </c>
      <c r="AO269" s="4" t="str">
        <f t="shared" si="54"/>
        <v>Mid</v>
      </c>
    </row>
    <row r="270" spans="1:41">
      <c r="A270">
        <v>1</v>
      </c>
      <c r="B270" t="str">
        <f t="shared" si="44"/>
        <v>First Class</v>
      </c>
      <c r="C270">
        <v>0</v>
      </c>
      <c r="E270" t="str">
        <f t="shared" si="45"/>
        <v>Died</v>
      </c>
      <c r="F270" t="s">
        <v>1216</v>
      </c>
      <c r="G270" t="s">
        <v>848</v>
      </c>
      <c r="H270" t="s">
        <v>1174</v>
      </c>
      <c r="I270" t="str">
        <f t="shared" si="46"/>
        <v>Mr. Smith Lucien</v>
      </c>
      <c r="J270" t="s">
        <v>20</v>
      </c>
      <c r="K270" t="str">
        <f t="shared" si="47"/>
        <v>Male</v>
      </c>
      <c r="L270">
        <v>24</v>
      </c>
      <c r="O270">
        <f t="shared" si="48"/>
        <v>24</v>
      </c>
      <c r="P270">
        <v>1</v>
      </c>
      <c r="R270" s="4">
        <v>0</v>
      </c>
      <c r="T270" s="5">
        <v>60</v>
      </c>
      <c r="W270" s="4">
        <v>24</v>
      </c>
      <c r="X270" s="4" t="str">
        <f t="shared" si="49"/>
        <v>Young Adult</v>
      </c>
      <c r="Y270" s="4" t="s">
        <v>346</v>
      </c>
      <c r="AA270" s="4" t="s">
        <v>346</v>
      </c>
      <c r="AB270" s="4" t="str">
        <f t="shared" si="50"/>
        <v>C</v>
      </c>
      <c r="AC270" s="4" t="str">
        <f t="shared" si="51"/>
        <v>C</v>
      </c>
      <c r="AD270" s="4" t="s">
        <v>457</v>
      </c>
      <c r="AG270" s="4" t="str">
        <f t="shared" si="52"/>
        <v>Not Applicable</v>
      </c>
      <c r="AK270" s="4" t="s">
        <v>3573</v>
      </c>
      <c r="AL270" s="4" t="str">
        <f t="shared" si="53"/>
        <v>Found</v>
      </c>
      <c r="AN270" s="6">
        <v>60</v>
      </c>
      <c r="AO270" s="4" t="str">
        <f t="shared" si="54"/>
        <v>High</v>
      </c>
    </row>
    <row r="271" spans="1:41">
      <c r="A271">
        <v>1</v>
      </c>
      <c r="B271" t="str">
        <f t="shared" si="44"/>
        <v>First Class</v>
      </c>
      <c r="C271">
        <v>0</v>
      </c>
      <c r="E271" t="str">
        <f t="shared" si="45"/>
        <v>Died</v>
      </c>
      <c r="F271" t="s">
        <v>1216</v>
      </c>
      <c r="G271" t="s">
        <v>848</v>
      </c>
      <c r="H271" t="s">
        <v>884</v>
      </c>
      <c r="I271" t="str">
        <f t="shared" si="46"/>
        <v>Mr. Smith Richard</v>
      </c>
      <c r="J271" t="s">
        <v>20</v>
      </c>
      <c r="K271" t="str">
        <f t="shared" si="47"/>
        <v>Male</v>
      </c>
      <c r="L271">
        <v>28</v>
      </c>
      <c r="O271">
        <f t="shared" si="48"/>
        <v>28</v>
      </c>
      <c r="P271">
        <v>0</v>
      </c>
      <c r="R271" s="4">
        <v>0</v>
      </c>
      <c r="T271" s="5">
        <v>26</v>
      </c>
      <c r="W271" s="4">
        <v>28</v>
      </c>
      <c r="X271" s="4" t="str">
        <f t="shared" si="49"/>
        <v>Young Adult</v>
      </c>
      <c r="Y271" s="4" t="s">
        <v>348</v>
      </c>
      <c r="AA271" s="4" t="s">
        <v>348</v>
      </c>
      <c r="AB271" s="4" t="str">
        <f t="shared" si="50"/>
        <v>A</v>
      </c>
      <c r="AC271" s="4" t="str">
        <f t="shared" si="51"/>
        <v>A</v>
      </c>
      <c r="AD271" s="4" t="s">
        <v>457</v>
      </c>
      <c r="AG271" s="4" t="str">
        <f t="shared" si="52"/>
        <v>Not Applicable</v>
      </c>
      <c r="AK271" s="4" t="s">
        <v>3573</v>
      </c>
      <c r="AL271" s="4" t="str">
        <f t="shared" si="53"/>
        <v>Found</v>
      </c>
      <c r="AN271" s="6">
        <v>26</v>
      </c>
      <c r="AO271" s="4" t="str">
        <f t="shared" si="54"/>
        <v>Mid</v>
      </c>
    </row>
    <row r="272" spans="1:41">
      <c r="A272">
        <v>1</v>
      </c>
      <c r="B272" t="str">
        <f t="shared" si="44"/>
        <v>First Class</v>
      </c>
      <c r="C272">
        <v>1</v>
      </c>
      <c r="E272" t="str">
        <f t="shared" si="45"/>
        <v>Survived</v>
      </c>
      <c r="F272" t="s">
        <v>1216</v>
      </c>
      <c r="G272" t="s">
        <v>849</v>
      </c>
      <c r="H272" t="s">
        <v>1174</v>
      </c>
      <c r="I272" t="str">
        <f t="shared" si="46"/>
        <v>Mrs. Smith Lucien</v>
      </c>
      <c r="J272" t="s">
        <v>47</v>
      </c>
      <c r="K272" t="str">
        <f t="shared" si="47"/>
        <v>Female</v>
      </c>
      <c r="L272">
        <v>18</v>
      </c>
      <c r="O272">
        <f t="shared" si="48"/>
        <v>18</v>
      </c>
      <c r="P272">
        <v>1</v>
      </c>
      <c r="R272" s="4">
        <v>0</v>
      </c>
      <c r="T272" s="5">
        <v>60</v>
      </c>
      <c r="W272" s="4">
        <v>18</v>
      </c>
      <c r="X272" s="4" t="str">
        <f t="shared" si="49"/>
        <v>Young Adult</v>
      </c>
      <c r="Y272" s="4" t="s">
        <v>346</v>
      </c>
      <c r="AA272" s="4" t="s">
        <v>346</v>
      </c>
      <c r="AB272" s="4" t="str">
        <f t="shared" si="50"/>
        <v>C</v>
      </c>
      <c r="AC272" s="4" t="str">
        <f t="shared" si="51"/>
        <v>C</v>
      </c>
      <c r="AD272" s="4" t="s">
        <v>457</v>
      </c>
      <c r="AF272" s="4">
        <v>6</v>
      </c>
      <c r="AG272" s="4">
        <f t="shared" si="52"/>
        <v>6</v>
      </c>
      <c r="AK272" s="4" t="s">
        <v>3573</v>
      </c>
      <c r="AL272" s="4" t="str">
        <f t="shared" si="53"/>
        <v>Found</v>
      </c>
      <c r="AN272" s="6">
        <v>60</v>
      </c>
      <c r="AO272" s="4" t="str">
        <f t="shared" si="54"/>
        <v>High</v>
      </c>
    </row>
    <row r="273" spans="1:41">
      <c r="A273">
        <v>1</v>
      </c>
      <c r="B273" t="str">
        <f t="shared" si="44"/>
        <v>First Class</v>
      </c>
      <c r="C273">
        <v>1</v>
      </c>
      <c r="E273" t="str">
        <f t="shared" si="45"/>
        <v>Survived</v>
      </c>
      <c r="F273" t="s">
        <v>1218</v>
      </c>
      <c r="G273" t="s">
        <v>848</v>
      </c>
      <c r="H273" t="s">
        <v>862</v>
      </c>
      <c r="I273" t="str">
        <f t="shared" si="46"/>
        <v>Mr. Snyder John</v>
      </c>
      <c r="J273" t="s">
        <v>20</v>
      </c>
      <c r="K273" t="str">
        <f t="shared" si="47"/>
        <v>Male</v>
      </c>
      <c r="L273">
        <v>24</v>
      </c>
      <c r="O273">
        <f t="shared" si="48"/>
        <v>24</v>
      </c>
      <c r="P273">
        <v>1</v>
      </c>
      <c r="R273" s="4">
        <v>0</v>
      </c>
      <c r="T273" s="5">
        <v>82.2667</v>
      </c>
      <c r="W273" s="4">
        <v>24</v>
      </c>
      <c r="X273" s="4" t="str">
        <f t="shared" si="49"/>
        <v>Young Adult</v>
      </c>
      <c r="Y273" s="4" t="s">
        <v>350</v>
      </c>
      <c r="AA273" s="4" t="s">
        <v>350</v>
      </c>
      <c r="AB273" s="4" t="str">
        <f t="shared" si="50"/>
        <v>B</v>
      </c>
      <c r="AC273" s="4" t="str">
        <f t="shared" si="51"/>
        <v>B</v>
      </c>
      <c r="AD273" s="4" t="s">
        <v>457</v>
      </c>
      <c r="AF273" s="4">
        <v>7</v>
      </c>
      <c r="AG273" s="4">
        <f t="shared" si="52"/>
        <v>7</v>
      </c>
      <c r="AK273" s="4" t="s">
        <v>3573</v>
      </c>
      <c r="AL273" s="4" t="str">
        <f t="shared" si="53"/>
        <v>Found</v>
      </c>
      <c r="AN273" s="6">
        <v>82.2667</v>
      </c>
      <c r="AO273" s="4" t="str">
        <f t="shared" si="54"/>
        <v>High</v>
      </c>
    </row>
    <row r="274" spans="1:41">
      <c r="A274">
        <v>1</v>
      </c>
      <c r="B274" t="str">
        <f t="shared" si="44"/>
        <v>First Class</v>
      </c>
      <c r="C274">
        <v>1</v>
      </c>
      <c r="E274" t="str">
        <f t="shared" si="45"/>
        <v>Survived</v>
      </c>
      <c r="F274" t="s">
        <v>1218</v>
      </c>
      <c r="G274" t="s">
        <v>849</v>
      </c>
      <c r="H274" t="s">
        <v>862</v>
      </c>
      <c r="I274" t="str">
        <f t="shared" si="46"/>
        <v>Mrs. Snyder John</v>
      </c>
      <c r="J274" t="s">
        <v>47</v>
      </c>
      <c r="K274" t="str">
        <f t="shared" si="47"/>
        <v>Female</v>
      </c>
      <c r="L274">
        <v>23</v>
      </c>
      <c r="O274">
        <f t="shared" si="48"/>
        <v>23</v>
      </c>
      <c r="P274">
        <v>1</v>
      </c>
      <c r="R274" s="4">
        <v>0</v>
      </c>
      <c r="T274" s="5">
        <v>82.2667</v>
      </c>
      <c r="W274" s="4">
        <v>23</v>
      </c>
      <c r="X274" s="4" t="str">
        <f t="shared" si="49"/>
        <v>Young Adult</v>
      </c>
      <c r="Y274" s="4" t="s">
        <v>350</v>
      </c>
      <c r="AA274" s="4" t="s">
        <v>350</v>
      </c>
      <c r="AB274" s="4" t="str">
        <f t="shared" si="50"/>
        <v>B</v>
      </c>
      <c r="AC274" s="4" t="str">
        <f t="shared" si="51"/>
        <v>B</v>
      </c>
      <c r="AD274" s="4" t="s">
        <v>457</v>
      </c>
      <c r="AF274" s="4">
        <v>7</v>
      </c>
      <c r="AG274" s="4">
        <f t="shared" si="52"/>
        <v>7</v>
      </c>
      <c r="AK274" s="4" t="s">
        <v>3573</v>
      </c>
      <c r="AL274" s="4" t="str">
        <f t="shared" si="53"/>
        <v>Found</v>
      </c>
      <c r="AN274" s="6">
        <v>82.2667</v>
      </c>
      <c r="AO274" s="4" t="str">
        <f t="shared" si="54"/>
        <v>High</v>
      </c>
    </row>
    <row r="275" spans="1:41">
      <c r="A275">
        <v>1</v>
      </c>
      <c r="B275" t="str">
        <f t="shared" si="44"/>
        <v>First Class</v>
      </c>
      <c r="C275">
        <v>1</v>
      </c>
      <c r="E275" t="str">
        <f t="shared" si="45"/>
        <v>Survived</v>
      </c>
      <c r="F275" t="s">
        <v>1219</v>
      </c>
      <c r="G275" t="s">
        <v>845</v>
      </c>
      <c r="H275" t="s">
        <v>925</v>
      </c>
      <c r="I275" t="str">
        <f t="shared" si="46"/>
        <v>Master. Spedden Robert</v>
      </c>
      <c r="J275" t="s">
        <v>20</v>
      </c>
      <c r="K275" t="str">
        <f t="shared" si="47"/>
        <v>Male</v>
      </c>
      <c r="L275">
        <v>6</v>
      </c>
      <c r="O275">
        <f t="shared" si="48"/>
        <v>6</v>
      </c>
      <c r="P275">
        <v>0</v>
      </c>
      <c r="R275" s="4">
        <v>2</v>
      </c>
      <c r="T275" s="5">
        <v>134.5</v>
      </c>
      <c r="W275" s="4">
        <v>6</v>
      </c>
      <c r="X275" s="4" t="str">
        <f t="shared" si="49"/>
        <v>Child</v>
      </c>
      <c r="Y275" s="4" t="s">
        <v>352</v>
      </c>
      <c r="AA275" s="4" t="s">
        <v>352</v>
      </c>
      <c r="AB275" s="4" t="str">
        <f t="shared" si="50"/>
        <v>E</v>
      </c>
      <c r="AC275" s="4" t="str">
        <f t="shared" si="51"/>
        <v>E</v>
      </c>
      <c r="AD275" s="4" t="s">
        <v>3566</v>
      </c>
      <c r="AF275" s="4">
        <v>3</v>
      </c>
      <c r="AG275" s="4">
        <f t="shared" si="52"/>
        <v>3</v>
      </c>
      <c r="AK275" s="4" t="s">
        <v>3573</v>
      </c>
      <c r="AL275" s="4" t="str">
        <f t="shared" si="53"/>
        <v>Found</v>
      </c>
      <c r="AN275" s="6">
        <v>134.5</v>
      </c>
      <c r="AO275" s="4" t="str">
        <f t="shared" si="54"/>
        <v>High</v>
      </c>
    </row>
    <row r="276" spans="1:41">
      <c r="A276">
        <v>1</v>
      </c>
      <c r="B276" t="str">
        <f t="shared" si="44"/>
        <v>First Class</v>
      </c>
      <c r="C276">
        <v>1</v>
      </c>
      <c r="E276" t="str">
        <f t="shared" si="45"/>
        <v>Survived</v>
      </c>
      <c r="F276" t="s">
        <v>1219</v>
      </c>
      <c r="G276" t="s">
        <v>848</v>
      </c>
      <c r="H276" t="s">
        <v>1206</v>
      </c>
      <c r="I276" t="str">
        <f t="shared" si="46"/>
        <v>Mr. Spedden Frederic</v>
      </c>
      <c r="J276" t="s">
        <v>20</v>
      </c>
      <c r="K276" t="str">
        <f t="shared" si="47"/>
        <v>Male</v>
      </c>
      <c r="L276">
        <v>45</v>
      </c>
      <c r="O276">
        <f t="shared" si="48"/>
        <v>45</v>
      </c>
      <c r="P276">
        <v>1</v>
      </c>
      <c r="R276" s="4">
        <v>1</v>
      </c>
      <c r="T276" s="5">
        <v>134.5</v>
      </c>
      <c r="W276" s="4">
        <v>45</v>
      </c>
      <c r="X276" s="4" t="str">
        <f t="shared" si="49"/>
        <v>Adult</v>
      </c>
      <c r="Y276" s="4" t="s">
        <v>352</v>
      </c>
      <c r="AA276" s="4" t="s">
        <v>352</v>
      </c>
      <c r="AB276" s="4" t="str">
        <f t="shared" si="50"/>
        <v>E</v>
      </c>
      <c r="AC276" s="4" t="str">
        <f t="shared" si="51"/>
        <v>E</v>
      </c>
      <c r="AD276" s="4" t="s">
        <v>3566</v>
      </c>
      <c r="AF276" s="4">
        <v>3</v>
      </c>
      <c r="AG276" s="4">
        <f t="shared" si="52"/>
        <v>3</v>
      </c>
      <c r="AK276" s="4" t="s">
        <v>3573</v>
      </c>
      <c r="AL276" s="4" t="str">
        <f t="shared" si="53"/>
        <v>Found</v>
      </c>
      <c r="AN276" s="6">
        <v>134.5</v>
      </c>
      <c r="AO276" s="4" t="str">
        <f t="shared" si="54"/>
        <v>High</v>
      </c>
    </row>
    <row r="277" spans="1:41">
      <c r="A277">
        <v>1</v>
      </c>
      <c r="B277" t="str">
        <f t="shared" si="44"/>
        <v>First Class</v>
      </c>
      <c r="C277">
        <v>1</v>
      </c>
      <c r="E277" t="str">
        <f t="shared" si="45"/>
        <v>Survived</v>
      </c>
      <c r="F277" t="s">
        <v>1219</v>
      </c>
      <c r="G277" t="s">
        <v>849</v>
      </c>
      <c r="H277" t="s">
        <v>1206</v>
      </c>
      <c r="I277" t="str">
        <f t="shared" si="46"/>
        <v>Mrs. Spedden Frederic</v>
      </c>
      <c r="J277" t="s">
        <v>47</v>
      </c>
      <c r="K277" t="str">
        <f t="shared" si="47"/>
        <v>Female</v>
      </c>
      <c r="L277">
        <v>40</v>
      </c>
      <c r="O277">
        <f t="shared" si="48"/>
        <v>40</v>
      </c>
      <c r="P277">
        <v>1</v>
      </c>
      <c r="R277" s="4">
        <v>1</v>
      </c>
      <c r="T277" s="5">
        <v>134.5</v>
      </c>
      <c r="W277" s="4">
        <v>40</v>
      </c>
      <c r="X277" s="4" t="str">
        <f t="shared" si="49"/>
        <v>Adult</v>
      </c>
      <c r="Y277" s="4" t="s">
        <v>352</v>
      </c>
      <c r="AA277" s="4" t="s">
        <v>352</v>
      </c>
      <c r="AB277" s="4" t="str">
        <f t="shared" si="50"/>
        <v>E</v>
      </c>
      <c r="AC277" s="4" t="str">
        <f t="shared" si="51"/>
        <v>E</v>
      </c>
      <c r="AD277" s="4" t="s">
        <v>3566</v>
      </c>
      <c r="AF277" s="4">
        <v>3</v>
      </c>
      <c r="AG277" s="4">
        <f t="shared" si="52"/>
        <v>3</v>
      </c>
      <c r="AK277" s="4" t="s">
        <v>3573</v>
      </c>
      <c r="AL277" s="4" t="str">
        <f t="shared" si="53"/>
        <v>Found</v>
      </c>
      <c r="AN277" s="6">
        <v>134.5</v>
      </c>
      <c r="AO277" s="4" t="str">
        <f t="shared" si="54"/>
        <v>High</v>
      </c>
    </row>
    <row r="278" spans="1:41">
      <c r="A278">
        <v>1</v>
      </c>
      <c r="B278" t="str">
        <f t="shared" si="44"/>
        <v>First Class</v>
      </c>
      <c r="C278">
        <v>0</v>
      </c>
      <c r="E278" t="str">
        <f t="shared" si="45"/>
        <v>Died</v>
      </c>
      <c r="F278" t="s">
        <v>1209</v>
      </c>
      <c r="G278" t="s">
        <v>848</v>
      </c>
      <c r="H278" t="s">
        <v>924</v>
      </c>
      <c r="I278" t="str">
        <f t="shared" si="46"/>
        <v>Mr. Spencer William</v>
      </c>
      <c r="J278" t="s">
        <v>20</v>
      </c>
      <c r="K278" t="str">
        <f t="shared" si="47"/>
        <v>Male</v>
      </c>
      <c r="L278">
        <v>57</v>
      </c>
      <c r="O278">
        <f t="shared" si="48"/>
        <v>57</v>
      </c>
      <c r="P278">
        <v>1</v>
      </c>
      <c r="R278" s="4">
        <v>0</v>
      </c>
      <c r="T278" s="5">
        <v>146.52080000000001</v>
      </c>
      <c r="W278" s="4">
        <v>57</v>
      </c>
      <c r="X278" s="4" t="str">
        <f t="shared" si="49"/>
        <v>Adult</v>
      </c>
      <c r="Y278" s="4" t="s">
        <v>354</v>
      </c>
      <c r="AA278" s="4" t="s">
        <v>354</v>
      </c>
      <c r="AB278" s="4" t="str">
        <f t="shared" si="50"/>
        <v>B</v>
      </c>
      <c r="AC278" s="4" t="str">
        <f t="shared" si="51"/>
        <v>B</v>
      </c>
      <c r="AD278" s="4" t="s">
        <v>3566</v>
      </c>
      <c r="AG278" s="4" t="str">
        <f t="shared" si="52"/>
        <v>Not Applicable</v>
      </c>
      <c r="AK278" s="4" t="s">
        <v>3573</v>
      </c>
      <c r="AL278" s="4" t="str">
        <f t="shared" si="53"/>
        <v>Found</v>
      </c>
      <c r="AN278" s="6">
        <v>146.52080000000001</v>
      </c>
      <c r="AO278" s="4" t="str">
        <f t="shared" si="54"/>
        <v>High</v>
      </c>
    </row>
    <row r="279" spans="1:41">
      <c r="A279">
        <v>1</v>
      </c>
      <c r="B279" t="str">
        <f t="shared" si="44"/>
        <v>First Class</v>
      </c>
      <c r="C279">
        <v>1</v>
      </c>
      <c r="E279" t="str">
        <f t="shared" si="45"/>
        <v>Survived</v>
      </c>
      <c r="F279" t="s">
        <v>1209</v>
      </c>
      <c r="G279" t="s">
        <v>849</v>
      </c>
      <c r="H279" t="s">
        <v>924</v>
      </c>
      <c r="I279" t="str">
        <f t="shared" si="46"/>
        <v>Mrs. Spencer William</v>
      </c>
      <c r="J279" t="s">
        <v>47</v>
      </c>
      <c r="K279" t="str">
        <f t="shared" si="47"/>
        <v>Female</v>
      </c>
      <c r="L279">
        <v>28</v>
      </c>
      <c r="O279">
        <f t="shared" si="48"/>
        <v>28</v>
      </c>
      <c r="P279">
        <v>1</v>
      </c>
      <c r="R279" s="4">
        <v>0</v>
      </c>
      <c r="T279" s="5">
        <v>146.52080000000001</v>
      </c>
      <c r="W279" s="4">
        <v>28</v>
      </c>
      <c r="X279" s="4" t="str">
        <f t="shared" si="49"/>
        <v>Young Adult</v>
      </c>
      <c r="Y279" s="4" t="s">
        <v>354</v>
      </c>
      <c r="AA279" s="4" t="s">
        <v>354</v>
      </c>
      <c r="AB279" s="4" t="str">
        <f t="shared" si="50"/>
        <v>B</v>
      </c>
      <c r="AC279" s="4" t="str">
        <f t="shared" si="51"/>
        <v>B</v>
      </c>
      <c r="AD279" s="4" t="s">
        <v>3566</v>
      </c>
      <c r="AF279" s="4">
        <v>6</v>
      </c>
      <c r="AG279" s="4">
        <f t="shared" si="52"/>
        <v>6</v>
      </c>
      <c r="AK279" s="4" t="s">
        <v>3573</v>
      </c>
      <c r="AL279" s="4" t="str">
        <f t="shared" si="53"/>
        <v>Found</v>
      </c>
      <c r="AN279" s="6">
        <v>146.52080000000001</v>
      </c>
      <c r="AO279" s="4" t="str">
        <f t="shared" si="54"/>
        <v>High</v>
      </c>
    </row>
    <row r="280" spans="1:41">
      <c r="A280">
        <v>1</v>
      </c>
      <c r="B280" t="str">
        <f t="shared" si="44"/>
        <v>First Class</v>
      </c>
      <c r="C280">
        <v>1</v>
      </c>
      <c r="E280" t="str">
        <f t="shared" si="45"/>
        <v>Survived</v>
      </c>
      <c r="F280" t="s">
        <v>1220</v>
      </c>
      <c r="G280" t="s">
        <v>919</v>
      </c>
      <c r="H280" t="s">
        <v>1221</v>
      </c>
      <c r="I280" t="str">
        <f t="shared" si="46"/>
        <v>Dr. Stahelin-Maeglin Max</v>
      </c>
      <c r="J280" t="s">
        <v>20</v>
      </c>
      <c r="K280" t="str">
        <f t="shared" si="47"/>
        <v>Male</v>
      </c>
      <c r="L280">
        <v>32</v>
      </c>
      <c r="O280">
        <f t="shared" si="48"/>
        <v>32</v>
      </c>
      <c r="P280">
        <v>0</v>
      </c>
      <c r="R280" s="4">
        <v>0</v>
      </c>
      <c r="T280" s="5">
        <v>30.5</v>
      </c>
      <c r="W280" s="4">
        <v>32</v>
      </c>
      <c r="X280" s="4" t="str">
        <f t="shared" si="49"/>
        <v>Adult</v>
      </c>
      <c r="Y280" s="4" t="s">
        <v>355</v>
      </c>
      <c r="AA280" s="4" t="s">
        <v>355</v>
      </c>
      <c r="AB280" s="4" t="str">
        <f t="shared" si="50"/>
        <v>B</v>
      </c>
      <c r="AC280" s="4" t="str">
        <f t="shared" si="51"/>
        <v>B</v>
      </c>
      <c r="AD280" s="4" t="s">
        <v>3566</v>
      </c>
      <c r="AF280" s="4">
        <v>3</v>
      </c>
      <c r="AG280" s="4">
        <f t="shared" si="52"/>
        <v>3</v>
      </c>
      <c r="AK280" s="4" t="s">
        <v>3573</v>
      </c>
      <c r="AL280" s="4" t="str">
        <f t="shared" si="53"/>
        <v>Found</v>
      </c>
      <c r="AN280" s="6">
        <v>30.5</v>
      </c>
      <c r="AO280" s="4" t="str">
        <f t="shared" si="54"/>
        <v>Mid</v>
      </c>
    </row>
    <row r="281" spans="1:41">
      <c r="A281">
        <v>1</v>
      </c>
      <c r="B281" t="str">
        <f t="shared" si="44"/>
        <v>First Class</v>
      </c>
      <c r="C281">
        <v>0</v>
      </c>
      <c r="E281" t="str">
        <f t="shared" si="45"/>
        <v>Died</v>
      </c>
      <c r="F281" t="s">
        <v>1222</v>
      </c>
      <c r="G281" t="s">
        <v>848</v>
      </c>
      <c r="H281" t="s">
        <v>924</v>
      </c>
      <c r="I281" t="str">
        <f t="shared" si="46"/>
        <v>Mr. Stead William</v>
      </c>
      <c r="J281" t="s">
        <v>20</v>
      </c>
      <c r="K281" t="str">
        <f t="shared" si="47"/>
        <v>Male</v>
      </c>
      <c r="L281">
        <v>62</v>
      </c>
      <c r="O281">
        <f t="shared" si="48"/>
        <v>62</v>
      </c>
      <c r="P281">
        <v>0</v>
      </c>
      <c r="R281" s="4">
        <v>0</v>
      </c>
      <c r="T281" s="5">
        <v>26.55</v>
      </c>
      <c r="W281" s="4">
        <v>62</v>
      </c>
      <c r="X281" s="4" t="str">
        <f t="shared" si="49"/>
        <v>Old Adult</v>
      </c>
      <c r="Y281" s="4" t="s">
        <v>356</v>
      </c>
      <c r="AA281" s="4" t="s">
        <v>356</v>
      </c>
      <c r="AB281" s="4" t="str">
        <f t="shared" si="50"/>
        <v>C</v>
      </c>
      <c r="AC281" s="4" t="str">
        <f t="shared" si="51"/>
        <v>C</v>
      </c>
      <c r="AD281" s="4" t="s">
        <v>457</v>
      </c>
      <c r="AG281" s="4" t="str">
        <f t="shared" si="52"/>
        <v>Not Applicable</v>
      </c>
      <c r="AK281" s="4" t="s">
        <v>3573</v>
      </c>
      <c r="AL281" s="4" t="str">
        <f t="shared" si="53"/>
        <v>Found</v>
      </c>
      <c r="AN281" s="6">
        <v>26.55</v>
      </c>
      <c r="AO281" s="4" t="str">
        <f t="shared" si="54"/>
        <v>Mid</v>
      </c>
    </row>
    <row r="282" spans="1:41">
      <c r="A282">
        <v>1</v>
      </c>
      <c r="B282" t="str">
        <f t="shared" si="44"/>
        <v>First Class</v>
      </c>
      <c r="C282">
        <v>1</v>
      </c>
      <c r="E282" t="str">
        <f t="shared" si="45"/>
        <v>Survived</v>
      </c>
      <c r="F282" t="s">
        <v>1223</v>
      </c>
      <c r="G282" t="s">
        <v>848</v>
      </c>
      <c r="H282" t="s">
        <v>1000</v>
      </c>
      <c r="I282" t="str">
        <f t="shared" si="46"/>
        <v>Mr. Stengel Charles</v>
      </c>
      <c r="J282" t="s">
        <v>20</v>
      </c>
      <c r="K282" t="str">
        <f t="shared" si="47"/>
        <v>Male</v>
      </c>
      <c r="L282">
        <v>54</v>
      </c>
      <c r="O282">
        <f t="shared" si="48"/>
        <v>54</v>
      </c>
      <c r="P282">
        <v>1</v>
      </c>
      <c r="R282" s="4">
        <v>0</v>
      </c>
      <c r="T282" s="5">
        <v>55.441699999999997</v>
      </c>
      <c r="W282" s="4">
        <v>54</v>
      </c>
      <c r="X282" s="4" t="str">
        <f t="shared" si="49"/>
        <v>Adult</v>
      </c>
      <c r="Y282" s="4" t="s">
        <v>358</v>
      </c>
      <c r="AA282" s="4" t="s">
        <v>358</v>
      </c>
      <c r="AB282" s="4" t="str">
        <f t="shared" si="50"/>
        <v>C</v>
      </c>
      <c r="AC282" s="4" t="str">
        <f t="shared" si="51"/>
        <v>C</v>
      </c>
      <c r="AD282" s="4" t="s">
        <v>3566</v>
      </c>
      <c r="AF282" s="4">
        <v>1</v>
      </c>
      <c r="AG282" s="4">
        <f t="shared" si="52"/>
        <v>1</v>
      </c>
      <c r="AK282" s="4" t="s">
        <v>3573</v>
      </c>
      <c r="AL282" s="4" t="str">
        <f t="shared" si="53"/>
        <v>Found</v>
      </c>
      <c r="AN282" s="6">
        <v>55.441699999999997</v>
      </c>
      <c r="AO282" s="4" t="str">
        <f t="shared" si="54"/>
        <v>High</v>
      </c>
    </row>
    <row r="283" spans="1:41">
      <c r="A283">
        <v>1</v>
      </c>
      <c r="B283" t="str">
        <f t="shared" si="44"/>
        <v>First Class</v>
      </c>
      <c r="C283">
        <v>1</v>
      </c>
      <c r="E283" t="str">
        <f t="shared" si="45"/>
        <v>Survived</v>
      </c>
      <c r="F283" t="s">
        <v>1223</v>
      </c>
      <c r="G283" t="s">
        <v>849</v>
      </c>
      <c r="H283" t="s">
        <v>1000</v>
      </c>
      <c r="I283" t="str">
        <f t="shared" si="46"/>
        <v>Mrs. Stengel Charles</v>
      </c>
      <c r="J283" t="s">
        <v>47</v>
      </c>
      <c r="K283" t="str">
        <f t="shared" si="47"/>
        <v>Female</v>
      </c>
      <c r="L283">
        <v>43</v>
      </c>
      <c r="O283">
        <f t="shared" si="48"/>
        <v>43</v>
      </c>
      <c r="P283">
        <v>1</v>
      </c>
      <c r="R283" s="4">
        <v>0</v>
      </c>
      <c r="T283" s="5">
        <v>55.441699999999997</v>
      </c>
      <c r="W283" s="4">
        <v>43</v>
      </c>
      <c r="X283" s="4" t="str">
        <f t="shared" si="49"/>
        <v>Adult</v>
      </c>
      <c r="Y283" s="4" t="s">
        <v>358</v>
      </c>
      <c r="AA283" s="4" t="s">
        <v>358</v>
      </c>
      <c r="AB283" s="4" t="str">
        <f t="shared" si="50"/>
        <v>C</v>
      </c>
      <c r="AC283" s="4" t="str">
        <f t="shared" si="51"/>
        <v>C</v>
      </c>
      <c r="AD283" s="4" t="s">
        <v>3566</v>
      </c>
      <c r="AF283" s="4">
        <v>5</v>
      </c>
      <c r="AG283" s="4">
        <f t="shared" si="52"/>
        <v>5</v>
      </c>
      <c r="AK283" s="4" t="s">
        <v>3573</v>
      </c>
      <c r="AL283" s="4" t="str">
        <f t="shared" si="53"/>
        <v>Found</v>
      </c>
      <c r="AN283" s="6">
        <v>55.441699999999997</v>
      </c>
      <c r="AO283" s="4" t="str">
        <f t="shared" si="54"/>
        <v>High</v>
      </c>
    </row>
    <row r="284" spans="1:41">
      <c r="A284">
        <v>1</v>
      </c>
      <c r="B284" t="str">
        <f t="shared" si="44"/>
        <v>First Class</v>
      </c>
      <c r="C284">
        <v>1</v>
      </c>
      <c r="E284" t="str">
        <f t="shared" si="45"/>
        <v>Survived</v>
      </c>
      <c r="F284" t="s">
        <v>1224</v>
      </c>
      <c r="G284" t="s">
        <v>849</v>
      </c>
      <c r="H284" t="s">
        <v>970</v>
      </c>
      <c r="I284" t="str">
        <f t="shared" si="46"/>
        <v>Mrs. Stephenson Walter</v>
      </c>
      <c r="J284" t="s">
        <v>47</v>
      </c>
      <c r="K284" t="str">
        <f t="shared" si="47"/>
        <v>Female</v>
      </c>
      <c r="L284">
        <v>52</v>
      </c>
      <c r="O284">
        <f t="shared" si="48"/>
        <v>52</v>
      </c>
      <c r="P284">
        <v>1</v>
      </c>
      <c r="R284" s="4">
        <v>0</v>
      </c>
      <c r="T284" s="5">
        <v>78.2667</v>
      </c>
      <c r="W284" s="4">
        <v>52</v>
      </c>
      <c r="X284" s="4" t="str">
        <f t="shared" si="49"/>
        <v>Adult</v>
      </c>
      <c r="Y284" s="4" t="s">
        <v>178</v>
      </c>
      <c r="AA284" s="4" t="s">
        <v>178</v>
      </c>
      <c r="AB284" s="4" t="str">
        <f t="shared" si="50"/>
        <v>D</v>
      </c>
      <c r="AC284" s="4" t="str">
        <f t="shared" si="51"/>
        <v>D</v>
      </c>
      <c r="AD284" s="4" t="s">
        <v>3566</v>
      </c>
      <c r="AF284" s="4">
        <v>4</v>
      </c>
      <c r="AG284" s="4">
        <f t="shared" si="52"/>
        <v>4</v>
      </c>
      <c r="AK284" s="4" t="s">
        <v>3573</v>
      </c>
      <c r="AL284" s="4" t="str">
        <f t="shared" si="53"/>
        <v>Found</v>
      </c>
      <c r="AN284" s="6">
        <v>78.2667</v>
      </c>
      <c r="AO284" s="4" t="str">
        <f t="shared" si="54"/>
        <v>High</v>
      </c>
    </row>
    <row r="285" spans="1:41">
      <c r="A285">
        <v>1</v>
      </c>
      <c r="B285" t="str">
        <f t="shared" si="44"/>
        <v>First Class</v>
      </c>
      <c r="C285">
        <v>0</v>
      </c>
      <c r="E285" t="str">
        <f t="shared" si="45"/>
        <v>Died</v>
      </c>
      <c r="F285" t="s">
        <v>1225</v>
      </c>
      <c r="G285" t="s">
        <v>848</v>
      </c>
      <c r="H285" t="s">
        <v>995</v>
      </c>
      <c r="I285" t="str">
        <f t="shared" si="46"/>
        <v>Mr. Stewart Albert</v>
      </c>
      <c r="J285" t="s">
        <v>20</v>
      </c>
      <c r="K285" t="str">
        <f t="shared" si="47"/>
        <v>Male</v>
      </c>
      <c r="L285">
        <v>28</v>
      </c>
      <c r="O285">
        <f t="shared" si="48"/>
        <v>28</v>
      </c>
      <c r="P285">
        <v>0</v>
      </c>
      <c r="R285" s="4">
        <v>0</v>
      </c>
      <c r="T285" s="5">
        <v>27.720800000000001</v>
      </c>
      <c r="W285" s="4">
        <v>28</v>
      </c>
      <c r="X285" s="4" t="str">
        <f t="shared" si="49"/>
        <v>Young Adult</v>
      </c>
      <c r="Y285" s="4" t="s">
        <v>3561</v>
      </c>
      <c r="AB285" s="4" t="str">
        <f t="shared" si="50"/>
        <v/>
      </c>
      <c r="AC285" s="4" t="str">
        <f t="shared" si="51"/>
        <v>Unknown</v>
      </c>
      <c r="AD285" s="4" t="s">
        <v>3566</v>
      </c>
      <c r="AG285" s="4" t="str">
        <f t="shared" si="52"/>
        <v>Not Applicable</v>
      </c>
      <c r="AK285" s="4" t="s">
        <v>3573</v>
      </c>
      <c r="AL285" s="4" t="str">
        <f t="shared" si="53"/>
        <v>Found</v>
      </c>
      <c r="AN285" s="6">
        <v>27.720800000000001</v>
      </c>
      <c r="AO285" s="4" t="str">
        <f t="shared" si="54"/>
        <v>Mid</v>
      </c>
    </row>
    <row r="286" spans="1:41">
      <c r="A286">
        <v>1</v>
      </c>
      <c r="B286" t="str">
        <f t="shared" si="44"/>
        <v>First Class</v>
      </c>
      <c r="C286">
        <v>1</v>
      </c>
      <c r="E286" t="str">
        <f t="shared" si="45"/>
        <v>Survived</v>
      </c>
      <c r="F286" t="s">
        <v>1226</v>
      </c>
      <c r="G286" t="s">
        <v>849</v>
      </c>
      <c r="H286" t="s">
        <v>912</v>
      </c>
      <c r="I286" t="str">
        <f t="shared" si="46"/>
        <v>Mrs. Stone George</v>
      </c>
      <c r="J286" t="s">
        <v>47</v>
      </c>
      <c r="K286" t="str">
        <f t="shared" si="47"/>
        <v>Female</v>
      </c>
      <c r="L286">
        <v>62</v>
      </c>
      <c r="O286">
        <f t="shared" si="48"/>
        <v>62</v>
      </c>
      <c r="P286">
        <v>0</v>
      </c>
      <c r="R286" s="4">
        <v>0</v>
      </c>
      <c r="T286" s="5">
        <v>80</v>
      </c>
      <c r="W286" s="4">
        <v>62</v>
      </c>
      <c r="X286" s="4" t="str">
        <f t="shared" si="49"/>
        <v>Old Adult</v>
      </c>
      <c r="Y286" s="4" t="s">
        <v>241</v>
      </c>
      <c r="AA286" s="4" t="s">
        <v>241</v>
      </c>
      <c r="AB286" s="4" t="str">
        <f t="shared" si="50"/>
        <v>B</v>
      </c>
      <c r="AC286" s="4" t="str">
        <f t="shared" si="51"/>
        <v>B</v>
      </c>
      <c r="AD286" s="4" t="s">
        <v>3561</v>
      </c>
      <c r="AF286" s="4">
        <v>6</v>
      </c>
      <c r="AG286" s="4">
        <f t="shared" si="52"/>
        <v>6</v>
      </c>
      <c r="AK286" s="4" t="s">
        <v>3573</v>
      </c>
      <c r="AL286" s="4" t="str">
        <f t="shared" si="53"/>
        <v>Found</v>
      </c>
      <c r="AN286" s="6">
        <v>80</v>
      </c>
      <c r="AO286" s="4" t="str">
        <f t="shared" si="54"/>
        <v>High</v>
      </c>
    </row>
    <row r="287" spans="1:41">
      <c r="A287">
        <v>1</v>
      </c>
      <c r="B287" t="str">
        <f t="shared" si="44"/>
        <v>First Class</v>
      </c>
      <c r="C287">
        <v>0</v>
      </c>
      <c r="E287" t="str">
        <f t="shared" si="45"/>
        <v>Died</v>
      </c>
      <c r="F287" t="s">
        <v>1227</v>
      </c>
      <c r="G287" t="s">
        <v>848</v>
      </c>
      <c r="H287" t="s">
        <v>1228</v>
      </c>
      <c r="I287" t="str">
        <f t="shared" si="46"/>
        <v>Mr. Straus Isidor</v>
      </c>
      <c r="J287" t="s">
        <v>20</v>
      </c>
      <c r="K287" t="str">
        <f t="shared" si="47"/>
        <v>Male</v>
      </c>
      <c r="L287">
        <v>67</v>
      </c>
      <c r="O287">
        <f t="shared" si="48"/>
        <v>67</v>
      </c>
      <c r="P287">
        <v>1</v>
      </c>
      <c r="R287" s="4">
        <v>0</v>
      </c>
      <c r="T287" s="5">
        <v>221.7792</v>
      </c>
      <c r="W287" s="4">
        <v>67</v>
      </c>
      <c r="X287" s="4" t="str">
        <f t="shared" si="49"/>
        <v>Old Adult</v>
      </c>
      <c r="Y287" s="4" t="s">
        <v>364</v>
      </c>
      <c r="AA287" s="4" t="s">
        <v>364</v>
      </c>
      <c r="AB287" s="4" t="str">
        <f t="shared" si="50"/>
        <v>C</v>
      </c>
      <c r="AC287" s="4" t="str">
        <f t="shared" si="51"/>
        <v>C</v>
      </c>
      <c r="AD287" s="4" t="s">
        <v>457</v>
      </c>
      <c r="AG287" s="4" t="str">
        <f t="shared" si="52"/>
        <v>Not Applicable</v>
      </c>
      <c r="AH287" s="4">
        <v>96</v>
      </c>
      <c r="AK287" s="4">
        <v>96</v>
      </c>
      <c r="AL287" s="4" t="str">
        <f t="shared" si="53"/>
        <v>Found</v>
      </c>
      <c r="AN287" s="6">
        <v>221.7792</v>
      </c>
      <c r="AO287" s="4" t="str">
        <f t="shared" si="54"/>
        <v>High</v>
      </c>
    </row>
    <row r="288" spans="1:41">
      <c r="A288">
        <v>1</v>
      </c>
      <c r="B288" t="str">
        <f t="shared" si="44"/>
        <v>First Class</v>
      </c>
      <c r="C288">
        <v>0</v>
      </c>
      <c r="E288" t="str">
        <f t="shared" si="45"/>
        <v>Died</v>
      </c>
      <c r="F288" t="s">
        <v>1227</v>
      </c>
      <c r="G288" t="s">
        <v>849</v>
      </c>
      <c r="H288" t="s">
        <v>1228</v>
      </c>
      <c r="I288" t="str">
        <f t="shared" si="46"/>
        <v>Mrs. Straus Isidor</v>
      </c>
      <c r="J288" t="s">
        <v>47</v>
      </c>
      <c r="K288" t="str">
        <f t="shared" si="47"/>
        <v>Female</v>
      </c>
      <c r="L288">
        <v>63</v>
      </c>
      <c r="O288">
        <f t="shared" si="48"/>
        <v>63</v>
      </c>
      <c r="P288">
        <v>1</v>
      </c>
      <c r="R288" s="4">
        <v>0</v>
      </c>
      <c r="T288" s="5">
        <v>221.7792</v>
      </c>
      <c r="W288" s="4">
        <v>63</v>
      </c>
      <c r="X288" s="4" t="str">
        <f t="shared" si="49"/>
        <v>Old Adult</v>
      </c>
      <c r="Y288" s="4" t="s">
        <v>364</v>
      </c>
      <c r="AA288" s="4" t="s">
        <v>364</v>
      </c>
      <c r="AB288" s="4" t="str">
        <f t="shared" si="50"/>
        <v>C</v>
      </c>
      <c r="AC288" s="4" t="str">
        <f t="shared" si="51"/>
        <v>C</v>
      </c>
      <c r="AD288" s="4" t="s">
        <v>457</v>
      </c>
      <c r="AG288" s="4" t="str">
        <f t="shared" si="52"/>
        <v>Not Applicable</v>
      </c>
      <c r="AK288" s="4" t="s">
        <v>3573</v>
      </c>
      <c r="AL288" s="4" t="str">
        <f t="shared" si="53"/>
        <v>Found</v>
      </c>
      <c r="AN288" s="6">
        <v>221.7792</v>
      </c>
      <c r="AO288" s="4" t="str">
        <f t="shared" si="54"/>
        <v>High</v>
      </c>
    </row>
    <row r="289" spans="1:41">
      <c r="A289">
        <v>1</v>
      </c>
      <c r="B289" t="str">
        <f t="shared" si="44"/>
        <v>First Class</v>
      </c>
      <c r="C289">
        <v>0</v>
      </c>
      <c r="E289" t="str">
        <f t="shared" si="45"/>
        <v>Died</v>
      </c>
      <c r="F289" t="s">
        <v>1230</v>
      </c>
      <c r="G289" t="s">
        <v>848</v>
      </c>
      <c r="H289" t="s">
        <v>999</v>
      </c>
      <c r="I289" t="str">
        <f t="shared" si="46"/>
        <v>Mr. Sutton Frederick</v>
      </c>
      <c r="J289" t="s">
        <v>20</v>
      </c>
      <c r="K289" t="str">
        <f t="shared" si="47"/>
        <v>Male</v>
      </c>
      <c r="L289">
        <v>61</v>
      </c>
      <c r="O289">
        <f t="shared" si="48"/>
        <v>61</v>
      </c>
      <c r="P289">
        <v>0</v>
      </c>
      <c r="R289" s="4">
        <v>0</v>
      </c>
      <c r="T289" s="5">
        <v>32.320799999999998</v>
      </c>
      <c r="W289" s="4">
        <v>61</v>
      </c>
      <c r="X289" s="4" t="str">
        <f t="shared" si="49"/>
        <v>Old Adult</v>
      </c>
      <c r="Y289" s="4" t="s">
        <v>365</v>
      </c>
      <c r="AA289" s="4" t="s">
        <v>365</v>
      </c>
      <c r="AB289" s="4" t="str">
        <f t="shared" si="50"/>
        <v>D</v>
      </c>
      <c r="AC289" s="4" t="str">
        <f t="shared" si="51"/>
        <v>D</v>
      </c>
      <c r="AD289" s="4" t="s">
        <v>457</v>
      </c>
      <c r="AG289" s="4" t="str">
        <f t="shared" si="52"/>
        <v>Not Applicable</v>
      </c>
      <c r="AH289" s="4">
        <v>46</v>
      </c>
      <c r="AK289" s="4">
        <v>46</v>
      </c>
      <c r="AL289" s="4" t="str">
        <f t="shared" si="53"/>
        <v>Found</v>
      </c>
      <c r="AN289" s="6">
        <v>32.320799999999998</v>
      </c>
      <c r="AO289" s="4" t="str">
        <f t="shared" si="54"/>
        <v>Mid</v>
      </c>
    </row>
    <row r="290" spans="1:41">
      <c r="A290">
        <v>1</v>
      </c>
      <c r="B290" t="str">
        <f t="shared" si="44"/>
        <v>First Class</v>
      </c>
      <c r="C290">
        <v>1</v>
      </c>
      <c r="E290" t="str">
        <f t="shared" si="45"/>
        <v>Survived</v>
      </c>
      <c r="F290" t="s">
        <v>1231</v>
      </c>
      <c r="G290" t="s">
        <v>849</v>
      </c>
      <c r="H290" t="s">
        <v>999</v>
      </c>
      <c r="I290" t="str">
        <f t="shared" si="46"/>
        <v>Mrs. Swift Frederick</v>
      </c>
      <c r="J290" t="s">
        <v>47</v>
      </c>
      <c r="K290" t="str">
        <f t="shared" si="47"/>
        <v>Female</v>
      </c>
      <c r="L290">
        <v>48</v>
      </c>
      <c r="O290">
        <f t="shared" si="48"/>
        <v>48</v>
      </c>
      <c r="P290">
        <v>0</v>
      </c>
      <c r="R290" s="4">
        <v>0</v>
      </c>
      <c r="T290" s="5">
        <v>25.929200000000002</v>
      </c>
      <c r="W290" s="4">
        <v>48</v>
      </c>
      <c r="X290" s="4" t="str">
        <f t="shared" si="49"/>
        <v>Adult</v>
      </c>
      <c r="Y290" s="4" t="s">
        <v>259</v>
      </c>
      <c r="AA290" s="4" t="s">
        <v>259</v>
      </c>
      <c r="AB290" s="4" t="str">
        <f t="shared" si="50"/>
        <v>D</v>
      </c>
      <c r="AC290" s="4" t="str">
        <f t="shared" si="51"/>
        <v>D</v>
      </c>
      <c r="AD290" s="4" t="s">
        <v>457</v>
      </c>
      <c r="AF290" s="4">
        <v>8</v>
      </c>
      <c r="AG290" s="4">
        <f t="shared" si="52"/>
        <v>8</v>
      </c>
      <c r="AK290" s="4" t="s">
        <v>3573</v>
      </c>
      <c r="AL290" s="4" t="str">
        <f t="shared" si="53"/>
        <v>Found</v>
      </c>
      <c r="AN290" s="6">
        <v>25.929200000000002</v>
      </c>
      <c r="AO290" s="4" t="str">
        <f t="shared" si="54"/>
        <v>Mid</v>
      </c>
    </row>
    <row r="291" spans="1:41">
      <c r="A291">
        <v>1</v>
      </c>
      <c r="B291" t="str">
        <f t="shared" si="44"/>
        <v>First Class</v>
      </c>
      <c r="C291">
        <v>1</v>
      </c>
      <c r="E291" t="str">
        <f t="shared" si="45"/>
        <v>Survived</v>
      </c>
      <c r="F291" t="s">
        <v>1232</v>
      </c>
      <c r="G291" t="s">
        <v>842</v>
      </c>
      <c r="H291" t="s">
        <v>1233</v>
      </c>
      <c r="I291" t="str">
        <f t="shared" si="46"/>
        <v>Miss. Taussig Ruth</v>
      </c>
      <c r="J291" t="s">
        <v>47</v>
      </c>
      <c r="K291" t="str">
        <f t="shared" si="47"/>
        <v>Female</v>
      </c>
      <c r="L291">
        <v>18</v>
      </c>
      <c r="O291">
        <f t="shared" si="48"/>
        <v>18</v>
      </c>
      <c r="P291">
        <v>0</v>
      </c>
      <c r="R291" s="4">
        <v>2</v>
      </c>
      <c r="T291" s="5">
        <v>79.650000000000006</v>
      </c>
      <c r="W291" s="4">
        <v>18</v>
      </c>
      <c r="X291" s="4" t="str">
        <f t="shared" si="49"/>
        <v>Young Adult</v>
      </c>
      <c r="Y291" s="4" t="s">
        <v>367</v>
      </c>
      <c r="AA291" s="4" t="s">
        <v>367</v>
      </c>
      <c r="AB291" s="4" t="str">
        <f t="shared" si="50"/>
        <v>E</v>
      </c>
      <c r="AC291" s="4" t="str">
        <f t="shared" si="51"/>
        <v>E</v>
      </c>
      <c r="AD291" s="4" t="s">
        <v>457</v>
      </c>
      <c r="AF291" s="4">
        <v>8</v>
      </c>
      <c r="AG291" s="4">
        <f t="shared" si="52"/>
        <v>8</v>
      </c>
      <c r="AK291" s="4" t="s">
        <v>3573</v>
      </c>
      <c r="AL291" s="4" t="str">
        <f t="shared" si="53"/>
        <v>Found</v>
      </c>
      <c r="AN291" s="6">
        <v>79.650000000000006</v>
      </c>
      <c r="AO291" s="4" t="str">
        <f t="shared" si="54"/>
        <v>High</v>
      </c>
    </row>
    <row r="292" spans="1:41">
      <c r="A292">
        <v>1</v>
      </c>
      <c r="B292" t="str">
        <f t="shared" si="44"/>
        <v>First Class</v>
      </c>
      <c r="C292">
        <v>0</v>
      </c>
      <c r="E292" t="str">
        <f t="shared" si="45"/>
        <v>Died</v>
      </c>
      <c r="F292" t="s">
        <v>1232</v>
      </c>
      <c r="G292" t="s">
        <v>848</v>
      </c>
      <c r="H292" t="s">
        <v>917</v>
      </c>
      <c r="I292" t="str">
        <f t="shared" si="46"/>
        <v>Mr. Taussig Emil</v>
      </c>
      <c r="J292" t="s">
        <v>20</v>
      </c>
      <c r="K292" t="str">
        <f t="shared" si="47"/>
        <v>Male</v>
      </c>
      <c r="L292">
        <v>52</v>
      </c>
      <c r="O292">
        <f t="shared" si="48"/>
        <v>52</v>
      </c>
      <c r="P292">
        <v>1</v>
      </c>
      <c r="R292" s="4">
        <v>1</v>
      </c>
      <c r="T292" s="5">
        <v>79.650000000000006</v>
      </c>
      <c r="W292" s="4">
        <v>52</v>
      </c>
      <c r="X292" s="4" t="str">
        <f t="shared" si="49"/>
        <v>Adult</v>
      </c>
      <c r="Y292" s="4" t="s">
        <v>368</v>
      </c>
      <c r="AA292" s="4" t="s">
        <v>368</v>
      </c>
      <c r="AB292" s="4" t="str">
        <f t="shared" si="50"/>
        <v>E</v>
      </c>
      <c r="AC292" s="4" t="str">
        <f t="shared" si="51"/>
        <v>E</v>
      </c>
      <c r="AD292" s="4" t="s">
        <v>457</v>
      </c>
      <c r="AG292" s="4" t="str">
        <f t="shared" si="52"/>
        <v>Not Applicable</v>
      </c>
      <c r="AK292" s="4" t="s">
        <v>3573</v>
      </c>
      <c r="AL292" s="4" t="str">
        <f t="shared" si="53"/>
        <v>Found</v>
      </c>
      <c r="AN292" s="6">
        <v>79.650000000000006</v>
      </c>
      <c r="AO292" s="4" t="str">
        <f t="shared" si="54"/>
        <v>High</v>
      </c>
    </row>
    <row r="293" spans="1:41">
      <c r="A293">
        <v>1</v>
      </c>
      <c r="B293" t="str">
        <f t="shared" si="44"/>
        <v>First Class</v>
      </c>
      <c r="C293">
        <v>1</v>
      </c>
      <c r="E293" t="str">
        <f t="shared" si="45"/>
        <v>Survived</v>
      </c>
      <c r="F293" t="s">
        <v>1232</v>
      </c>
      <c r="G293" t="s">
        <v>849</v>
      </c>
      <c r="H293" t="s">
        <v>917</v>
      </c>
      <c r="I293" t="str">
        <f t="shared" si="46"/>
        <v>Mrs. Taussig Emil</v>
      </c>
      <c r="J293" t="s">
        <v>47</v>
      </c>
      <c r="K293" t="str">
        <f t="shared" si="47"/>
        <v>Female</v>
      </c>
      <c r="L293">
        <v>39</v>
      </c>
      <c r="O293">
        <f t="shared" si="48"/>
        <v>39</v>
      </c>
      <c r="P293">
        <v>1</v>
      </c>
      <c r="R293" s="4">
        <v>1</v>
      </c>
      <c r="T293" s="5">
        <v>79.650000000000006</v>
      </c>
      <c r="W293" s="4">
        <v>39</v>
      </c>
      <c r="X293" s="4" t="str">
        <f t="shared" si="49"/>
        <v>Adult</v>
      </c>
      <c r="Y293" s="4" t="s">
        <v>368</v>
      </c>
      <c r="AA293" s="4" t="s">
        <v>368</v>
      </c>
      <c r="AB293" s="4" t="str">
        <f t="shared" si="50"/>
        <v>E</v>
      </c>
      <c r="AC293" s="4" t="str">
        <f t="shared" si="51"/>
        <v>E</v>
      </c>
      <c r="AD293" s="4" t="s">
        <v>457</v>
      </c>
      <c r="AF293" s="4">
        <v>8</v>
      </c>
      <c r="AG293" s="4">
        <f t="shared" si="52"/>
        <v>8</v>
      </c>
      <c r="AK293" s="4" t="s">
        <v>3573</v>
      </c>
      <c r="AL293" s="4" t="str">
        <f t="shared" si="53"/>
        <v>Found</v>
      </c>
      <c r="AN293" s="6">
        <v>79.650000000000006</v>
      </c>
      <c r="AO293" s="4" t="str">
        <f t="shared" si="54"/>
        <v>High</v>
      </c>
    </row>
    <row r="294" spans="1:41">
      <c r="A294">
        <v>1</v>
      </c>
      <c r="B294" t="str">
        <f t="shared" si="44"/>
        <v>First Class</v>
      </c>
      <c r="C294">
        <v>1</v>
      </c>
      <c r="E294" t="str">
        <f t="shared" si="45"/>
        <v>Survived</v>
      </c>
      <c r="F294" t="s">
        <v>977</v>
      </c>
      <c r="G294" t="s">
        <v>848</v>
      </c>
      <c r="H294" t="s">
        <v>1234</v>
      </c>
      <c r="I294" t="str">
        <f t="shared" si="46"/>
        <v>Mr. Taylor Elmer</v>
      </c>
      <c r="J294" t="s">
        <v>20</v>
      </c>
      <c r="K294" t="str">
        <f t="shared" si="47"/>
        <v>Male</v>
      </c>
      <c r="L294">
        <v>48</v>
      </c>
      <c r="O294">
        <f t="shared" si="48"/>
        <v>48</v>
      </c>
      <c r="P294">
        <v>1</v>
      </c>
      <c r="R294" s="4">
        <v>0</v>
      </c>
      <c r="T294" s="5">
        <v>52</v>
      </c>
      <c r="W294" s="4">
        <v>48</v>
      </c>
      <c r="X294" s="4" t="str">
        <f t="shared" si="49"/>
        <v>Adult</v>
      </c>
      <c r="Y294" s="4" t="s">
        <v>369</v>
      </c>
      <c r="AA294" s="4" t="s">
        <v>369</v>
      </c>
      <c r="AB294" s="4" t="str">
        <f t="shared" si="50"/>
        <v>C</v>
      </c>
      <c r="AC294" s="4" t="str">
        <f t="shared" si="51"/>
        <v>C</v>
      </c>
      <c r="AD294" s="4" t="s">
        <v>457</v>
      </c>
      <c r="AF294" s="4" t="s">
        <v>370</v>
      </c>
      <c r="AG294" s="4" t="str">
        <f t="shared" si="52"/>
        <v>5 7</v>
      </c>
      <c r="AK294" s="4" t="s">
        <v>3573</v>
      </c>
      <c r="AL294" s="4" t="str">
        <f t="shared" si="53"/>
        <v>Found</v>
      </c>
      <c r="AN294" s="6">
        <v>52</v>
      </c>
      <c r="AO294" s="4" t="str">
        <f t="shared" si="54"/>
        <v>High</v>
      </c>
    </row>
    <row r="295" spans="1:41">
      <c r="A295">
        <v>1</v>
      </c>
      <c r="B295" t="str">
        <f t="shared" si="44"/>
        <v>First Class</v>
      </c>
      <c r="C295">
        <v>1</v>
      </c>
      <c r="E295" t="str">
        <f t="shared" si="45"/>
        <v>Survived</v>
      </c>
      <c r="F295" t="s">
        <v>977</v>
      </c>
      <c r="G295" t="s">
        <v>849</v>
      </c>
      <c r="H295" t="s">
        <v>1234</v>
      </c>
      <c r="I295" t="str">
        <f t="shared" si="46"/>
        <v>Mrs. Taylor Elmer</v>
      </c>
      <c r="J295" t="s">
        <v>47</v>
      </c>
      <c r="K295" t="str">
        <f t="shared" si="47"/>
        <v>Female</v>
      </c>
      <c r="L295">
        <v>28</v>
      </c>
      <c r="O295">
        <f t="shared" si="48"/>
        <v>28</v>
      </c>
      <c r="P295">
        <v>1</v>
      </c>
      <c r="R295" s="4">
        <v>0</v>
      </c>
      <c r="T295" s="5">
        <v>52</v>
      </c>
      <c r="W295" s="4">
        <v>28</v>
      </c>
      <c r="X295" s="4" t="str">
        <f t="shared" si="49"/>
        <v>Young Adult</v>
      </c>
      <c r="Y295" s="4" t="s">
        <v>369</v>
      </c>
      <c r="AA295" s="4" t="s">
        <v>369</v>
      </c>
      <c r="AB295" s="4" t="str">
        <f t="shared" si="50"/>
        <v>C</v>
      </c>
      <c r="AC295" s="4" t="str">
        <f t="shared" si="51"/>
        <v>C</v>
      </c>
      <c r="AD295" s="4" t="s">
        <v>457</v>
      </c>
      <c r="AF295" s="4" t="s">
        <v>370</v>
      </c>
      <c r="AG295" s="4" t="str">
        <f t="shared" si="52"/>
        <v>5 7</v>
      </c>
      <c r="AK295" s="4" t="s">
        <v>3573</v>
      </c>
      <c r="AL295" s="4" t="str">
        <f t="shared" si="53"/>
        <v>Found</v>
      </c>
      <c r="AN295" s="6">
        <v>52</v>
      </c>
      <c r="AO295" s="4" t="str">
        <f t="shared" si="54"/>
        <v>High</v>
      </c>
    </row>
    <row r="296" spans="1:41">
      <c r="A296">
        <v>1</v>
      </c>
      <c r="B296" t="str">
        <f t="shared" si="44"/>
        <v>First Class</v>
      </c>
      <c r="C296">
        <v>0</v>
      </c>
      <c r="E296" t="str">
        <f t="shared" si="45"/>
        <v>Died</v>
      </c>
      <c r="F296" t="s">
        <v>1235</v>
      </c>
      <c r="G296" t="s">
        <v>848</v>
      </c>
      <c r="H296" t="s">
        <v>862</v>
      </c>
      <c r="I296" t="str">
        <f t="shared" si="46"/>
        <v>Mr. Thayer John</v>
      </c>
      <c r="J296" t="s">
        <v>20</v>
      </c>
      <c r="K296" t="str">
        <f t="shared" si="47"/>
        <v>Male</v>
      </c>
      <c r="L296">
        <v>49</v>
      </c>
      <c r="O296">
        <f t="shared" si="48"/>
        <v>49</v>
      </c>
      <c r="P296">
        <v>1</v>
      </c>
      <c r="R296" s="4">
        <v>1</v>
      </c>
      <c r="T296" s="5">
        <v>110.88330000000001</v>
      </c>
      <c r="W296" s="4">
        <v>49</v>
      </c>
      <c r="X296" s="4" t="str">
        <f t="shared" si="49"/>
        <v>Adult</v>
      </c>
      <c r="Y296" s="4" t="s">
        <v>372</v>
      </c>
      <c r="AA296" s="4" t="s">
        <v>372</v>
      </c>
      <c r="AB296" s="4" t="str">
        <f t="shared" si="50"/>
        <v>C</v>
      </c>
      <c r="AC296" s="4" t="str">
        <f t="shared" si="51"/>
        <v>C</v>
      </c>
      <c r="AD296" s="4" t="s">
        <v>3566</v>
      </c>
      <c r="AG296" s="4" t="str">
        <f t="shared" si="52"/>
        <v>Not Applicable</v>
      </c>
      <c r="AK296" s="4" t="s">
        <v>3573</v>
      </c>
      <c r="AL296" s="4" t="str">
        <f t="shared" si="53"/>
        <v>Found</v>
      </c>
      <c r="AN296" s="6">
        <v>110.88330000000001</v>
      </c>
      <c r="AO296" s="4" t="str">
        <f t="shared" si="54"/>
        <v>High</v>
      </c>
    </row>
    <row r="297" spans="1:41">
      <c r="A297">
        <v>1</v>
      </c>
      <c r="B297" t="str">
        <f t="shared" si="44"/>
        <v>First Class</v>
      </c>
      <c r="C297">
        <v>1</v>
      </c>
      <c r="E297" t="str">
        <f t="shared" si="45"/>
        <v>Survived</v>
      </c>
      <c r="F297" t="s">
        <v>1235</v>
      </c>
      <c r="G297" t="s">
        <v>848</v>
      </c>
      <c r="H297" t="s">
        <v>862</v>
      </c>
      <c r="I297" t="str">
        <f t="shared" si="46"/>
        <v>Mr. Thayer John</v>
      </c>
      <c r="J297" t="s">
        <v>20</v>
      </c>
      <c r="K297" t="str">
        <f t="shared" si="47"/>
        <v>Male</v>
      </c>
      <c r="L297">
        <v>17</v>
      </c>
      <c r="O297">
        <f t="shared" si="48"/>
        <v>17</v>
      </c>
      <c r="P297">
        <v>0</v>
      </c>
      <c r="R297" s="4">
        <v>2</v>
      </c>
      <c r="T297" s="5">
        <v>110.88330000000001</v>
      </c>
      <c r="W297" s="4">
        <v>17</v>
      </c>
      <c r="X297" s="4" t="str">
        <f t="shared" si="49"/>
        <v>Teenager</v>
      </c>
      <c r="Y297" s="4" t="s">
        <v>373</v>
      </c>
      <c r="AA297" s="4" t="s">
        <v>373</v>
      </c>
      <c r="AB297" s="4" t="str">
        <f t="shared" si="50"/>
        <v>C</v>
      </c>
      <c r="AC297" s="4" t="str">
        <f t="shared" si="51"/>
        <v>C</v>
      </c>
      <c r="AD297" s="4" t="s">
        <v>3566</v>
      </c>
      <c r="AF297" s="4" t="s">
        <v>70</v>
      </c>
      <c r="AG297" s="4" t="str">
        <f t="shared" si="52"/>
        <v>B</v>
      </c>
      <c r="AK297" s="4" t="s">
        <v>3573</v>
      </c>
      <c r="AL297" s="4" t="str">
        <f t="shared" si="53"/>
        <v>Found</v>
      </c>
      <c r="AN297" s="6">
        <v>110.88330000000001</v>
      </c>
      <c r="AO297" s="4" t="str">
        <f t="shared" si="54"/>
        <v>High</v>
      </c>
    </row>
    <row r="298" spans="1:41">
      <c r="A298">
        <v>1</v>
      </c>
      <c r="B298" t="str">
        <f t="shared" si="44"/>
        <v>First Class</v>
      </c>
      <c r="C298">
        <v>1</v>
      </c>
      <c r="E298" t="str">
        <f t="shared" si="45"/>
        <v>Survived</v>
      </c>
      <c r="F298" t="s">
        <v>1235</v>
      </c>
      <c r="G298" t="s">
        <v>849</v>
      </c>
      <c r="H298" t="s">
        <v>862</v>
      </c>
      <c r="I298" t="str">
        <f t="shared" si="46"/>
        <v>Mrs. Thayer John</v>
      </c>
      <c r="J298" t="s">
        <v>47</v>
      </c>
      <c r="K298" t="str">
        <f t="shared" si="47"/>
        <v>Female</v>
      </c>
      <c r="L298">
        <v>39</v>
      </c>
      <c r="O298">
        <f t="shared" si="48"/>
        <v>39</v>
      </c>
      <c r="P298">
        <v>1</v>
      </c>
      <c r="R298" s="4">
        <v>1</v>
      </c>
      <c r="T298" s="5">
        <v>110.88330000000001</v>
      </c>
      <c r="W298" s="4">
        <v>39</v>
      </c>
      <c r="X298" s="4" t="str">
        <f t="shared" si="49"/>
        <v>Adult</v>
      </c>
      <c r="Y298" s="4" t="s">
        <v>372</v>
      </c>
      <c r="AA298" s="4" t="s">
        <v>372</v>
      </c>
      <c r="AB298" s="4" t="str">
        <f t="shared" si="50"/>
        <v>C</v>
      </c>
      <c r="AC298" s="4" t="str">
        <f t="shared" si="51"/>
        <v>C</v>
      </c>
      <c r="AD298" s="4" t="s">
        <v>3566</v>
      </c>
      <c r="AF298" s="4">
        <v>4</v>
      </c>
      <c r="AG298" s="4">
        <f t="shared" si="52"/>
        <v>4</v>
      </c>
      <c r="AK298" s="4" t="s">
        <v>3573</v>
      </c>
      <c r="AL298" s="4" t="str">
        <f t="shared" si="53"/>
        <v>Found</v>
      </c>
      <c r="AN298" s="6">
        <v>110.88330000000001</v>
      </c>
      <c r="AO298" s="4" t="str">
        <f t="shared" si="54"/>
        <v>High</v>
      </c>
    </row>
    <row r="299" spans="1:41">
      <c r="A299">
        <v>1</v>
      </c>
      <c r="B299" t="str">
        <f t="shared" si="44"/>
        <v>First Class</v>
      </c>
      <c r="C299">
        <v>1</v>
      </c>
      <c r="E299" t="str">
        <f t="shared" si="45"/>
        <v>Survived</v>
      </c>
      <c r="F299" t="s">
        <v>1236</v>
      </c>
      <c r="G299" t="s">
        <v>849</v>
      </c>
      <c r="H299" t="s">
        <v>1069</v>
      </c>
      <c r="I299" t="str">
        <f t="shared" si="46"/>
        <v>Mrs. Thorne Gertrude</v>
      </c>
      <c r="J299" t="s">
        <v>47</v>
      </c>
      <c r="K299" t="str">
        <f t="shared" si="47"/>
        <v>Female</v>
      </c>
      <c r="L299">
        <v>28</v>
      </c>
      <c r="O299">
        <f t="shared" si="48"/>
        <v>28</v>
      </c>
      <c r="P299">
        <v>0</v>
      </c>
      <c r="R299" s="4">
        <v>0</v>
      </c>
      <c r="T299" s="5">
        <v>79.2</v>
      </c>
      <c r="W299" s="4">
        <v>28</v>
      </c>
      <c r="X299" s="4" t="str">
        <f t="shared" si="49"/>
        <v>Young Adult</v>
      </c>
      <c r="Y299" s="4" t="s">
        <v>3561</v>
      </c>
      <c r="AB299" s="4" t="str">
        <f t="shared" si="50"/>
        <v/>
      </c>
      <c r="AC299" s="4" t="str">
        <f t="shared" si="51"/>
        <v>Unknown</v>
      </c>
      <c r="AD299" s="4" t="s">
        <v>3566</v>
      </c>
      <c r="AF299" s="4" t="s">
        <v>59</v>
      </c>
      <c r="AG299" s="4" t="str">
        <f t="shared" si="52"/>
        <v>D</v>
      </c>
      <c r="AK299" s="4" t="s">
        <v>3573</v>
      </c>
      <c r="AL299" s="4" t="str">
        <f t="shared" si="53"/>
        <v>Found</v>
      </c>
      <c r="AN299" s="6">
        <v>79.2</v>
      </c>
      <c r="AO299" s="4" t="str">
        <f t="shared" si="54"/>
        <v>High</v>
      </c>
    </row>
    <row r="300" spans="1:41">
      <c r="A300">
        <v>1</v>
      </c>
      <c r="B300" t="str">
        <f t="shared" si="44"/>
        <v>First Class</v>
      </c>
      <c r="C300">
        <v>1</v>
      </c>
      <c r="E300" t="str">
        <f t="shared" si="45"/>
        <v>Survived</v>
      </c>
      <c r="F300" t="s">
        <v>1237</v>
      </c>
      <c r="G300" t="s">
        <v>848</v>
      </c>
      <c r="H300" t="s">
        <v>1238</v>
      </c>
      <c r="I300" t="str">
        <f t="shared" si="46"/>
        <v>Mr. Tucker Gilbert</v>
      </c>
      <c r="J300" t="s">
        <v>20</v>
      </c>
      <c r="K300" t="str">
        <f t="shared" si="47"/>
        <v>Male</v>
      </c>
      <c r="L300">
        <v>31</v>
      </c>
      <c r="O300">
        <f t="shared" si="48"/>
        <v>31</v>
      </c>
      <c r="P300">
        <v>0</v>
      </c>
      <c r="R300" s="4">
        <v>0</v>
      </c>
      <c r="T300" s="5">
        <v>28.537500000000001</v>
      </c>
      <c r="W300" s="4">
        <v>31</v>
      </c>
      <c r="X300" s="4" t="str">
        <f t="shared" si="49"/>
        <v>Adult</v>
      </c>
      <c r="Y300" s="4" t="s">
        <v>374</v>
      </c>
      <c r="AA300" s="4" t="s">
        <v>374</v>
      </c>
      <c r="AB300" s="4" t="str">
        <f t="shared" si="50"/>
        <v>C</v>
      </c>
      <c r="AC300" s="4" t="str">
        <f t="shared" si="51"/>
        <v>C</v>
      </c>
      <c r="AD300" s="4" t="s">
        <v>3566</v>
      </c>
      <c r="AF300" s="4">
        <v>7</v>
      </c>
      <c r="AG300" s="4">
        <f t="shared" si="52"/>
        <v>7</v>
      </c>
      <c r="AK300" s="4" t="s">
        <v>3573</v>
      </c>
      <c r="AL300" s="4" t="str">
        <f t="shared" si="53"/>
        <v>Found</v>
      </c>
      <c r="AN300" s="6">
        <v>28.537500000000001</v>
      </c>
      <c r="AO300" s="4" t="str">
        <f t="shared" si="54"/>
        <v>Mid</v>
      </c>
    </row>
    <row r="301" spans="1:41">
      <c r="A301">
        <v>1</v>
      </c>
      <c r="B301" t="str">
        <f t="shared" si="44"/>
        <v>First Class</v>
      </c>
      <c r="C301">
        <v>0</v>
      </c>
      <c r="E301" t="str">
        <f t="shared" si="45"/>
        <v>Died</v>
      </c>
      <c r="F301" t="s">
        <v>1239</v>
      </c>
      <c r="G301" t="s">
        <v>1240</v>
      </c>
      <c r="H301" t="s">
        <v>1241</v>
      </c>
      <c r="I301" t="str">
        <f t="shared" si="46"/>
        <v>Don. Uruchurtu Manuel</v>
      </c>
      <c r="J301" t="s">
        <v>20</v>
      </c>
      <c r="K301" t="str">
        <f t="shared" si="47"/>
        <v>Male</v>
      </c>
      <c r="L301">
        <v>40</v>
      </c>
      <c r="O301">
        <f t="shared" si="48"/>
        <v>40</v>
      </c>
      <c r="P301">
        <v>0</v>
      </c>
      <c r="R301" s="4">
        <v>0</v>
      </c>
      <c r="T301" s="5">
        <v>27.720800000000001</v>
      </c>
      <c r="W301" s="4">
        <v>40</v>
      </c>
      <c r="X301" s="4" t="str">
        <f t="shared" si="49"/>
        <v>Adult</v>
      </c>
      <c r="Y301" s="4" t="s">
        <v>3561</v>
      </c>
      <c r="AB301" s="4" t="str">
        <f t="shared" si="50"/>
        <v/>
      </c>
      <c r="AC301" s="4" t="str">
        <f t="shared" si="51"/>
        <v>Unknown</v>
      </c>
      <c r="AD301" s="4" t="s">
        <v>3566</v>
      </c>
      <c r="AG301" s="4" t="str">
        <f t="shared" si="52"/>
        <v>Not Applicable</v>
      </c>
      <c r="AK301" s="4" t="s">
        <v>3573</v>
      </c>
      <c r="AL301" s="4" t="str">
        <f t="shared" si="53"/>
        <v>Found</v>
      </c>
      <c r="AN301" s="6">
        <v>27.720800000000001</v>
      </c>
      <c r="AO301" s="4" t="str">
        <f t="shared" si="54"/>
        <v>Mid</v>
      </c>
    </row>
    <row r="302" spans="1:41">
      <c r="A302">
        <v>1</v>
      </c>
      <c r="B302" t="str">
        <f t="shared" si="44"/>
        <v>First Class</v>
      </c>
      <c r="C302">
        <v>0</v>
      </c>
      <c r="E302" t="str">
        <f t="shared" si="45"/>
        <v>Died</v>
      </c>
      <c r="F302" t="s">
        <v>1242</v>
      </c>
      <c r="G302" t="s">
        <v>1243</v>
      </c>
      <c r="H302" t="s">
        <v>1244</v>
      </c>
      <c r="I302" t="str">
        <f t="shared" si="46"/>
        <v>der Van hoef</v>
      </c>
      <c r="J302" t="s">
        <v>20</v>
      </c>
      <c r="K302" t="str">
        <f t="shared" si="47"/>
        <v>Male</v>
      </c>
      <c r="L302">
        <v>61</v>
      </c>
      <c r="O302">
        <f t="shared" si="48"/>
        <v>61</v>
      </c>
      <c r="P302">
        <v>0</v>
      </c>
      <c r="R302" s="4">
        <v>0</v>
      </c>
      <c r="T302" s="5">
        <v>33.5</v>
      </c>
      <c r="W302" s="4">
        <v>61</v>
      </c>
      <c r="X302" s="4" t="str">
        <f t="shared" si="49"/>
        <v>Old Adult</v>
      </c>
      <c r="Y302" s="4" t="s">
        <v>378</v>
      </c>
      <c r="AA302" s="4" t="s">
        <v>378</v>
      </c>
      <c r="AB302" s="4" t="str">
        <f t="shared" si="50"/>
        <v>B</v>
      </c>
      <c r="AC302" s="4" t="str">
        <f t="shared" si="51"/>
        <v>B</v>
      </c>
      <c r="AD302" s="4" t="s">
        <v>457</v>
      </c>
      <c r="AG302" s="4" t="str">
        <f t="shared" si="52"/>
        <v>Not Applicable</v>
      </c>
      <c r="AH302" s="4">
        <v>245</v>
      </c>
      <c r="AK302" s="4">
        <v>245</v>
      </c>
      <c r="AL302" s="4" t="str">
        <f t="shared" si="53"/>
        <v>Found</v>
      </c>
      <c r="AN302" s="6">
        <v>33.5</v>
      </c>
      <c r="AO302" s="4" t="str">
        <f t="shared" si="54"/>
        <v>Mid</v>
      </c>
    </row>
    <row r="303" spans="1:41">
      <c r="A303">
        <v>1</v>
      </c>
      <c r="B303" t="str">
        <f t="shared" si="44"/>
        <v>First Class</v>
      </c>
      <c r="C303">
        <v>0</v>
      </c>
      <c r="E303" t="str">
        <f t="shared" si="45"/>
        <v>Died</v>
      </c>
      <c r="F303" t="s">
        <v>1245</v>
      </c>
      <c r="G303" t="s">
        <v>848</v>
      </c>
      <c r="H303" t="s">
        <v>924</v>
      </c>
      <c r="I303" t="str">
        <f t="shared" si="46"/>
        <v>Mr. Walker William</v>
      </c>
      <c r="J303" t="s">
        <v>20</v>
      </c>
      <c r="K303" t="str">
        <f t="shared" si="47"/>
        <v>Male</v>
      </c>
      <c r="L303">
        <v>47</v>
      </c>
      <c r="O303">
        <f t="shared" si="48"/>
        <v>47</v>
      </c>
      <c r="P303">
        <v>0</v>
      </c>
      <c r="R303" s="4">
        <v>0</v>
      </c>
      <c r="T303" s="5">
        <v>34.020800000000001</v>
      </c>
      <c r="W303" s="4">
        <v>47</v>
      </c>
      <c r="X303" s="4" t="str">
        <f t="shared" si="49"/>
        <v>Adult</v>
      </c>
      <c r="Y303" s="4" t="s">
        <v>379</v>
      </c>
      <c r="AA303" s="4" t="s">
        <v>379</v>
      </c>
      <c r="AB303" s="4" t="str">
        <f t="shared" si="50"/>
        <v>D</v>
      </c>
      <c r="AC303" s="4" t="str">
        <f t="shared" si="51"/>
        <v>D</v>
      </c>
      <c r="AD303" s="4" t="s">
        <v>457</v>
      </c>
      <c r="AG303" s="4" t="str">
        <f t="shared" si="52"/>
        <v>Not Applicable</v>
      </c>
      <c r="AK303" s="4" t="s">
        <v>3573</v>
      </c>
      <c r="AL303" s="4" t="str">
        <f t="shared" si="53"/>
        <v>Found</v>
      </c>
      <c r="AN303" s="6">
        <v>34.020800000000001</v>
      </c>
      <c r="AO303" s="4" t="str">
        <f t="shared" si="54"/>
        <v>Mid</v>
      </c>
    </row>
    <row r="304" spans="1:41">
      <c r="A304">
        <v>1</v>
      </c>
      <c r="B304" t="str">
        <f t="shared" si="44"/>
        <v>First Class</v>
      </c>
      <c r="C304">
        <v>1</v>
      </c>
      <c r="E304" t="str">
        <f t="shared" si="45"/>
        <v>Survived</v>
      </c>
      <c r="F304" t="s">
        <v>1246</v>
      </c>
      <c r="G304" t="s">
        <v>842</v>
      </c>
      <c r="H304" t="s">
        <v>1247</v>
      </c>
      <c r="I304" t="str">
        <f t="shared" si="46"/>
        <v>Miss. Ward Anna</v>
      </c>
      <c r="J304" t="s">
        <v>47</v>
      </c>
      <c r="K304" t="str">
        <f t="shared" si="47"/>
        <v>Female</v>
      </c>
      <c r="L304">
        <v>35</v>
      </c>
      <c r="O304">
        <f t="shared" si="48"/>
        <v>35</v>
      </c>
      <c r="P304">
        <v>0</v>
      </c>
      <c r="R304" s="4">
        <v>0</v>
      </c>
      <c r="T304" s="5">
        <v>512.32920000000001</v>
      </c>
      <c r="W304" s="4">
        <v>35</v>
      </c>
      <c r="X304" s="4" t="str">
        <f t="shared" si="49"/>
        <v>Adult</v>
      </c>
      <c r="Y304" s="4" t="s">
        <v>3561</v>
      </c>
      <c r="AB304" s="4" t="str">
        <f t="shared" si="50"/>
        <v/>
      </c>
      <c r="AC304" s="4" t="str">
        <f t="shared" si="51"/>
        <v>Unknown</v>
      </c>
      <c r="AD304" s="4" t="s">
        <v>3566</v>
      </c>
      <c r="AF304" s="4">
        <v>3</v>
      </c>
      <c r="AG304" s="4">
        <f t="shared" si="52"/>
        <v>3</v>
      </c>
      <c r="AK304" s="4" t="s">
        <v>3573</v>
      </c>
      <c r="AL304" s="4" t="str">
        <f t="shared" si="53"/>
        <v>Found</v>
      </c>
      <c r="AN304" s="6">
        <v>512.32920000000001</v>
      </c>
      <c r="AO304" s="4" t="str">
        <f t="shared" si="54"/>
        <v>High</v>
      </c>
    </row>
    <row r="305" spans="1:41">
      <c r="A305">
        <v>1</v>
      </c>
      <c r="B305" t="str">
        <f t="shared" si="44"/>
        <v>First Class</v>
      </c>
      <c r="C305">
        <v>0</v>
      </c>
      <c r="E305" t="str">
        <f t="shared" si="45"/>
        <v>Died</v>
      </c>
      <c r="F305" t="s">
        <v>1248</v>
      </c>
      <c r="G305" t="s">
        <v>848</v>
      </c>
      <c r="H305" t="s">
        <v>1249</v>
      </c>
      <c r="I305" t="str">
        <f t="shared" si="46"/>
        <v>Mr. Warren Frank</v>
      </c>
      <c r="J305" t="s">
        <v>20</v>
      </c>
      <c r="K305" t="str">
        <f t="shared" si="47"/>
        <v>Male</v>
      </c>
      <c r="L305">
        <v>64</v>
      </c>
      <c r="O305">
        <f t="shared" si="48"/>
        <v>64</v>
      </c>
      <c r="P305">
        <v>1</v>
      </c>
      <c r="R305" s="4">
        <v>0</v>
      </c>
      <c r="T305" s="5">
        <v>75.25</v>
      </c>
      <c r="W305" s="4">
        <v>64</v>
      </c>
      <c r="X305" s="4" t="str">
        <f t="shared" si="49"/>
        <v>Old Adult</v>
      </c>
      <c r="Y305" s="4" t="s">
        <v>381</v>
      </c>
      <c r="AA305" s="4" t="s">
        <v>381</v>
      </c>
      <c r="AB305" s="4" t="str">
        <f t="shared" si="50"/>
        <v>D</v>
      </c>
      <c r="AC305" s="4" t="str">
        <f t="shared" si="51"/>
        <v>D</v>
      </c>
      <c r="AD305" s="4" t="s">
        <v>3566</v>
      </c>
      <c r="AG305" s="4" t="str">
        <f t="shared" si="52"/>
        <v>Not Applicable</v>
      </c>
      <c r="AK305" s="4" t="s">
        <v>3573</v>
      </c>
      <c r="AL305" s="4" t="str">
        <f t="shared" si="53"/>
        <v>Found</v>
      </c>
      <c r="AN305" s="6">
        <v>75.25</v>
      </c>
      <c r="AO305" s="4" t="str">
        <f t="shared" si="54"/>
        <v>High</v>
      </c>
    </row>
    <row r="306" spans="1:41">
      <c r="A306">
        <v>1</v>
      </c>
      <c r="B306" t="str">
        <f t="shared" si="44"/>
        <v>First Class</v>
      </c>
      <c r="C306">
        <v>1</v>
      </c>
      <c r="E306" t="str">
        <f t="shared" si="45"/>
        <v>Survived</v>
      </c>
      <c r="F306" t="s">
        <v>1248</v>
      </c>
      <c r="G306" t="s">
        <v>849</v>
      </c>
      <c r="H306" t="s">
        <v>1249</v>
      </c>
      <c r="I306" t="str">
        <f t="shared" si="46"/>
        <v>Mrs. Warren Frank</v>
      </c>
      <c r="J306" t="s">
        <v>47</v>
      </c>
      <c r="K306" t="str">
        <f t="shared" si="47"/>
        <v>Female</v>
      </c>
      <c r="L306">
        <v>60</v>
      </c>
      <c r="O306">
        <f t="shared" si="48"/>
        <v>60</v>
      </c>
      <c r="P306">
        <v>1</v>
      </c>
      <c r="R306" s="4">
        <v>0</v>
      </c>
      <c r="T306" s="5">
        <v>75.25</v>
      </c>
      <c r="W306" s="4">
        <v>60</v>
      </c>
      <c r="X306" s="4" t="str">
        <f t="shared" si="49"/>
        <v>Old Adult</v>
      </c>
      <c r="Y306" s="4" t="s">
        <v>381</v>
      </c>
      <c r="AA306" s="4" t="s">
        <v>381</v>
      </c>
      <c r="AB306" s="4" t="str">
        <f t="shared" si="50"/>
        <v>D</v>
      </c>
      <c r="AC306" s="4" t="str">
        <f t="shared" si="51"/>
        <v>D</v>
      </c>
      <c r="AD306" s="4" t="s">
        <v>3566</v>
      </c>
      <c r="AF306" s="4">
        <v>5</v>
      </c>
      <c r="AG306" s="4">
        <f t="shared" si="52"/>
        <v>5</v>
      </c>
      <c r="AK306" s="4" t="s">
        <v>3573</v>
      </c>
      <c r="AL306" s="4" t="str">
        <f t="shared" si="53"/>
        <v>Found</v>
      </c>
      <c r="AN306" s="6">
        <v>75.25</v>
      </c>
      <c r="AO306" s="4" t="str">
        <f t="shared" si="54"/>
        <v>High</v>
      </c>
    </row>
    <row r="307" spans="1:41">
      <c r="A307">
        <v>1</v>
      </c>
      <c r="B307" t="str">
        <f t="shared" si="44"/>
        <v>First Class</v>
      </c>
      <c r="C307">
        <v>0</v>
      </c>
      <c r="E307" t="str">
        <f t="shared" si="45"/>
        <v>Died</v>
      </c>
      <c r="F307" t="s">
        <v>1250</v>
      </c>
      <c r="G307" t="s">
        <v>861</v>
      </c>
      <c r="H307" t="s">
        <v>862</v>
      </c>
      <c r="I307" t="str">
        <f t="shared" si="46"/>
        <v>Col. Weir John</v>
      </c>
      <c r="J307" t="s">
        <v>20</v>
      </c>
      <c r="K307" t="str">
        <f t="shared" si="47"/>
        <v>Male</v>
      </c>
      <c r="L307">
        <v>60</v>
      </c>
      <c r="O307">
        <f t="shared" si="48"/>
        <v>60</v>
      </c>
      <c r="P307">
        <v>0</v>
      </c>
      <c r="R307" s="4">
        <v>0</v>
      </c>
      <c r="T307" s="5">
        <v>26.55</v>
      </c>
      <c r="W307" s="4">
        <v>60</v>
      </c>
      <c r="X307" s="4" t="str">
        <f t="shared" si="49"/>
        <v>Old Adult</v>
      </c>
      <c r="Y307" s="4" t="s">
        <v>3561</v>
      </c>
      <c r="AB307" s="4" t="str">
        <f t="shared" si="50"/>
        <v/>
      </c>
      <c r="AC307" s="4" t="str">
        <f t="shared" si="51"/>
        <v>Unknown</v>
      </c>
      <c r="AD307" s="4" t="s">
        <v>457</v>
      </c>
      <c r="AG307" s="4" t="str">
        <f t="shared" si="52"/>
        <v>Not Applicable</v>
      </c>
      <c r="AK307" s="4" t="s">
        <v>3573</v>
      </c>
      <c r="AL307" s="4" t="str">
        <f t="shared" si="53"/>
        <v>Found</v>
      </c>
      <c r="AN307" s="6">
        <v>26.55</v>
      </c>
      <c r="AO307" s="4" t="str">
        <f t="shared" si="54"/>
        <v>Mid</v>
      </c>
    </row>
    <row r="308" spans="1:41">
      <c r="A308">
        <v>1</v>
      </c>
      <c r="B308" t="str">
        <f t="shared" si="44"/>
        <v>First Class</v>
      </c>
      <c r="C308">
        <v>0</v>
      </c>
      <c r="E308" t="str">
        <f t="shared" si="45"/>
        <v>Died</v>
      </c>
      <c r="F308" t="s">
        <v>1251</v>
      </c>
      <c r="G308" t="s">
        <v>848</v>
      </c>
      <c r="H308" t="s">
        <v>1252</v>
      </c>
      <c r="I308" t="str">
        <f t="shared" si="46"/>
        <v>Mr. White Percival</v>
      </c>
      <c r="J308" t="s">
        <v>20</v>
      </c>
      <c r="K308" t="str">
        <f t="shared" si="47"/>
        <v>Male</v>
      </c>
      <c r="L308">
        <v>54</v>
      </c>
      <c r="O308">
        <f t="shared" si="48"/>
        <v>54</v>
      </c>
      <c r="P308">
        <v>0</v>
      </c>
      <c r="R308" s="4">
        <v>1</v>
      </c>
      <c r="T308" s="5">
        <v>77.287499999999994</v>
      </c>
      <c r="W308" s="4">
        <v>54</v>
      </c>
      <c r="X308" s="4" t="str">
        <f t="shared" si="49"/>
        <v>Adult</v>
      </c>
      <c r="Y308" s="4" t="s">
        <v>383</v>
      </c>
      <c r="AA308" s="4" t="s">
        <v>383</v>
      </c>
      <c r="AB308" s="4" t="str">
        <f t="shared" si="50"/>
        <v>D</v>
      </c>
      <c r="AC308" s="4" t="str">
        <f t="shared" si="51"/>
        <v>D</v>
      </c>
      <c r="AD308" s="4" t="s">
        <v>457</v>
      </c>
      <c r="AG308" s="4" t="str">
        <f t="shared" si="52"/>
        <v>Not Applicable</v>
      </c>
      <c r="AK308" s="4" t="s">
        <v>3573</v>
      </c>
      <c r="AL308" s="4" t="str">
        <f t="shared" si="53"/>
        <v>Found</v>
      </c>
      <c r="AN308" s="6">
        <v>77.287499999999994</v>
      </c>
      <c r="AO308" s="4" t="str">
        <f t="shared" si="54"/>
        <v>High</v>
      </c>
    </row>
    <row r="309" spans="1:41">
      <c r="A309">
        <v>1</v>
      </c>
      <c r="B309" t="str">
        <f t="shared" si="44"/>
        <v>First Class</v>
      </c>
      <c r="C309">
        <v>0</v>
      </c>
      <c r="E309" t="str">
        <f t="shared" si="45"/>
        <v>Died</v>
      </c>
      <c r="F309" t="s">
        <v>1251</v>
      </c>
      <c r="G309" t="s">
        <v>848</v>
      </c>
      <c r="H309" t="s">
        <v>884</v>
      </c>
      <c r="I309" t="str">
        <f t="shared" si="46"/>
        <v>Mr. White Richard</v>
      </c>
      <c r="J309" t="s">
        <v>20</v>
      </c>
      <c r="K309" t="str">
        <f t="shared" si="47"/>
        <v>Male</v>
      </c>
      <c r="L309">
        <v>21</v>
      </c>
      <c r="O309">
        <f t="shared" si="48"/>
        <v>21</v>
      </c>
      <c r="P309">
        <v>0</v>
      </c>
      <c r="R309" s="4">
        <v>1</v>
      </c>
      <c r="T309" s="5">
        <v>77.287499999999994</v>
      </c>
      <c r="W309" s="4">
        <v>21</v>
      </c>
      <c r="X309" s="4" t="str">
        <f t="shared" si="49"/>
        <v>Young Adult</v>
      </c>
      <c r="Y309" s="4" t="s">
        <v>383</v>
      </c>
      <c r="AA309" s="4" t="s">
        <v>383</v>
      </c>
      <c r="AB309" s="4" t="str">
        <f t="shared" si="50"/>
        <v>D</v>
      </c>
      <c r="AC309" s="4" t="str">
        <f t="shared" si="51"/>
        <v>D</v>
      </c>
      <c r="AD309" s="4" t="s">
        <v>457</v>
      </c>
      <c r="AG309" s="4" t="str">
        <f t="shared" si="52"/>
        <v>Not Applicable</v>
      </c>
      <c r="AH309" s="4">
        <v>169</v>
      </c>
      <c r="AK309" s="4">
        <v>169</v>
      </c>
      <c r="AL309" s="4" t="str">
        <f t="shared" si="53"/>
        <v>Found</v>
      </c>
      <c r="AN309" s="6">
        <v>77.287499999999994</v>
      </c>
      <c r="AO309" s="4" t="str">
        <f t="shared" si="54"/>
        <v>High</v>
      </c>
    </row>
    <row r="310" spans="1:41">
      <c r="A310">
        <v>1</v>
      </c>
      <c r="B310" t="str">
        <f t="shared" si="44"/>
        <v>First Class</v>
      </c>
      <c r="C310">
        <v>1</v>
      </c>
      <c r="E310" t="str">
        <f t="shared" si="45"/>
        <v>Survived</v>
      </c>
      <c r="F310" t="s">
        <v>1251</v>
      </c>
      <c r="G310" t="s">
        <v>849</v>
      </c>
      <c r="H310" t="s">
        <v>862</v>
      </c>
      <c r="I310" t="str">
        <f t="shared" si="46"/>
        <v>Mrs. White John</v>
      </c>
      <c r="J310" t="s">
        <v>47</v>
      </c>
      <c r="K310" t="str">
        <f t="shared" si="47"/>
        <v>Female</v>
      </c>
      <c r="L310">
        <v>55</v>
      </c>
      <c r="O310">
        <f t="shared" si="48"/>
        <v>55</v>
      </c>
      <c r="P310">
        <v>0</v>
      </c>
      <c r="R310" s="4">
        <v>0</v>
      </c>
      <c r="T310" s="5">
        <v>135.63329999999999</v>
      </c>
      <c r="W310" s="4">
        <v>55</v>
      </c>
      <c r="X310" s="4" t="str">
        <f t="shared" si="49"/>
        <v>Adult</v>
      </c>
      <c r="Y310" s="4" t="s">
        <v>385</v>
      </c>
      <c r="AA310" s="4" t="s">
        <v>385</v>
      </c>
      <c r="AB310" s="4" t="str">
        <f t="shared" si="50"/>
        <v>C</v>
      </c>
      <c r="AC310" s="4" t="str">
        <f t="shared" si="51"/>
        <v>C</v>
      </c>
      <c r="AD310" s="4" t="s">
        <v>3566</v>
      </c>
      <c r="AF310" s="4">
        <v>8</v>
      </c>
      <c r="AG310" s="4">
        <f t="shared" si="52"/>
        <v>8</v>
      </c>
      <c r="AK310" s="4" t="s">
        <v>3573</v>
      </c>
      <c r="AL310" s="4" t="str">
        <f t="shared" si="53"/>
        <v>Found</v>
      </c>
      <c r="AN310" s="6">
        <v>135.63329999999999</v>
      </c>
      <c r="AO310" s="4" t="str">
        <f t="shared" si="54"/>
        <v>High</v>
      </c>
    </row>
    <row r="311" spans="1:41">
      <c r="A311">
        <v>1</v>
      </c>
      <c r="B311" t="str">
        <f t="shared" si="44"/>
        <v>First Class</v>
      </c>
      <c r="C311">
        <v>1</v>
      </c>
      <c r="E311" t="str">
        <f t="shared" si="45"/>
        <v>Survived</v>
      </c>
      <c r="F311" t="s">
        <v>1253</v>
      </c>
      <c r="G311" t="s">
        <v>842</v>
      </c>
      <c r="H311" t="s">
        <v>1107</v>
      </c>
      <c r="I311" t="str">
        <f t="shared" si="46"/>
        <v>Miss. Wick Mary</v>
      </c>
      <c r="J311" t="s">
        <v>47</v>
      </c>
      <c r="K311" t="str">
        <f t="shared" si="47"/>
        <v>Female</v>
      </c>
      <c r="L311">
        <v>31</v>
      </c>
      <c r="O311">
        <f t="shared" si="48"/>
        <v>31</v>
      </c>
      <c r="P311">
        <v>0</v>
      </c>
      <c r="R311" s="4">
        <v>2</v>
      </c>
      <c r="T311" s="5">
        <v>164.86670000000001</v>
      </c>
      <c r="W311" s="4">
        <v>31</v>
      </c>
      <c r="X311" s="4" t="str">
        <f t="shared" si="49"/>
        <v>Adult</v>
      </c>
      <c r="Y311" s="4" t="s">
        <v>95</v>
      </c>
      <c r="AA311" s="4" t="s">
        <v>95</v>
      </c>
      <c r="AB311" s="4" t="str">
        <f t="shared" si="50"/>
        <v>C</v>
      </c>
      <c r="AC311" s="4" t="str">
        <f t="shared" si="51"/>
        <v>C</v>
      </c>
      <c r="AD311" s="4" t="s">
        <v>457</v>
      </c>
      <c r="AF311" s="4">
        <v>8</v>
      </c>
      <c r="AG311" s="4">
        <f t="shared" si="52"/>
        <v>8</v>
      </c>
      <c r="AK311" s="4" t="s">
        <v>3573</v>
      </c>
      <c r="AL311" s="4" t="str">
        <f t="shared" si="53"/>
        <v>Found</v>
      </c>
      <c r="AN311" s="6">
        <v>164.86670000000001</v>
      </c>
      <c r="AO311" s="4" t="str">
        <f t="shared" si="54"/>
        <v>High</v>
      </c>
    </row>
    <row r="312" spans="1:41">
      <c r="A312">
        <v>1</v>
      </c>
      <c r="B312" t="str">
        <f t="shared" si="44"/>
        <v>First Class</v>
      </c>
      <c r="C312">
        <v>0</v>
      </c>
      <c r="E312" t="str">
        <f t="shared" si="45"/>
        <v>Died</v>
      </c>
      <c r="F312" t="s">
        <v>1253</v>
      </c>
      <c r="G312" t="s">
        <v>848</v>
      </c>
      <c r="H312" t="s">
        <v>912</v>
      </c>
      <c r="I312" t="str">
        <f t="shared" si="46"/>
        <v>Mr. Wick George</v>
      </c>
      <c r="J312" t="s">
        <v>20</v>
      </c>
      <c r="K312" t="str">
        <f t="shared" si="47"/>
        <v>Male</v>
      </c>
      <c r="L312">
        <v>57</v>
      </c>
      <c r="O312">
        <f t="shared" si="48"/>
        <v>57</v>
      </c>
      <c r="P312">
        <v>1</v>
      </c>
      <c r="R312" s="4">
        <v>1</v>
      </c>
      <c r="T312" s="5">
        <v>164.86670000000001</v>
      </c>
      <c r="W312" s="4">
        <v>57</v>
      </c>
      <c r="X312" s="4" t="str">
        <f t="shared" si="49"/>
        <v>Adult</v>
      </c>
      <c r="Y312" s="4" t="s">
        <v>3561</v>
      </c>
      <c r="AB312" s="4" t="str">
        <f t="shared" si="50"/>
        <v/>
      </c>
      <c r="AC312" s="4" t="str">
        <f t="shared" si="51"/>
        <v>Unknown</v>
      </c>
      <c r="AD312" s="4" t="s">
        <v>457</v>
      </c>
      <c r="AG312" s="4" t="str">
        <f t="shared" si="52"/>
        <v>Not Applicable</v>
      </c>
      <c r="AK312" s="4" t="s">
        <v>3573</v>
      </c>
      <c r="AL312" s="4" t="str">
        <f t="shared" si="53"/>
        <v>Found</v>
      </c>
      <c r="AN312" s="6">
        <v>164.86670000000001</v>
      </c>
      <c r="AO312" s="4" t="str">
        <f t="shared" si="54"/>
        <v>High</v>
      </c>
    </row>
    <row r="313" spans="1:41">
      <c r="A313">
        <v>1</v>
      </c>
      <c r="B313" t="str">
        <f t="shared" si="44"/>
        <v>First Class</v>
      </c>
      <c r="C313">
        <v>1</v>
      </c>
      <c r="E313" t="str">
        <f t="shared" si="45"/>
        <v>Survived</v>
      </c>
      <c r="F313" t="s">
        <v>1253</v>
      </c>
      <c r="G313" t="s">
        <v>849</v>
      </c>
      <c r="H313" t="s">
        <v>912</v>
      </c>
      <c r="I313" t="str">
        <f t="shared" si="46"/>
        <v>Mrs. Wick George</v>
      </c>
      <c r="J313" t="s">
        <v>47</v>
      </c>
      <c r="K313" t="str">
        <f t="shared" si="47"/>
        <v>Female</v>
      </c>
      <c r="L313">
        <v>45</v>
      </c>
      <c r="O313">
        <f t="shared" si="48"/>
        <v>45</v>
      </c>
      <c r="P313">
        <v>1</v>
      </c>
      <c r="R313" s="4">
        <v>1</v>
      </c>
      <c r="T313" s="5">
        <v>164.86670000000001</v>
      </c>
      <c r="W313" s="4">
        <v>45</v>
      </c>
      <c r="X313" s="4" t="str">
        <f t="shared" si="49"/>
        <v>Adult</v>
      </c>
      <c r="Y313" s="4" t="s">
        <v>3561</v>
      </c>
      <c r="AB313" s="4" t="str">
        <f t="shared" si="50"/>
        <v/>
      </c>
      <c r="AC313" s="4" t="str">
        <f t="shared" si="51"/>
        <v>Unknown</v>
      </c>
      <c r="AD313" s="4" t="s">
        <v>457</v>
      </c>
      <c r="AF313" s="4">
        <v>8</v>
      </c>
      <c r="AG313" s="4">
        <f t="shared" si="52"/>
        <v>8</v>
      </c>
      <c r="AK313" s="4" t="s">
        <v>3573</v>
      </c>
      <c r="AL313" s="4" t="str">
        <f t="shared" si="53"/>
        <v>Found</v>
      </c>
      <c r="AN313" s="6">
        <v>164.86670000000001</v>
      </c>
      <c r="AO313" s="4" t="str">
        <f t="shared" si="54"/>
        <v>High</v>
      </c>
    </row>
    <row r="314" spans="1:41">
      <c r="A314">
        <v>1</v>
      </c>
      <c r="B314" t="str">
        <f t="shared" si="44"/>
        <v>First Class</v>
      </c>
      <c r="C314">
        <v>0</v>
      </c>
      <c r="E314" t="str">
        <f t="shared" si="45"/>
        <v>Died</v>
      </c>
      <c r="F314" t="s">
        <v>1254</v>
      </c>
      <c r="G314" t="s">
        <v>848</v>
      </c>
      <c r="H314" t="s">
        <v>912</v>
      </c>
      <c r="I314" t="str">
        <f t="shared" si="46"/>
        <v>Mr. Widener George</v>
      </c>
      <c r="J314" t="s">
        <v>20</v>
      </c>
      <c r="K314" t="str">
        <f t="shared" si="47"/>
        <v>Male</v>
      </c>
      <c r="L314">
        <v>50</v>
      </c>
      <c r="O314">
        <f t="shared" si="48"/>
        <v>50</v>
      </c>
      <c r="P314">
        <v>1</v>
      </c>
      <c r="R314" s="4">
        <v>1</v>
      </c>
      <c r="T314" s="5">
        <v>211.5</v>
      </c>
      <c r="W314" s="4">
        <v>50</v>
      </c>
      <c r="X314" s="4" t="str">
        <f t="shared" si="49"/>
        <v>Adult</v>
      </c>
      <c r="Y314" s="4" t="s">
        <v>387</v>
      </c>
      <c r="AA314" s="4" t="s">
        <v>387</v>
      </c>
      <c r="AB314" s="4" t="str">
        <f t="shared" si="50"/>
        <v>C</v>
      </c>
      <c r="AC314" s="4" t="str">
        <f t="shared" si="51"/>
        <v>C</v>
      </c>
      <c r="AD314" s="4" t="s">
        <v>3566</v>
      </c>
      <c r="AG314" s="4" t="str">
        <f t="shared" si="52"/>
        <v>Not Applicable</v>
      </c>
      <c r="AK314" s="4" t="s">
        <v>3573</v>
      </c>
      <c r="AL314" s="4" t="str">
        <f t="shared" si="53"/>
        <v>Found</v>
      </c>
      <c r="AN314" s="6">
        <v>211.5</v>
      </c>
      <c r="AO314" s="4" t="str">
        <f t="shared" si="54"/>
        <v>High</v>
      </c>
    </row>
    <row r="315" spans="1:41">
      <c r="A315">
        <v>1</v>
      </c>
      <c r="B315" t="str">
        <f t="shared" si="44"/>
        <v>First Class</v>
      </c>
      <c r="C315">
        <v>0</v>
      </c>
      <c r="E315" t="str">
        <f t="shared" si="45"/>
        <v>Died</v>
      </c>
      <c r="F315" t="s">
        <v>1254</v>
      </c>
      <c r="G315" t="s">
        <v>848</v>
      </c>
      <c r="H315" t="s">
        <v>852</v>
      </c>
      <c r="I315" t="str">
        <f t="shared" si="46"/>
        <v>Mr. Widener Harry</v>
      </c>
      <c r="J315" t="s">
        <v>20</v>
      </c>
      <c r="K315" t="str">
        <f t="shared" si="47"/>
        <v>Male</v>
      </c>
      <c r="L315">
        <v>27</v>
      </c>
      <c r="O315">
        <f t="shared" si="48"/>
        <v>27</v>
      </c>
      <c r="P315">
        <v>0</v>
      </c>
      <c r="R315" s="4">
        <v>2</v>
      </c>
      <c r="T315" s="5">
        <v>211.5</v>
      </c>
      <c r="W315" s="4">
        <v>27</v>
      </c>
      <c r="X315" s="4" t="str">
        <f t="shared" si="49"/>
        <v>Young Adult</v>
      </c>
      <c r="Y315" s="4" t="s">
        <v>389</v>
      </c>
      <c r="AA315" s="4" t="s">
        <v>389</v>
      </c>
      <c r="AB315" s="4" t="str">
        <f t="shared" si="50"/>
        <v>C</v>
      </c>
      <c r="AC315" s="4" t="str">
        <f t="shared" si="51"/>
        <v>C</v>
      </c>
      <c r="AD315" s="4" t="s">
        <v>3566</v>
      </c>
      <c r="AG315" s="4" t="str">
        <f t="shared" si="52"/>
        <v>Not Applicable</v>
      </c>
      <c r="AK315" s="4" t="s">
        <v>3573</v>
      </c>
      <c r="AL315" s="4" t="str">
        <f t="shared" si="53"/>
        <v>Found</v>
      </c>
      <c r="AN315" s="6">
        <v>211.5</v>
      </c>
      <c r="AO315" s="4" t="str">
        <f t="shared" si="54"/>
        <v>High</v>
      </c>
    </row>
    <row r="316" spans="1:41">
      <c r="A316">
        <v>1</v>
      </c>
      <c r="B316" t="str">
        <f t="shared" si="44"/>
        <v>First Class</v>
      </c>
      <c r="C316">
        <v>1</v>
      </c>
      <c r="E316" t="str">
        <f t="shared" si="45"/>
        <v>Survived</v>
      </c>
      <c r="F316" t="s">
        <v>1254</v>
      </c>
      <c r="G316" t="s">
        <v>849</v>
      </c>
      <c r="H316" t="s">
        <v>912</v>
      </c>
      <c r="I316" t="str">
        <f t="shared" si="46"/>
        <v>Mrs. Widener George</v>
      </c>
      <c r="J316" t="s">
        <v>47</v>
      </c>
      <c r="K316" t="str">
        <f t="shared" si="47"/>
        <v>Female</v>
      </c>
      <c r="L316">
        <v>50</v>
      </c>
      <c r="O316">
        <f t="shared" si="48"/>
        <v>50</v>
      </c>
      <c r="P316">
        <v>1</v>
      </c>
      <c r="R316" s="4">
        <v>1</v>
      </c>
      <c r="T316" s="5">
        <v>211.5</v>
      </c>
      <c r="W316" s="4">
        <v>50</v>
      </c>
      <c r="X316" s="4" t="str">
        <f t="shared" si="49"/>
        <v>Adult</v>
      </c>
      <c r="Y316" s="4" t="s">
        <v>387</v>
      </c>
      <c r="AA316" s="4" t="s">
        <v>387</v>
      </c>
      <c r="AB316" s="4" t="str">
        <f t="shared" si="50"/>
        <v>C</v>
      </c>
      <c r="AC316" s="4" t="str">
        <f t="shared" si="51"/>
        <v>C</v>
      </c>
      <c r="AD316" s="4" t="s">
        <v>3566</v>
      </c>
      <c r="AF316" s="4">
        <v>4</v>
      </c>
      <c r="AG316" s="4">
        <f t="shared" si="52"/>
        <v>4</v>
      </c>
      <c r="AK316" s="4" t="s">
        <v>3573</v>
      </c>
      <c r="AL316" s="4" t="str">
        <f t="shared" si="53"/>
        <v>Found</v>
      </c>
      <c r="AN316" s="6">
        <v>211.5</v>
      </c>
      <c r="AO316" s="4" t="str">
        <f t="shared" si="54"/>
        <v>High</v>
      </c>
    </row>
    <row r="317" spans="1:41">
      <c r="A317">
        <v>1</v>
      </c>
      <c r="B317" t="str">
        <f t="shared" si="44"/>
        <v>First Class</v>
      </c>
      <c r="C317">
        <v>1</v>
      </c>
      <c r="E317" t="str">
        <f t="shared" si="45"/>
        <v>Survived</v>
      </c>
      <c r="F317" t="s">
        <v>1255</v>
      </c>
      <c r="G317" t="s">
        <v>842</v>
      </c>
      <c r="H317" t="s">
        <v>954</v>
      </c>
      <c r="I317" t="str">
        <f t="shared" si="46"/>
        <v>Miss. Willard Constance</v>
      </c>
      <c r="J317" t="s">
        <v>47</v>
      </c>
      <c r="K317" t="str">
        <f t="shared" si="47"/>
        <v>Female</v>
      </c>
      <c r="L317">
        <v>21</v>
      </c>
      <c r="O317">
        <f t="shared" si="48"/>
        <v>21</v>
      </c>
      <c r="P317">
        <v>0</v>
      </c>
      <c r="R317" s="4">
        <v>0</v>
      </c>
      <c r="T317" s="5">
        <v>26.55</v>
      </c>
      <c r="W317" s="4">
        <v>21</v>
      </c>
      <c r="X317" s="4" t="str">
        <f t="shared" si="49"/>
        <v>Young Adult</v>
      </c>
      <c r="Y317" s="4" t="s">
        <v>3561</v>
      </c>
      <c r="AB317" s="4" t="str">
        <f t="shared" si="50"/>
        <v/>
      </c>
      <c r="AC317" s="4" t="str">
        <f t="shared" si="51"/>
        <v>Unknown</v>
      </c>
      <c r="AD317" s="4" t="s">
        <v>457</v>
      </c>
      <c r="AF317" s="4" t="s">
        <v>390</v>
      </c>
      <c r="AG317" s="4" t="str">
        <f t="shared" si="52"/>
        <v>8 10</v>
      </c>
      <c r="AK317" s="4" t="s">
        <v>3573</v>
      </c>
      <c r="AL317" s="4" t="str">
        <f t="shared" si="53"/>
        <v>Found</v>
      </c>
      <c r="AN317" s="6">
        <v>26.55</v>
      </c>
      <c r="AO317" s="4" t="str">
        <f t="shared" si="54"/>
        <v>Mid</v>
      </c>
    </row>
    <row r="318" spans="1:41">
      <c r="A318">
        <v>1</v>
      </c>
      <c r="B318" t="str">
        <f t="shared" si="44"/>
        <v>First Class</v>
      </c>
      <c r="C318">
        <v>0</v>
      </c>
      <c r="E318" t="str">
        <f t="shared" si="45"/>
        <v>Died</v>
      </c>
      <c r="F318" t="s">
        <v>990</v>
      </c>
      <c r="G318" t="s">
        <v>848</v>
      </c>
      <c r="H318" t="s">
        <v>1000</v>
      </c>
      <c r="I318" t="str">
        <f t="shared" si="46"/>
        <v>Mr. Williams Charles</v>
      </c>
      <c r="J318" t="s">
        <v>20</v>
      </c>
      <c r="K318" t="str">
        <f t="shared" si="47"/>
        <v>Male</v>
      </c>
      <c r="L318">
        <v>51</v>
      </c>
      <c r="O318">
        <f t="shared" si="48"/>
        <v>51</v>
      </c>
      <c r="P318">
        <v>0</v>
      </c>
      <c r="R318" s="4">
        <v>1</v>
      </c>
      <c r="T318" s="5">
        <v>61.379199999999997</v>
      </c>
      <c r="W318" s="4">
        <v>51</v>
      </c>
      <c r="X318" s="4" t="str">
        <f t="shared" si="49"/>
        <v>Adult</v>
      </c>
      <c r="Y318" s="4" t="s">
        <v>3561</v>
      </c>
      <c r="AB318" s="4" t="str">
        <f t="shared" si="50"/>
        <v/>
      </c>
      <c r="AC318" s="4" t="str">
        <f t="shared" si="51"/>
        <v>Unknown</v>
      </c>
      <c r="AD318" s="4" t="s">
        <v>3566</v>
      </c>
      <c r="AG318" s="4" t="str">
        <f t="shared" si="52"/>
        <v>Not Applicable</v>
      </c>
      <c r="AK318" s="4" t="s">
        <v>3573</v>
      </c>
      <c r="AL318" s="4" t="str">
        <f t="shared" si="53"/>
        <v>Found</v>
      </c>
      <c r="AN318" s="6">
        <v>61.379199999999997</v>
      </c>
      <c r="AO318" s="4" t="str">
        <f t="shared" si="54"/>
        <v>High</v>
      </c>
    </row>
    <row r="319" spans="1:41">
      <c r="A319">
        <v>1</v>
      </c>
      <c r="B319" t="str">
        <f t="shared" si="44"/>
        <v>First Class</v>
      </c>
      <c r="C319">
        <v>1</v>
      </c>
      <c r="E319" t="str">
        <f t="shared" si="45"/>
        <v>Survived</v>
      </c>
      <c r="F319" t="s">
        <v>990</v>
      </c>
      <c r="G319" t="s">
        <v>848</v>
      </c>
      <c r="H319" t="s">
        <v>884</v>
      </c>
      <c r="I319" t="str">
        <f t="shared" si="46"/>
        <v>Mr. Williams Richard</v>
      </c>
      <c r="J319" t="s">
        <v>20</v>
      </c>
      <c r="K319" t="str">
        <f t="shared" si="47"/>
        <v>Male</v>
      </c>
      <c r="L319">
        <v>21</v>
      </c>
      <c r="O319">
        <f t="shared" si="48"/>
        <v>21</v>
      </c>
      <c r="P319">
        <v>0</v>
      </c>
      <c r="R319" s="4">
        <v>1</v>
      </c>
      <c r="T319" s="5">
        <v>61.379199999999997</v>
      </c>
      <c r="W319" s="4">
        <v>21</v>
      </c>
      <c r="X319" s="4" t="str">
        <f t="shared" si="49"/>
        <v>Young Adult</v>
      </c>
      <c r="Y319" s="4" t="s">
        <v>3561</v>
      </c>
      <c r="AB319" s="4" t="str">
        <f t="shared" si="50"/>
        <v/>
      </c>
      <c r="AC319" s="4" t="str">
        <f t="shared" si="51"/>
        <v>Unknown</v>
      </c>
      <c r="AD319" s="4" t="s">
        <v>3566</v>
      </c>
      <c r="AF319" s="4" t="s">
        <v>78</v>
      </c>
      <c r="AG319" s="4" t="str">
        <f t="shared" si="52"/>
        <v>A</v>
      </c>
      <c r="AK319" s="4" t="s">
        <v>3573</v>
      </c>
      <c r="AL319" s="4" t="str">
        <f t="shared" si="53"/>
        <v>Found</v>
      </c>
      <c r="AN319" s="6">
        <v>61.379199999999997</v>
      </c>
      <c r="AO319" s="4" t="str">
        <f t="shared" si="54"/>
        <v>High</v>
      </c>
    </row>
    <row r="320" spans="1:41">
      <c r="A320">
        <v>1</v>
      </c>
      <c r="B320" t="str">
        <f t="shared" si="44"/>
        <v>First Class</v>
      </c>
      <c r="C320">
        <v>0</v>
      </c>
      <c r="E320" t="str">
        <f t="shared" si="45"/>
        <v>Died</v>
      </c>
      <c r="F320" t="s">
        <v>1257</v>
      </c>
      <c r="G320" t="s">
        <v>848</v>
      </c>
      <c r="H320" t="s">
        <v>1258</v>
      </c>
      <c r="I320" t="str">
        <f t="shared" si="46"/>
        <v>Mr. Williams-Lambert Fletcher</v>
      </c>
      <c r="J320" t="s">
        <v>20</v>
      </c>
      <c r="K320" t="str">
        <f t="shared" si="47"/>
        <v>Male</v>
      </c>
      <c r="L320">
        <v>28</v>
      </c>
      <c r="O320">
        <f t="shared" si="48"/>
        <v>28</v>
      </c>
      <c r="P320">
        <v>0</v>
      </c>
      <c r="R320" s="4">
        <v>0</v>
      </c>
      <c r="T320" s="5">
        <v>35</v>
      </c>
      <c r="W320" s="4">
        <v>28</v>
      </c>
      <c r="X320" s="4" t="str">
        <f t="shared" si="49"/>
        <v>Young Adult</v>
      </c>
      <c r="Y320" s="4" t="s">
        <v>393</v>
      </c>
      <c r="AA320" s="4" t="s">
        <v>393</v>
      </c>
      <c r="AB320" s="4" t="str">
        <f t="shared" si="50"/>
        <v>C</v>
      </c>
      <c r="AC320" s="4" t="str">
        <f t="shared" si="51"/>
        <v>C</v>
      </c>
      <c r="AD320" s="4" t="s">
        <v>457</v>
      </c>
      <c r="AG320" s="4" t="str">
        <f t="shared" si="52"/>
        <v>Not Applicable</v>
      </c>
      <c r="AK320" s="4" t="s">
        <v>3573</v>
      </c>
      <c r="AL320" s="4" t="str">
        <f t="shared" si="53"/>
        <v>Found</v>
      </c>
      <c r="AN320" s="6">
        <v>35</v>
      </c>
      <c r="AO320" s="4" t="str">
        <f t="shared" si="54"/>
        <v>Mid</v>
      </c>
    </row>
    <row r="321" spans="1:41">
      <c r="A321">
        <v>1</v>
      </c>
      <c r="B321" t="str">
        <f t="shared" si="44"/>
        <v>First Class</v>
      </c>
      <c r="C321">
        <v>1</v>
      </c>
      <c r="E321" t="str">
        <f t="shared" si="45"/>
        <v>Survived</v>
      </c>
      <c r="F321" t="s">
        <v>873</v>
      </c>
      <c r="G321" t="s">
        <v>842</v>
      </c>
      <c r="H321" t="s">
        <v>847</v>
      </c>
      <c r="I321" t="str">
        <f t="shared" si="46"/>
        <v>Miss. Wilson Helen</v>
      </c>
      <c r="J321" t="s">
        <v>47</v>
      </c>
      <c r="K321" t="str">
        <f t="shared" si="47"/>
        <v>Female</v>
      </c>
      <c r="L321">
        <v>31</v>
      </c>
      <c r="O321">
        <f t="shared" si="48"/>
        <v>31</v>
      </c>
      <c r="P321">
        <v>0</v>
      </c>
      <c r="R321" s="4">
        <v>0</v>
      </c>
      <c r="T321" s="5">
        <v>134.5</v>
      </c>
      <c r="W321" s="4">
        <v>31</v>
      </c>
      <c r="X321" s="4" t="str">
        <f t="shared" si="49"/>
        <v>Adult</v>
      </c>
      <c r="Y321" s="4" t="s">
        <v>394</v>
      </c>
      <c r="AA321" s="4" t="s">
        <v>394</v>
      </c>
      <c r="AB321" s="4" t="str">
        <f t="shared" si="50"/>
        <v>E</v>
      </c>
      <c r="AC321" s="4" t="str">
        <f t="shared" si="51"/>
        <v>E</v>
      </c>
      <c r="AD321" s="4" t="s">
        <v>3566</v>
      </c>
      <c r="AF321" s="4">
        <v>3</v>
      </c>
      <c r="AG321" s="4">
        <f t="shared" si="52"/>
        <v>3</v>
      </c>
      <c r="AK321" s="4" t="s">
        <v>3573</v>
      </c>
      <c r="AL321" s="4" t="str">
        <f t="shared" si="53"/>
        <v>Found</v>
      </c>
      <c r="AN321" s="6">
        <v>134.5</v>
      </c>
      <c r="AO321" s="4" t="str">
        <f t="shared" si="54"/>
        <v>High</v>
      </c>
    </row>
    <row r="322" spans="1:41">
      <c r="A322">
        <v>1</v>
      </c>
      <c r="B322" t="str">
        <f t="shared" si="44"/>
        <v>First Class</v>
      </c>
      <c r="C322">
        <v>1</v>
      </c>
      <c r="E322" t="str">
        <f t="shared" si="45"/>
        <v>Survived</v>
      </c>
      <c r="F322" t="s">
        <v>1259</v>
      </c>
      <c r="G322" t="s">
        <v>848</v>
      </c>
      <c r="H322" t="s">
        <v>1180</v>
      </c>
      <c r="I322" t="str">
        <f t="shared" si="46"/>
        <v>Mr. Woolner Hugh</v>
      </c>
      <c r="J322" t="s">
        <v>20</v>
      </c>
      <c r="K322" t="str">
        <f t="shared" si="47"/>
        <v>Male</v>
      </c>
      <c r="L322">
        <v>28</v>
      </c>
      <c r="O322">
        <f t="shared" si="48"/>
        <v>28</v>
      </c>
      <c r="P322">
        <v>0</v>
      </c>
      <c r="R322" s="4">
        <v>0</v>
      </c>
      <c r="T322" s="5">
        <v>35.5</v>
      </c>
      <c r="W322" s="4">
        <v>28</v>
      </c>
      <c r="X322" s="4" t="str">
        <f t="shared" si="49"/>
        <v>Young Adult</v>
      </c>
      <c r="Y322" s="4" t="s">
        <v>89</v>
      </c>
      <c r="AA322" s="4" t="s">
        <v>89</v>
      </c>
      <c r="AB322" s="4" t="str">
        <f t="shared" si="50"/>
        <v>C</v>
      </c>
      <c r="AC322" s="4" t="str">
        <f t="shared" si="51"/>
        <v>C</v>
      </c>
      <c r="AD322" s="4" t="s">
        <v>457</v>
      </c>
      <c r="AF322" s="4" t="s">
        <v>59</v>
      </c>
      <c r="AG322" s="4" t="str">
        <f t="shared" si="52"/>
        <v>D</v>
      </c>
      <c r="AK322" s="4" t="s">
        <v>3573</v>
      </c>
      <c r="AL322" s="4" t="str">
        <f t="shared" si="53"/>
        <v>Found</v>
      </c>
      <c r="AN322" s="6">
        <v>35.5</v>
      </c>
      <c r="AO322" s="4" t="str">
        <f t="shared" si="54"/>
        <v>Mid</v>
      </c>
    </row>
    <row r="323" spans="1:41">
      <c r="A323">
        <v>1</v>
      </c>
      <c r="B323" t="str">
        <f t="shared" ref="B323:B386" si="55">IF(A323=1,"First Class",IF(A323=2,"Second Class",IF(A323=3,"Third Class"," ")))</f>
        <v>First Class</v>
      </c>
      <c r="C323">
        <v>0</v>
      </c>
      <c r="E323" t="str">
        <f t="shared" ref="E323:E386" si="56">IF(C323=1,"Survived",IF(C323=0,"Died"))</f>
        <v>Died</v>
      </c>
      <c r="F323" t="s">
        <v>1260</v>
      </c>
      <c r="G323" t="s">
        <v>848</v>
      </c>
      <c r="H323" t="s">
        <v>912</v>
      </c>
      <c r="I323" t="str">
        <f t="shared" ref="I323:I386" si="57">_xlfn.CONCAT(G323," ",F323," ",H323)</f>
        <v>Mr. Wright George</v>
      </c>
      <c r="J323" t="s">
        <v>20</v>
      </c>
      <c r="K323" t="str">
        <f t="shared" ref="K323:K386" si="58">PROPER(J323)</f>
        <v>Male</v>
      </c>
      <c r="L323">
        <v>62</v>
      </c>
      <c r="O323">
        <f t="shared" ref="O323:O386" si="59">IF(L323&lt;1,1,ROUND(L323,0))</f>
        <v>62</v>
      </c>
      <c r="P323">
        <v>0</v>
      </c>
      <c r="R323" s="4">
        <v>0</v>
      </c>
      <c r="T323" s="5">
        <v>26.55</v>
      </c>
      <c r="W323" s="4">
        <v>62</v>
      </c>
      <c r="X323" s="4" t="str">
        <f t="shared" ref="X323:X386" si="60">IF(W323&lt;10,"Child",IF(W323&lt;18,"Teenager",IF(W323&lt;30,"Young Adult",IF(W323&lt;60,"Adult","Old Adult"))))</f>
        <v>Old Adult</v>
      </c>
      <c r="Y323" s="4" t="s">
        <v>3561</v>
      </c>
      <c r="AB323" s="4" t="str">
        <f t="shared" ref="AB323:AB386" si="61">LEFT(AA323,1)</f>
        <v/>
      </c>
      <c r="AC323" s="4" t="str">
        <f t="shared" ref="AC323:AC386" si="62">IF(AB323="","Unknown",LEFT(AB323,1))</f>
        <v>Unknown</v>
      </c>
      <c r="AD323" s="4" t="s">
        <v>457</v>
      </c>
      <c r="AG323" s="4" t="str">
        <f t="shared" ref="AG323:AG386" si="63">IF(AF323="",IF(E323=1,"Unknown","Not Applicable"),AF323)</f>
        <v>Not Applicable</v>
      </c>
      <c r="AK323" s="4" t="s">
        <v>3573</v>
      </c>
      <c r="AL323" s="4" t="str">
        <f t="shared" ref="AL323:AL386" si="64">IF(AK323="","Not Found","Found")</f>
        <v>Found</v>
      </c>
      <c r="AN323" s="6">
        <v>26.55</v>
      </c>
      <c r="AO323" s="4" t="str">
        <f t="shared" ref="AO323:AO386" si="65">IF(AN323&lt;=10,"Low",IF(AN323&lt;=50,"Mid","High"))</f>
        <v>Mid</v>
      </c>
    </row>
    <row r="324" spans="1:41">
      <c r="A324">
        <v>1</v>
      </c>
      <c r="B324" t="str">
        <f t="shared" si="55"/>
        <v>First Class</v>
      </c>
      <c r="C324">
        <v>1</v>
      </c>
      <c r="E324" t="str">
        <f t="shared" si="56"/>
        <v>Survived</v>
      </c>
      <c r="F324" t="s">
        <v>1261</v>
      </c>
      <c r="G324" t="s">
        <v>842</v>
      </c>
      <c r="H324" t="s">
        <v>1262</v>
      </c>
      <c r="I324" t="str">
        <f t="shared" si="57"/>
        <v>Miss. Young Marie</v>
      </c>
      <c r="J324" t="s">
        <v>47</v>
      </c>
      <c r="K324" t="str">
        <f t="shared" si="58"/>
        <v>Female</v>
      </c>
      <c r="L324">
        <v>36</v>
      </c>
      <c r="O324">
        <f t="shared" si="59"/>
        <v>36</v>
      </c>
      <c r="P324">
        <v>0</v>
      </c>
      <c r="R324" s="4">
        <v>0</v>
      </c>
      <c r="T324" s="5">
        <v>135.63329999999999</v>
      </c>
      <c r="W324" s="4">
        <v>36</v>
      </c>
      <c r="X324" s="4" t="str">
        <f t="shared" si="60"/>
        <v>Adult</v>
      </c>
      <c r="Y324" s="4" t="s">
        <v>385</v>
      </c>
      <c r="AA324" s="4" t="s">
        <v>385</v>
      </c>
      <c r="AB324" s="4" t="str">
        <f t="shared" si="61"/>
        <v>C</v>
      </c>
      <c r="AC324" s="4" t="str">
        <f t="shared" si="62"/>
        <v>C</v>
      </c>
      <c r="AD324" s="4" t="s">
        <v>3566</v>
      </c>
      <c r="AF324" s="4">
        <v>8</v>
      </c>
      <c r="AG324" s="4">
        <f t="shared" si="63"/>
        <v>8</v>
      </c>
      <c r="AK324" s="4" t="s">
        <v>3573</v>
      </c>
      <c r="AL324" s="4" t="str">
        <f t="shared" si="64"/>
        <v>Found</v>
      </c>
      <c r="AN324" s="6">
        <v>135.63329999999999</v>
      </c>
      <c r="AO324" s="4" t="str">
        <f t="shared" si="65"/>
        <v>High</v>
      </c>
    </row>
    <row r="325" spans="1:41">
      <c r="A325">
        <v>2</v>
      </c>
      <c r="B325" t="str">
        <f t="shared" si="55"/>
        <v>Second Class</v>
      </c>
      <c r="C325">
        <v>0</v>
      </c>
      <c r="E325" t="str">
        <f t="shared" si="56"/>
        <v>Died</v>
      </c>
      <c r="F325" t="s">
        <v>1263</v>
      </c>
      <c r="G325" t="s">
        <v>848</v>
      </c>
      <c r="H325" t="s">
        <v>1046</v>
      </c>
      <c r="I325" t="str">
        <f t="shared" si="57"/>
        <v>Mr. Abelson Samuel</v>
      </c>
      <c r="J325" t="s">
        <v>20</v>
      </c>
      <c r="K325" t="str">
        <f t="shared" si="58"/>
        <v>Male</v>
      </c>
      <c r="L325">
        <v>30</v>
      </c>
      <c r="O325">
        <f t="shared" si="59"/>
        <v>30</v>
      </c>
      <c r="P325">
        <v>1</v>
      </c>
      <c r="R325" s="4">
        <v>0</v>
      </c>
      <c r="T325" s="5">
        <v>24</v>
      </c>
      <c r="W325" s="4">
        <v>30</v>
      </c>
      <c r="X325" s="4" t="str">
        <f t="shared" si="60"/>
        <v>Adult</v>
      </c>
      <c r="Y325" s="4" t="s">
        <v>3561</v>
      </c>
      <c r="AB325" s="4" t="str">
        <f t="shared" si="61"/>
        <v/>
      </c>
      <c r="AC325" s="4" t="str">
        <f t="shared" si="62"/>
        <v>Unknown</v>
      </c>
      <c r="AD325" s="4" t="s">
        <v>3566</v>
      </c>
      <c r="AG325" s="4" t="str">
        <f t="shared" si="63"/>
        <v>Not Applicable</v>
      </c>
      <c r="AK325" s="4" t="s">
        <v>3573</v>
      </c>
      <c r="AL325" s="4" t="str">
        <f t="shared" si="64"/>
        <v>Found</v>
      </c>
      <c r="AN325" s="6">
        <v>24</v>
      </c>
      <c r="AO325" s="4" t="str">
        <f t="shared" si="65"/>
        <v>Mid</v>
      </c>
    </row>
    <row r="326" spans="1:41">
      <c r="A326">
        <v>2</v>
      </c>
      <c r="B326" t="str">
        <f t="shared" si="55"/>
        <v>Second Class</v>
      </c>
      <c r="C326">
        <v>1</v>
      </c>
      <c r="E326" t="str">
        <f t="shared" si="56"/>
        <v>Survived</v>
      </c>
      <c r="F326" t="s">
        <v>1263</v>
      </c>
      <c r="G326" t="s">
        <v>849</v>
      </c>
      <c r="H326" t="s">
        <v>1046</v>
      </c>
      <c r="I326" t="str">
        <f t="shared" si="57"/>
        <v>Mrs. Abelson Samuel</v>
      </c>
      <c r="J326" t="s">
        <v>47</v>
      </c>
      <c r="K326" t="str">
        <f t="shared" si="58"/>
        <v>Female</v>
      </c>
      <c r="L326">
        <v>28</v>
      </c>
      <c r="O326">
        <f t="shared" si="59"/>
        <v>28</v>
      </c>
      <c r="P326">
        <v>1</v>
      </c>
      <c r="R326" s="4">
        <v>0</v>
      </c>
      <c r="T326" s="5">
        <v>24</v>
      </c>
      <c r="W326" s="4">
        <v>28</v>
      </c>
      <c r="X326" s="4" t="str">
        <f t="shared" si="60"/>
        <v>Young Adult</v>
      </c>
      <c r="Y326" s="4" t="s">
        <v>3561</v>
      </c>
      <c r="AB326" s="4" t="str">
        <f t="shared" si="61"/>
        <v/>
      </c>
      <c r="AC326" s="4" t="str">
        <f t="shared" si="62"/>
        <v>Unknown</v>
      </c>
      <c r="AD326" s="4" t="s">
        <v>3566</v>
      </c>
      <c r="AF326" s="4">
        <v>10</v>
      </c>
      <c r="AG326" s="4">
        <f t="shared" si="63"/>
        <v>10</v>
      </c>
      <c r="AK326" s="4" t="s">
        <v>3573</v>
      </c>
      <c r="AL326" s="4" t="str">
        <f t="shared" si="64"/>
        <v>Found</v>
      </c>
      <c r="AN326" s="6">
        <v>24</v>
      </c>
      <c r="AO326" s="4" t="str">
        <f t="shared" si="65"/>
        <v>Mid</v>
      </c>
    </row>
    <row r="327" spans="1:41">
      <c r="A327">
        <v>2</v>
      </c>
      <c r="B327" t="str">
        <f t="shared" si="55"/>
        <v>Second Class</v>
      </c>
      <c r="C327">
        <v>0</v>
      </c>
      <c r="E327" t="str">
        <f t="shared" si="56"/>
        <v>Died</v>
      </c>
      <c r="F327" t="s">
        <v>1264</v>
      </c>
      <c r="G327" t="s">
        <v>848</v>
      </c>
      <c r="H327" t="s">
        <v>1000</v>
      </c>
      <c r="I327" t="str">
        <f t="shared" si="57"/>
        <v>Mr. Aldworth Charles</v>
      </c>
      <c r="J327" t="s">
        <v>20</v>
      </c>
      <c r="K327" t="str">
        <f t="shared" si="58"/>
        <v>Male</v>
      </c>
      <c r="L327">
        <v>30</v>
      </c>
      <c r="O327">
        <f t="shared" si="59"/>
        <v>30</v>
      </c>
      <c r="P327">
        <v>0</v>
      </c>
      <c r="R327" s="4">
        <v>0</v>
      </c>
      <c r="T327" s="5">
        <v>13</v>
      </c>
      <c r="W327" s="4">
        <v>30</v>
      </c>
      <c r="X327" s="4" t="str">
        <f t="shared" si="60"/>
        <v>Adult</v>
      </c>
      <c r="Y327" s="4" t="s">
        <v>3561</v>
      </c>
      <c r="AB327" s="4" t="str">
        <f t="shared" si="61"/>
        <v/>
      </c>
      <c r="AC327" s="4" t="str">
        <f t="shared" si="62"/>
        <v>Unknown</v>
      </c>
      <c r="AD327" s="4" t="s">
        <v>457</v>
      </c>
      <c r="AG327" s="4" t="str">
        <f t="shared" si="63"/>
        <v>Not Applicable</v>
      </c>
      <c r="AK327" s="4" t="s">
        <v>3573</v>
      </c>
      <c r="AL327" s="4" t="str">
        <f t="shared" si="64"/>
        <v>Found</v>
      </c>
      <c r="AN327" s="6">
        <v>13</v>
      </c>
      <c r="AO327" s="4" t="str">
        <f t="shared" si="65"/>
        <v>Mid</v>
      </c>
    </row>
    <row r="328" spans="1:41">
      <c r="A328">
        <v>2</v>
      </c>
      <c r="B328" t="str">
        <f t="shared" si="55"/>
        <v>Second Class</v>
      </c>
      <c r="C328">
        <v>0</v>
      </c>
      <c r="E328" t="str">
        <f t="shared" si="56"/>
        <v>Died</v>
      </c>
      <c r="F328" t="s">
        <v>1265</v>
      </c>
      <c r="G328" t="s">
        <v>848</v>
      </c>
      <c r="H328" t="s">
        <v>1266</v>
      </c>
      <c r="I328" t="str">
        <f t="shared" si="57"/>
        <v>Mr. Andrew Edgardo</v>
      </c>
      <c r="J328" t="s">
        <v>20</v>
      </c>
      <c r="K328" t="str">
        <f t="shared" si="58"/>
        <v>Male</v>
      </c>
      <c r="L328">
        <v>18</v>
      </c>
      <c r="O328">
        <f t="shared" si="59"/>
        <v>18</v>
      </c>
      <c r="P328">
        <v>0</v>
      </c>
      <c r="R328" s="4">
        <v>0</v>
      </c>
      <c r="T328" s="5">
        <v>11.5</v>
      </c>
      <c r="W328" s="4">
        <v>18</v>
      </c>
      <c r="X328" s="4" t="str">
        <f t="shared" si="60"/>
        <v>Young Adult</v>
      </c>
      <c r="Y328" s="4" t="s">
        <v>3561</v>
      </c>
      <c r="AB328" s="4" t="str">
        <f t="shared" si="61"/>
        <v/>
      </c>
      <c r="AC328" s="4" t="str">
        <f t="shared" si="62"/>
        <v>Unknown</v>
      </c>
      <c r="AD328" s="4" t="s">
        <v>457</v>
      </c>
      <c r="AG328" s="4" t="str">
        <f t="shared" si="63"/>
        <v>Not Applicable</v>
      </c>
      <c r="AK328" s="4" t="s">
        <v>3573</v>
      </c>
      <c r="AL328" s="4" t="str">
        <f t="shared" si="64"/>
        <v>Found</v>
      </c>
      <c r="AN328" s="6">
        <v>11.5</v>
      </c>
      <c r="AO328" s="4" t="str">
        <f t="shared" si="65"/>
        <v>Mid</v>
      </c>
    </row>
    <row r="329" spans="1:41">
      <c r="A329">
        <v>2</v>
      </c>
      <c r="B329" t="str">
        <f t="shared" si="55"/>
        <v>Second Class</v>
      </c>
      <c r="C329">
        <v>0</v>
      </c>
      <c r="E329" t="str">
        <f t="shared" si="56"/>
        <v>Died</v>
      </c>
      <c r="F329" t="s">
        <v>1265</v>
      </c>
      <c r="G329" t="s">
        <v>848</v>
      </c>
      <c r="H329" t="s">
        <v>1249</v>
      </c>
      <c r="I329" t="str">
        <f t="shared" si="57"/>
        <v>Mr. Andrew Frank</v>
      </c>
      <c r="J329" t="s">
        <v>20</v>
      </c>
      <c r="K329" t="str">
        <f t="shared" si="58"/>
        <v>Male</v>
      </c>
      <c r="L329">
        <v>25</v>
      </c>
      <c r="O329">
        <f t="shared" si="59"/>
        <v>25</v>
      </c>
      <c r="P329">
        <v>0</v>
      </c>
      <c r="R329" s="4">
        <v>0</v>
      </c>
      <c r="T329" s="5">
        <v>10.5</v>
      </c>
      <c r="W329" s="4">
        <v>25</v>
      </c>
      <c r="X329" s="4" t="str">
        <f t="shared" si="60"/>
        <v>Young Adult</v>
      </c>
      <c r="Y329" s="4" t="s">
        <v>3561</v>
      </c>
      <c r="AB329" s="4" t="str">
        <f t="shared" si="61"/>
        <v/>
      </c>
      <c r="AC329" s="4" t="str">
        <f t="shared" si="62"/>
        <v>Unknown</v>
      </c>
      <c r="AD329" s="4" t="s">
        <v>457</v>
      </c>
      <c r="AG329" s="4" t="str">
        <f t="shared" si="63"/>
        <v>Not Applicable</v>
      </c>
      <c r="AK329" s="4" t="s">
        <v>3573</v>
      </c>
      <c r="AL329" s="4" t="str">
        <f t="shared" si="64"/>
        <v>Found</v>
      </c>
      <c r="AN329" s="6">
        <v>10.5</v>
      </c>
      <c r="AO329" s="4" t="str">
        <f t="shared" si="65"/>
        <v>Mid</v>
      </c>
    </row>
    <row r="330" spans="1:41">
      <c r="A330">
        <v>2</v>
      </c>
      <c r="B330" t="str">
        <f t="shared" si="55"/>
        <v>Second Class</v>
      </c>
      <c r="C330">
        <v>0</v>
      </c>
      <c r="E330" t="str">
        <f t="shared" si="56"/>
        <v>Died</v>
      </c>
      <c r="F330" t="s">
        <v>1267</v>
      </c>
      <c r="G330" t="s">
        <v>848</v>
      </c>
      <c r="H330" t="s">
        <v>924</v>
      </c>
      <c r="I330" t="str">
        <f t="shared" si="57"/>
        <v>Mr. Angle William</v>
      </c>
      <c r="J330" t="s">
        <v>20</v>
      </c>
      <c r="K330" t="str">
        <f t="shared" si="58"/>
        <v>Male</v>
      </c>
      <c r="L330">
        <v>34</v>
      </c>
      <c r="O330">
        <f t="shared" si="59"/>
        <v>34</v>
      </c>
      <c r="P330">
        <v>1</v>
      </c>
      <c r="R330" s="4">
        <v>0</v>
      </c>
      <c r="T330" s="5">
        <v>26</v>
      </c>
      <c r="W330" s="4">
        <v>34</v>
      </c>
      <c r="X330" s="4" t="str">
        <f t="shared" si="60"/>
        <v>Adult</v>
      </c>
      <c r="Y330" s="4" t="s">
        <v>3561</v>
      </c>
      <c r="AB330" s="4" t="str">
        <f t="shared" si="61"/>
        <v/>
      </c>
      <c r="AC330" s="4" t="str">
        <f t="shared" si="62"/>
        <v>Unknown</v>
      </c>
      <c r="AD330" s="4" t="s">
        <v>457</v>
      </c>
      <c r="AG330" s="4" t="str">
        <f t="shared" si="63"/>
        <v>Not Applicable</v>
      </c>
      <c r="AK330" s="4" t="s">
        <v>3573</v>
      </c>
      <c r="AL330" s="4" t="str">
        <f t="shared" si="64"/>
        <v>Found</v>
      </c>
      <c r="AN330" s="6">
        <v>26</v>
      </c>
      <c r="AO330" s="4" t="str">
        <f t="shared" si="65"/>
        <v>Mid</v>
      </c>
    </row>
    <row r="331" spans="1:41">
      <c r="A331">
        <v>2</v>
      </c>
      <c r="B331" t="str">
        <f t="shared" si="55"/>
        <v>Second Class</v>
      </c>
      <c r="C331">
        <v>1</v>
      </c>
      <c r="E331" t="str">
        <f t="shared" si="56"/>
        <v>Survived</v>
      </c>
      <c r="F331" t="s">
        <v>1267</v>
      </c>
      <c r="G331" t="s">
        <v>849</v>
      </c>
      <c r="H331" t="s">
        <v>924</v>
      </c>
      <c r="I331" t="str">
        <f t="shared" si="57"/>
        <v>Mrs. Angle William</v>
      </c>
      <c r="J331" t="s">
        <v>47</v>
      </c>
      <c r="K331" t="str">
        <f t="shared" si="58"/>
        <v>Female</v>
      </c>
      <c r="L331">
        <v>36</v>
      </c>
      <c r="O331">
        <f t="shared" si="59"/>
        <v>36</v>
      </c>
      <c r="P331">
        <v>1</v>
      </c>
      <c r="R331" s="4">
        <v>0</v>
      </c>
      <c r="T331" s="5">
        <v>26</v>
      </c>
      <c r="W331" s="4">
        <v>36</v>
      </c>
      <c r="X331" s="4" t="str">
        <f t="shared" si="60"/>
        <v>Adult</v>
      </c>
      <c r="Y331" s="4" t="s">
        <v>3561</v>
      </c>
      <c r="AB331" s="4" t="str">
        <f t="shared" si="61"/>
        <v/>
      </c>
      <c r="AC331" s="4" t="str">
        <f t="shared" si="62"/>
        <v>Unknown</v>
      </c>
      <c r="AD331" s="4" t="s">
        <v>457</v>
      </c>
      <c r="AF331" s="4">
        <v>11</v>
      </c>
      <c r="AG331" s="4">
        <f t="shared" si="63"/>
        <v>11</v>
      </c>
      <c r="AK331" s="4" t="s">
        <v>3573</v>
      </c>
      <c r="AL331" s="4" t="str">
        <f t="shared" si="64"/>
        <v>Found</v>
      </c>
      <c r="AN331" s="6">
        <v>26</v>
      </c>
      <c r="AO331" s="4" t="str">
        <f t="shared" si="65"/>
        <v>Mid</v>
      </c>
    </row>
    <row r="332" spans="1:41">
      <c r="A332">
        <v>2</v>
      </c>
      <c r="B332" t="str">
        <f t="shared" si="55"/>
        <v>Second Class</v>
      </c>
      <c r="C332">
        <v>0</v>
      </c>
      <c r="E332" t="str">
        <f t="shared" si="56"/>
        <v>Died</v>
      </c>
      <c r="F332" t="s">
        <v>1269</v>
      </c>
      <c r="G332" t="s">
        <v>848</v>
      </c>
      <c r="H332" t="s">
        <v>862</v>
      </c>
      <c r="I332" t="str">
        <f t="shared" si="57"/>
        <v>Mr. Ashby John</v>
      </c>
      <c r="J332" t="s">
        <v>20</v>
      </c>
      <c r="K332" t="str">
        <f t="shared" si="58"/>
        <v>Male</v>
      </c>
      <c r="L332">
        <v>57</v>
      </c>
      <c r="O332">
        <f t="shared" si="59"/>
        <v>57</v>
      </c>
      <c r="P332">
        <v>0</v>
      </c>
      <c r="R332" s="4">
        <v>0</v>
      </c>
      <c r="T332" s="5">
        <v>13</v>
      </c>
      <c r="W332" s="4">
        <v>57</v>
      </c>
      <c r="X332" s="4" t="str">
        <f t="shared" si="60"/>
        <v>Adult</v>
      </c>
      <c r="Y332" s="4" t="s">
        <v>3561</v>
      </c>
      <c r="AB332" s="4" t="str">
        <f t="shared" si="61"/>
        <v/>
      </c>
      <c r="AC332" s="4" t="str">
        <f t="shared" si="62"/>
        <v>Unknown</v>
      </c>
      <c r="AD332" s="4" t="s">
        <v>457</v>
      </c>
      <c r="AG332" s="4" t="str">
        <f t="shared" si="63"/>
        <v>Not Applicable</v>
      </c>
      <c r="AK332" s="4" t="s">
        <v>3573</v>
      </c>
      <c r="AL332" s="4" t="str">
        <f t="shared" si="64"/>
        <v>Found</v>
      </c>
      <c r="AN332" s="6">
        <v>13</v>
      </c>
      <c r="AO332" s="4" t="str">
        <f t="shared" si="65"/>
        <v>Mid</v>
      </c>
    </row>
    <row r="333" spans="1:41">
      <c r="A333">
        <v>2</v>
      </c>
      <c r="B333" t="str">
        <f t="shared" si="55"/>
        <v>Second Class</v>
      </c>
      <c r="C333">
        <v>0</v>
      </c>
      <c r="E333" t="str">
        <f t="shared" si="56"/>
        <v>Died</v>
      </c>
      <c r="F333" t="s">
        <v>1270</v>
      </c>
      <c r="G333" t="s">
        <v>848</v>
      </c>
      <c r="H333" t="s">
        <v>1271</v>
      </c>
      <c r="I333" t="str">
        <f t="shared" si="57"/>
        <v>Mr. Bailey Percy</v>
      </c>
      <c r="J333" t="s">
        <v>20</v>
      </c>
      <c r="K333" t="str">
        <f t="shared" si="58"/>
        <v>Male</v>
      </c>
      <c r="L333">
        <v>18</v>
      </c>
      <c r="O333">
        <f t="shared" si="59"/>
        <v>18</v>
      </c>
      <c r="P333">
        <v>0</v>
      </c>
      <c r="R333" s="4">
        <v>0</v>
      </c>
      <c r="T333" s="5">
        <v>11.5</v>
      </c>
      <c r="W333" s="4">
        <v>18</v>
      </c>
      <c r="X333" s="4" t="str">
        <f t="shared" si="60"/>
        <v>Young Adult</v>
      </c>
      <c r="Y333" s="4" t="s">
        <v>3561</v>
      </c>
      <c r="AB333" s="4" t="str">
        <f t="shared" si="61"/>
        <v/>
      </c>
      <c r="AC333" s="4" t="str">
        <f t="shared" si="62"/>
        <v>Unknown</v>
      </c>
      <c r="AD333" s="4" t="s">
        <v>457</v>
      </c>
      <c r="AG333" s="4" t="str">
        <f t="shared" si="63"/>
        <v>Not Applicable</v>
      </c>
      <c r="AK333" s="4" t="s">
        <v>3573</v>
      </c>
      <c r="AL333" s="4" t="str">
        <f t="shared" si="64"/>
        <v>Found</v>
      </c>
      <c r="AN333" s="6">
        <v>11.5</v>
      </c>
      <c r="AO333" s="4" t="str">
        <f t="shared" si="65"/>
        <v>Mid</v>
      </c>
    </row>
    <row r="334" spans="1:41">
      <c r="A334">
        <v>2</v>
      </c>
      <c r="B334" t="str">
        <f t="shared" si="55"/>
        <v>Second Class</v>
      </c>
      <c r="C334">
        <v>0</v>
      </c>
      <c r="E334" t="str">
        <f t="shared" si="56"/>
        <v>Died</v>
      </c>
      <c r="F334" t="s">
        <v>1272</v>
      </c>
      <c r="G334" t="s">
        <v>848</v>
      </c>
      <c r="H334" t="s">
        <v>1000</v>
      </c>
      <c r="I334" t="str">
        <f t="shared" si="57"/>
        <v>Mr. Baimbrigge Charles</v>
      </c>
      <c r="J334" t="s">
        <v>20</v>
      </c>
      <c r="K334" t="str">
        <f t="shared" si="58"/>
        <v>Male</v>
      </c>
      <c r="L334">
        <v>23</v>
      </c>
      <c r="O334">
        <f t="shared" si="59"/>
        <v>23</v>
      </c>
      <c r="P334">
        <v>0</v>
      </c>
      <c r="R334" s="4">
        <v>0</v>
      </c>
      <c r="T334" s="5">
        <v>10.5</v>
      </c>
      <c r="W334" s="4">
        <v>23</v>
      </c>
      <c r="X334" s="4" t="str">
        <f t="shared" si="60"/>
        <v>Young Adult</v>
      </c>
      <c r="Y334" s="4" t="s">
        <v>3561</v>
      </c>
      <c r="AB334" s="4" t="str">
        <f t="shared" si="61"/>
        <v/>
      </c>
      <c r="AC334" s="4" t="str">
        <f t="shared" si="62"/>
        <v>Unknown</v>
      </c>
      <c r="AD334" s="4" t="s">
        <v>457</v>
      </c>
      <c r="AG334" s="4" t="str">
        <f t="shared" si="63"/>
        <v>Not Applicable</v>
      </c>
      <c r="AK334" s="4" t="s">
        <v>3573</v>
      </c>
      <c r="AL334" s="4" t="str">
        <f t="shared" si="64"/>
        <v>Found</v>
      </c>
      <c r="AN334" s="6">
        <v>10.5</v>
      </c>
      <c r="AO334" s="4" t="str">
        <f t="shared" si="65"/>
        <v>Mid</v>
      </c>
    </row>
    <row r="335" spans="1:41">
      <c r="A335">
        <v>2</v>
      </c>
      <c r="B335" t="str">
        <f t="shared" si="55"/>
        <v>Second Class</v>
      </c>
      <c r="C335">
        <v>1</v>
      </c>
      <c r="E335" t="str">
        <f t="shared" si="56"/>
        <v>Survived</v>
      </c>
      <c r="F335" t="s">
        <v>1273</v>
      </c>
      <c r="G335" t="s">
        <v>849</v>
      </c>
      <c r="H335" t="s">
        <v>1274</v>
      </c>
      <c r="I335" t="str">
        <f t="shared" si="57"/>
        <v>Mrs. Ball (Ada</v>
      </c>
      <c r="J335" t="s">
        <v>47</v>
      </c>
      <c r="K335" t="str">
        <f t="shared" si="58"/>
        <v>Female</v>
      </c>
      <c r="L335">
        <v>36</v>
      </c>
      <c r="O335">
        <f t="shared" si="59"/>
        <v>36</v>
      </c>
      <c r="P335">
        <v>0</v>
      </c>
      <c r="R335" s="4">
        <v>0</v>
      </c>
      <c r="T335" s="5">
        <v>13</v>
      </c>
      <c r="W335" s="4">
        <v>36</v>
      </c>
      <c r="X335" s="4" t="str">
        <f t="shared" si="60"/>
        <v>Adult</v>
      </c>
      <c r="Y335" s="4" t="s">
        <v>59</v>
      </c>
      <c r="AA335" s="4" t="s">
        <v>59</v>
      </c>
      <c r="AB335" s="4" t="str">
        <f t="shared" si="61"/>
        <v>D</v>
      </c>
      <c r="AC335" s="4" t="str">
        <f t="shared" si="62"/>
        <v>D</v>
      </c>
      <c r="AD335" s="4" t="s">
        <v>457</v>
      </c>
      <c r="AF335" s="4">
        <v>10</v>
      </c>
      <c r="AG335" s="4">
        <f t="shared" si="63"/>
        <v>10</v>
      </c>
      <c r="AK335" s="4" t="s">
        <v>3573</v>
      </c>
      <c r="AL335" s="4" t="str">
        <f t="shared" si="64"/>
        <v>Found</v>
      </c>
      <c r="AN335" s="6">
        <v>13</v>
      </c>
      <c r="AO335" s="4" t="str">
        <f t="shared" si="65"/>
        <v>Mid</v>
      </c>
    </row>
    <row r="336" spans="1:41">
      <c r="A336">
        <v>2</v>
      </c>
      <c r="B336" t="str">
        <f t="shared" si="55"/>
        <v>Second Class</v>
      </c>
      <c r="C336">
        <v>0</v>
      </c>
      <c r="E336" t="str">
        <f t="shared" si="56"/>
        <v>Died</v>
      </c>
      <c r="F336" t="s">
        <v>1275</v>
      </c>
      <c r="G336" t="s">
        <v>848</v>
      </c>
      <c r="H336" t="s">
        <v>999</v>
      </c>
      <c r="I336" t="str">
        <f t="shared" si="57"/>
        <v>Mr. Banfield Frederick</v>
      </c>
      <c r="J336" t="s">
        <v>20</v>
      </c>
      <c r="K336" t="str">
        <f t="shared" si="58"/>
        <v>Male</v>
      </c>
      <c r="L336">
        <v>28</v>
      </c>
      <c r="O336">
        <f t="shared" si="59"/>
        <v>28</v>
      </c>
      <c r="P336">
        <v>0</v>
      </c>
      <c r="R336" s="4">
        <v>0</v>
      </c>
      <c r="T336" s="5">
        <v>10.5</v>
      </c>
      <c r="W336" s="4">
        <v>28</v>
      </c>
      <c r="X336" s="4" t="str">
        <f t="shared" si="60"/>
        <v>Young Adult</v>
      </c>
      <c r="Y336" s="4" t="s">
        <v>3561</v>
      </c>
      <c r="AB336" s="4" t="str">
        <f t="shared" si="61"/>
        <v/>
      </c>
      <c r="AC336" s="4" t="str">
        <f t="shared" si="62"/>
        <v>Unknown</v>
      </c>
      <c r="AD336" s="4" t="s">
        <v>457</v>
      </c>
      <c r="AG336" s="4" t="str">
        <f t="shared" si="63"/>
        <v>Not Applicable</v>
      </c>
      <c r="AK336" s="4" t="s">
        <v>3573</v>
      </c>
      <c r="AL336" s="4" t="str">
        <f t="shared" si="64"/>
        <v>Found</v>
      </c>
      <c r="AN336" s="6">
        <v>10.5</v>
      </c>
      <c r="AO336" s="4" t="str">
        <f t="shared" si="65"/>
        <v>Mid</v>
      </c>
    </row>
    <row r="337" spans="1:41">
      <c r="A337">
        <v>2</v>
      </c>
      <c r="B337" t="str">
        <f t="shared" si="55"/>
        <v>Second Class</v>
      </c>
      <c r="C337">
        <v>0</v>
      </c>
      <c r="E337" t="str">
        <f t="shared" si="56"/>
        <v>Died</v>
      </c>
      <c r="F337" t="s">
        <v>1276</v>
      </c>
      <c r="G337" t="s">
        <v>1277</v>
      </c>
      <c r="H337" t="s">
        <v>925</v>
      </c>
      <c r="I337" t="str">
        <f t="shared" si="57"/>
        <v>Rev. Bateman Robert</v>
      </c>
      <c r="J337" t="s">
        <v>20</v>
      </c>
      <c r="K337" t="str">
        <f t="shared" si="58"/>
        <v>Male</v>
      </c>
      <c r="L337">
        <v>51</v>
      </c>
      <c r="O337">
        <f t="shared" si="59"/>
        <v>51</v>
      </c>
      <c r="P337">
        <v>0</v>
      </c>
      <c r="R337" s="4">
        <v>0</v>
      </c>
      <c r="T337" s="5">
        <v>12.525</v>
      </c>
      <c r="W337" s="4">
        <v>51</v>
      </c>
      <c r="X337" s="4" t="str">
        <f t="shared" si="60"/>
        <v>Adult</v>
      </c>
      <c r="Y337" s="4" t="s">
        <v>3561</v>
      </c>
      <c r="AB337" s="4" t="str">
        <f t="shared" si="61"/>
        <v/>
      </c>
      <c r="AC337" s="4" t="str">
        <f t="shared" si="62"/>
        <v>Unknown</v>
      </c>
      <c r="AD337" s="4" t="s">
        <v>457</v>
      </c>
      <c r="AG337" s="4" t="str">
        <f t="shared" si="63"/>
        <v>Not Applicable</v>
      </c>
      <c r="AH337" s="4">
        <v>174</v>
      </c>
      <c r="AK337" s="4">
        <v>174</v>
      </c>
      <c r="AL337" s="4" t="str">
        <f t="shared" si="64"/>
        <v>Found</v>
      </c>
      <c r="AN337" s="6">
        <v>12.525</v>
      </c>
      <c r="AO337" s="4" t="str">
        <f t="shared" si="65"/>
        <v>Mid</v>
      </c>
    </row>
    <row r="338" spans="1:41">
      <c r="A338">
        <v>2</v>
      </c>
      <c r="B338" t="str">
        <f t="shared" si="55"/>
        <v>Second Class</v>
      </c>
      <c r="C338">
        <v>1</v>
      </c>
      <c r="E338" t="str">
        <f t="shared" si="56"/>
        <v>Survived</v>
      </c>
      <c r="F338" t="s">
        <v>1278</v>
      </c>
      <c r="G338" t="s">
        <v>848</v>
      </c>
      <c r="H338" t="s">
        <v>857</v>
      </c>
      <c r="I338" t="str">
        <f t="shared" si="57"/>
        <v>Mr. Beane Edward</v>
      </c>
      <c r="J338" t="s">
        <v>20</v>
      </c>
      <c r="K338" t="str">
        <f t="shared" si="58"/>
        <v>Male</v>
      </c>
      <c r="L338">
        <v>32</v>
      </c>
      <c r="O338">
        <f t="shared" si="59"/>
        <v>32</v>
      </c>
      <c r="P338">
        <v>1</v>
      </c>
      <c r="R338" s="4">
        <v>0</v>
      </c>
      <c r="T338" s="5">
        <v>26</v>
      </c>
      <c r="W338" s="4">
        <v>32</v>
      </c>
      <c r="X338" s="4" t="str">
        <f t="shared" si="60"/>
        <v>Adult</v>
      </c>
      <c r="Y338" s="4" t="s">
        <v>3561</v>
      </c>
      <c r="AB338" s="4" t="str">
        <f t="shared" si="61"/>
        <v/>
      </c>
      <c r="AC338" s="4" t="str">
        <f t="shared" si="62"/>
        <v>Unknown</v>
      </c>
      <c r="AD338" s="4" t="s">
        <v>457</v>
      </c>
      <c r="AF338" s="4">
        <v>13</v>
      </c>
      <c r="AG338" s="4">
        <f t="shared" si="63"/>
        <v>13</v>
      </c>
      <c r="AK338" s="4" t="s">
        <v>3573</v>
      </c>
      <c r="AL338" s="4" t="str">
        <f t="shared" si="64"/>
        <v>Found</v>
      </c>
      <c r="AN338" s="6">
        <v>26</v>
      </c>
      <c r="AO338" s="4" t="str">
        <f t="shared" si="65"/>
        <v>Mid</v>
      </c>
    </row>
    <row r="339" spans="1:41">
      <c r="A339">
        <v>2</v>
      </c>
      <c r="B339" t="str">
        <f t="shared" si="55"/>
        <v>Second Class</v>
      </c>
      <c r="C339">
        <v>1</v>
      </c>
      <c r="E339" t="str">
        <f t="shared" si="56"/>
        <v>Survived</v>
      </c>
      <c r="F339" t="s">
        <v>1278</v>
      </c>
      <c r="G339" t="s">
        <v>849</v>
      </c>
      <c r="H339" t="s">
        <v>857</v>
      </c>
      <c r="I339" t="str">
        <f t="shared" si="57"/>
        <v>Mrs. Beane Edward</v>
      </c>
      <c r="J339" t="s">
        <v>47</v>
      </c>
      <c r="K339" t="str">
        <f t="shared" si="58"/>
        <v>Female</v>
      </c>
      <c r="L339">
        <v>19</v>
      </c>
      <c r="O339">
        <f t="shared" si="59"/>
        <v>19</v>
      </c>
      <c r="P339">
        <v>1</v>
      </c>
      <c r="R339" s="4">
        <v>0</v>
      </c>
      <c r="T339" s="5">
        <v>26</v>
      </c>
      <c r="W339" s="4">
        <v>19</v>
      </c>
      <c r="X339" s="4" t="str">
        <f t="shared" si="60"/>
        <v>Young Adult</v>
      </c>
      <c r="Y339" s="4" t="s">
        <v>3561</v>
      </c>
      <c r="AB339" s="4" t="str">
        <f t="shared" si="61"/>
        <v/>
      </c>
      <c r="AC339" s="4" t="str">
        <f t="shared" si="62"/>
        <v>Unknown</v>
      </c>
      <c r="AD339" s="4" t="s">
        <v>457</v>
      </c>
      <c r="AF339" s="4">
        <v>13</v>
      </c>
      <c r="AG339" s="4">
        <f t="shared" si="63"/>
        <v>13</v>
      </c>
      <c r="AK339" s="4" t="s">
        <v>3573</v>
      </c>
      <c r="AL339" s="4" t="str">
        <f t="shared" si="64"/>
        <v>Found</v>
      </c>
      <c r="AN339" s="6">
        <v>26</v>
      </c>
      <c r="AO339" s="4" t="str">
        <f t="shared" si="65"/>
        <v>Mid</v>
      </c>
    </row>
    <row r="340" spans="1:41">
      <c r="A340">
        <v>2</v>
      </c>
      <c r="B340" t="str">
        <f t="shared" si="55"/>
        <v>Second Class</v>
      </c>
      <c r="C340">
        <v>0</v>
      </c>
      <c r="E340" t="str">
        <f t="shared" si="56"/>
        <v>Died</v>
      </c>
      <c r="F340" t="s">
        <v>1279</v>
      </c>
      <c r="G340" t="s">
        <v>848</v>
      </c>
      <c r="H340" t="s">
        <v>872</v>
      </c>
      <c r="I340" t="str">
        <f t="shared" si="57"/>
        <v>Mr. Beauchamp Henry</v>
      </c>
      <c r="J340" t="s">
        <v>20</v>
      </c>
      <c r="K340" t="str">
        <f t="shared" si="58"/>
        <v>Male</v>
      </c>
      <c r="L340">
        <v>28</v>
      </c>
      <c r="O340">
        <f t="shared" si="59"/>
        <v>28</v>
      </c>
      <c r="P340">
        <v>0</v>
      </c>
      <c r="R340" s="4">
        <v>0</v>
      </c>
      <c r="T340" s="5">
        <v>26</v>
      </c>
      <c r="W340" s="4">
        <v>28</v>
      </c>
      <c r="X340" s="4" t="str">
        <f t="shared" si="60"/>
        <v>Young Adult</v>
      </c>
      <c r="Y340" s="4" t="s">
        <v>3561</v>
      </c>
      <c r="AB340" s="4" t="str">
        <f t="shared" si="61"/>
        <v/>
      </c>
      <c r="AC340" s="4" t="str">
        <f t="shared" si="62"/>
        <v>Unknown</v>
      </c>
      <c r="AD340" s="4" t="s">
        <v>457</v>
      </c>
      <c r="AG340" s="4" t="str">
        <f t="shared" si="63"/>
        <v>Not Applicable</v>
      </c>
      <c r="AK340" s="4" t="s">
        <v>3573</v>
      </c>
      <c r="AL340" s="4" t="str">
        <f t="shared" si="64"/>
        <v>Found</v>
      </c>
      <c r="AN340" s="6">
        <v>26</v>
      </c>
      <c r="AO340" s="4" t="str">
        <f t="shared" si="65"/>
        <v>Mid</v>
      </c>
    </row>
    <row r="341" spans="1:41">
      <c r="A341">
        <v>2</v>
      </c>
      <c r="B341" t="str">
        <f t="shared" si="55"/>
        <v>Second Class</v>
      </c>
      <c r="C341">
        <v>1</v>
      </c>
      <c r="E341" t="str">
        <f t="shared" si="56"/>
        <v>Survived</v>
      </c>
      <c r="F341" t="s">
        <v>1280</v>
      </c>
      <c r="G341" t="s">
        <v>845</v>
      </c>
      <c r="H341" t="s">
        <v>884</v>
      </c>
      <c r="I341" t="str">
        <f t="shared" si="57"/>
        <v>Master. Becker Richard</v>
      </c>
      <c r="J341" t="s">
        <v>20</v>
      </c>
      <c r="K341" t="str">
        <f t="shared" si="58"/>
        <v>Male</v>
      </c>
      <c r="L341">
        <v>1</v>
      </c>
      <c r="O341">
        <f t="shared" si="59"/>
        <v>1</v>
      </c>
      <c r="P341">
        <v>2</v>
      </c>
      <c r="R341" s="4">
        <v>1</v>
      </c>
      <c r="T341" s="5">
        <v>39</v>
      </c>
      <c r="W341" s="4">
        <v>1</v>
      </c>
      <c r="X341" s="4" t="str">
        <f t="shared" si="60"/>
        <v>Child</v>
      </c>
      <c r="Y341" s="4" t="s">
        <v>415</v>
      </c>
      <c r="AA341" s="4" t="s">
        <v>415</v>
      </c>
      <c r="AB341" s="4" t="str">
        <f t="shared" si="61"/>
        <v>F</v>
      </c>
      <c r="AC341" s="4" t="str">
        <f t="shared" si="62"/>
        <v>F</v>
      </c>
      <c r="AD341" s="4" t="s">
        <v>457</v>
      </c>
      <c r="AF341" s="4">
        <v>11</v>
      </c>
      <c r="AG341" s="4">
        <f t="shared" si="63"/>
        <v>11</v>
      </c>
      <c r="AK341" s="4" t="s">
        <v>3573</v>
      </c>
      <c r="AL341" s="4" t="str">
        <f t="shared" si="64"/>
        <v>Found</v>
      </c>
      <c r="AN341" s="6">
        <v>39</v>
      </c>
      <c r="AO341" s="4" t="str">
        <f t="shared" si="65"/>
        <v>Mid</v>
      </c>
    </row>
    <row r="342" spans="1:41">
      <c r="A342">
        <v>2</v>
      </c>
      <c r="B342" t="str">
        <f t="shared" si="55"/>
        <v>Second Class</v>
      </c>
      <c r="C342">
        <v>1</v>
      </c>
      <c r="E342" t="str">
        <f t="shared" si="56"/>
        <v>Survived</v>
      </c>
      <c r="F342" t="s">
        <v>1280</v>
      </c>
      <c r="G342" t="s">
        <v>842</v>
      </c>
      <c r="H342" t="s">
        <v>1281</v>
      </c>
      <c r="I342" t="str">
        <f t="shared" si="57"/>
        <v>Miss. Becker Marion</v>
      </c>
      <c r="J342" t="s">
        <v>47</v>
      </c>
      <c r="K342" t="str">
        <f t="shared" si="58"/>
        <v>Female</v>
      </c>
      <c r="L342">
        <v>4</v>
      </c>
      <c r="O342">
        <f t="shared" si="59"/>
        <v>4</v>
      </c>
      <c r="P342">
        <v>2</v>
      </c>
      <c r="R342" s="4">
        <v>1</v>
      </c>
      <c r="T342" s="5">
        <v>39</v>
      </c>
      <c r="W342" s="4">
        <v>4</v>
      </c>
      <c r="X342" s="4" t="str">
        <f t="shared" si="60"/>
        <v>Child</v>
      </c>
      <c r="Y342" s="4" t="s">
        <v>415</v>
      </c>
      <c r="AA342" s="4" t="s">
        <v>415</v>
      </c>
      <c r="AB342" s="4" t="str">
        <f t="shared" si="61"/>
        <v>F</v>
      </c>
      <c r="AC342" s="4" t="str">
        <f t="shared" si="62"/>
        <v>F</v>
      </c>
      <c r="AD342" s="4" t="s">
        <v>457</v>
      </c>
      <c r="AF342" s="4">
        <v>11</v>
      </c>
      <c r="AG342" s="4">
        <f t="shared" si="63"/>
        <v>11</v>
      </c>
      <c r="AK342" s="4" t="s">
        <v>3573</v>
      </c>
      <c r="AL342" s="4" t="str">
        <f t="shared" si="64"/>
        <v>Found</v>
      </c>
      <c r="AN342" s="6">
        <v>39</v>
      </c>
      <c r="AO342" s="4" t="str">
        <f t="shared" si="65"/>
        <v>Mid</v>
      </c>
    </row>
    <row r="343" spans="1:41">
      <c r="A343">
        <v>2</v>
      </c>
      <c r="B343" t="str">
        <f t="shared" si="55"/>
        <v>Second Class</v>
      </c>
      <c r="C343">
        <v>1</v>
      </c>
      <c r="E343" t="str">
        <f t="shared" si="56"/>
        <v>Survived</v>
      </c>
      <c r="F343" t="s">
        <v>1280</v>
      </c>
      <c r="G343" t="s">
        <v>842</v>
      </c>
      <c r="H343" t="s">
        <v>1233</v>
      </c>
      <c r="I343" t="str">
        <f t="shared" si="57"/>
        <v>Miss. Becker Ruth</v>
      </c>
      <c r="J343" t="s">
        <v>47</v>
      </c>
      <c r="K343" t="str">
        <f t="shared" si="58"/>
        <v>Female</v>
      </c>
      <c r="L343">
        <v>12</v>
      </c>
      <c r="O343">
        <f t="shared" si="59"/>
        <v>12</v>
      </c>
      <c r="P343">
        <v>2</v>
      </c>
      <c r="R343" s="4">
        <v>1</v>
      </c>
      <c r="T343" s="5">
        <v>39</v>
      </c>
      <c r="W343" s="4">
        <v>12</v>
      </c>
      <c r="X343" s="4" t="str">
        <f t="shared" si="60"/>
        <v>Teenager</v>
      </c>
      <c r="Y343" s="4" t="s">
        <v>415</v>
      </c>
      <c r="AA343" s="4" t="s">
        <v>415</v>
      </c>
      <c r="AB343" s="4" t="str">
        <f t="shared" si="61"/>
        <v>F</v>
      </c>
      <c r="AC343" s="4" t="str">
        <f t="shared" si="62"/>
        <v>F</v>
      </c>
      <c r="AD343" s="4" t="s">
        <v>457</v>
      </c>
      <c r="AF343" s="4">
        <v>13</v>
      </c>
      <c r="AG343" s="4">
        <f t="shared" si="63"/>
        <v>13</v>
      </c>
      <c r="AK343" s="4" t="s">
        <v>3573</v>
      </c>
      <c r="AL343" s="4" t="str">
        <f t="shared" si="64"/>
        <v>Found</v>
      </c>
      <c r="AN343" s="6">
        <v>39</v>
      </c>
      <c r="AO343" s="4" t="str">
        <f t="shared" si="65"/>
        <v>Mid</v>
      </c>
    </row>
    <row r="344" spans="1:41">
      <c r="A344">
        <v>2</v>
      </c>
      <c r="B344" t="str">
        <f t="shared" si="55"/>
        <v>Second Class</v>
      </c>
      <c r="C344">
        <v>1</v>
      </c>
      <c r="E344" t="str">
        <f t="shared" si="56"/>
        <v>Survived</v>
      </c>
      <c r="F344" t="s">
        <v>1280</v>
      </c>
      <c r="G344" t="s">
        <v>849</v>
      </c>
      <c r="H344" t="s">
        <v>841</v>
      </c>
      <c r="I344" t="str">
        <f t="shared" si="57"/>
        <v>Mrs. Becker Allen</v>
      </c>
      <c r="J344" t="s">
        <v>47</v>
      </c>
      <c r="K344" t="str">
        <f t="shared" si="58"/>
        <v>Female</v>
      </c>
      <c r="L344">
        <v>36</v>
      </c>
      <c r="O344">
        <f t="shared" si="59"/>
        <v>36</v>
      </c>
      <c r="P344">
        <v>0</v>
      </c>
      <c r="R344" s="4">
        <v>3</v>
      </c>
      <c r="T344" s="5">
        <v>39</v>
      </c>
      <c r="W344" s="4">
        <v>36</v>
      </c>
      <c r="X344" s="4" t="str">
        <f t="shared" si="60"/>
        <v>Adult</v>
      </c>
      <c r="Y344" s="4" t="s">
        <v>415</v>
      </c>
      <c r="AA344" s="4" t="s">
        <v>415</v>
      </c>
      <c r="AB344" s="4" t="str">
        <f t="shared" si="61"/>
        <v>F</v>
      </c>
      <c r="AC344" s="4" t="str">
        <f t="shared" si="62"/>
        <v>F</v>
      </c>
      <c r="AD344" s="4" t="s">
        <v>457</v>
      </c>
      <c r="AF344" s="4">
        <v>11</v>
      </c>
      <c r="AG344" s="4">
        <f t="shared" si="63"/>
        <v>11</v>
      </c>
      <c r="AK344" s="4" t="s">
        <v>3573</v>
      </c>
      <c r="AL344" s="4" t="str">
        <f t="shared" si="64"/>
        <v>Found</v>
      </c>
      <c r="AN344" s="6">
        <v>39</v>
      </c>
      <c r="AO344" s="4" t="str">
        <f t="shared" si="65"/>
        <v>Mid</v>
      </c>
    </row>
    <row r="345" spans="1:41">
      <c r="A345">
        <v>2</v>
      </c>
      <c r="B345" t="str">
        <f t="shared" si="55"/>
        <v>Second Class</v>
      </c>
      <c r="C345">
        <v>1</v>
      </c>
      <c r="E345" t="str">
        <f t="shared" si="56"/>
        <v>Survived</v>
      </c>
      <c r="F345" t="s">
        <v>1282</v>
      </c>
      <c r="G345" t="s">
        <v>848</v>
      </c>
      <c r="H345" t="s">
        <v>1283</v>
      </c>
      <c r="I345" t="str">
        <f t="shared" si="57"/>
        <v>Mr. Beesley Lawrence</v>
      </c>
      <c r="J345" t="s">
        <v>20</v>
      </c>
      <c r="K345" t="str">
        <f t="shared" si="58"/>
        <v>Male</v>
      </c>
      <c r="L345">
        <v>34</v>
      </c>
      <c r="O345">
        <f t="shared" si="59"/>
        <v>34</v>
      </c>
      <c r="P345">
        <v>0</v>
      </c>
      <c r="R345" s="4">
        <v>0</v>
      </c>
      <c r="T345" s="5">
        <v>13</v>
      </c>
      <c r="W345" s="4">
        <v>34</v>
      </c>
      <c r="X345" s="4" t="str">
        <f t="shared" si="60"/>
        <v>Adult</v>
      </c>
      <c r="Y345" s="4" t="s">
        <v>417</v>
      </c>
      <c r="AA345" s="4" t="s">
        <v>417</v>
      </c>
      <c r="AB345" s="4" t="str">
        <f t="shared" si="61"/>
        <v>D</v>
      </c>
      <c r="AC345" s="4" t="str">
        <f t="shared" si="62"/>
        <v>D</v>
      </c>
      <c r="AD345" s="4" t="s">
        <v>457</v>
      </c>
      <c r="AF345" s="4">
        <v>13</v>
      </c>
      <c r="AG345" s="4">
        <f t="shared" si="63"/>
        <v>13</v>
      </c>
      <c r="AK345" s="4" t="s">
        <v>3573</v>
      </c>
      <c r="AL345" s="4" t="str">
        <f t="shared" si="64"/>
        <v>Found</v>
      </c>
      <c r="AN345" s="6">
        <v>13</v>
      </c>
      <c r="AO345" s="4" t="str">
        <f t="shared" si="65"/>
        <v>Mid</v>
      </c>
    </row>
    <row r="346" spans="1:41">
      <c r="A346">
        <v>2</v>
      </c>
      <c r="B346" t="str">
        <f t="shared" si="55"/>
        <v>Second Class</v>
      </c>
      <c r="C346">
        <v>1</v>
      </c>
      <c r="E346" t="str">
        <f t="shared" si="56"/>
        <v>Survived</v>
      </c>
      <c r="F346" t="s">
        <v>1284</v>
      </c>
      <c r="G346" t="s">
        <v>842</v>
      </c>
      <c r="H346" t="s">
        <v>1285</v>
      </c>
      <c r="I346" t="str">
        <f t="shared" si="57"/>
        <v>Miss. Bentham Lilian</v>
      </c>
      <c r="J346" t="s">
        <v>47</v>
      </c>
      <c r="K346" t="str">
        <f t="shared" si="58"/>
        <v>Female</v>
      </c>
      <c r="L346">
        <v>19</v>
      </c>
      <c r="O346">
        <f t="shared" si="59"/>
        <v>19</v>
      </c>
      <c r="P346">
        <v>0</v>
      </c>
      <c r="R346" s="4">
        <v>0</v>
      </c>
      <c r="T346" s="5">
        <v>13</v>
      </c>
      <c r="W346" s="4">
        <v>19</v>
      </c>
      <c r="X346" s="4" t="str">
        <f t="shared" si="60"/>
        <v>Young Adult</v>
      </c>
      <c r="Y346" s="4" t="s">
        <v>3561</v>
      </c>
      <c r="AB346" s="4" t="str">
        <f t="shared" si="61"/>
        <v/>
      </c>
      <c r="AC346" s="4" t="str">
        <f t="shared" si="62"/>
        <v>Unknown</v>
      </c>
      <c r="AD346" s="4" t="s">
        <v>457</v>
      </c>
      <c r="AF346" s="4">
        <v>12</v>
      </c>
      <c r="AG346" s="4">
        <f t="shared" si="63"/>
        <v>12</v>
      </c>
      <c r="AK346" s="4" t="s">
        <v>3573</v>
      </c>
      <c r="AL346" s="4" t="str">
        <f t="shared" si="64"/>
        <v>Found</v>
      </c>
      <c r="AN346" s="6">
        <v>13</v>
      </c>
      <c r="AO346" s="4" t="str">
        <f t="shared" si="65"/>
        <v>Mid</v>
      </c>
    </row>
    <row r="347" spans="1:41">
      <c r="A347">
        <v>2</v>
      </c>
      <c r="B347" t="str">
        <f t="shared" si="55"/>
        <v>Second Class</v>
      </c>
      <c r="C347">
        <v>0</v>
      </c>
      <c r="E347" t="str">
        <f t="shared" si="56"/>
        <v>Died</v>
      </c>
      <c r="F347" t="s">
        <v>1286</v>
      </c>
      <c r="G347" t="s">
        <v>848</v>
      </c>
      <c r="H347" t="s">
        <v>924</v>
      </c>
      <c r="I347" t="str">
        <f t="shared" si="57"/>
        <v>Mr. Berriman William</v>
      </c>
      <c r="J347" t="s">
        <v>20</v>
      </c>
      <c r="K347" t="str">
        <f t="shared" si="58"/>
        <v>Male</v>
      </c>
      <c r="L347">
        <v>23</v>
      </c>
      <c r="O347">
        <f t="shared" si="59"/>
        <v>23</v>
      </c>
      <c r="P347">
        <v>0</v>
      </c>
      <c r="R347" s="4">
        <v>0</v>
      </c>
      <c r="T347" s="5">
        <v>13</v>
      </c>
      <c r="W347" s="4">
        <v>23</v>
      </c>
      <c r="X347" s="4" t="str">
        <f t="shared" si="60"/>
        <v>Young Adult</v>
      </c>
      <c r="Y347" s="4" t="s">
        <v>3561</v>
      </c>
      <c r="AB347" s="4" t="str">
        <f t="shared" si="61"/>
        <v/>
      </c>
      <c r="AC347" s="4" t="str">
        <f t="shared" si="62"/>
        <v>Unknown</v>
      </c>
      <c r="AD347" s="4" t="s">
        <v>457</v>
      </c>
      <c r="AG347" s="4" t="str">
        <f t="shared" si="63"/>
        <v>Not Applicable</v>
      </c>
      <c r="AK347" s="4" t="s">
        <v>3573</v>
      </c>
      <c r="AL347" s="4" t="str">
        <f t="shared" si="64"/>
        <v>Found</v>
      </c>
      <c r="AN347" s="6">
        <v>13</v>
      </c>
      <c r="AO347" s="4" t="str">
        <f t="shared" si="65"/>
        <v>Mid</v>
      </c>
    </row>
    <row r="348" spans="1:41">
      <c r="A348">
        <v>2</v>
      </c>
      <c r="B348" t="str">
        <f t="shared" si="55"/>
        <v>Second Class</v>
      </c>
      <c r="C348">
        <v>0</v>
      </c>
      <c r="E348" t="str">
        <f t="shared" si="56"/>
        <v>Died</v>
      </c>
      <c r="F348" t="s">
        <v>1287</v>
      </c>
      <c r="G348" t="s">
        <v>848</v>
      </c>
      <c r="H348" t="s">
        <v>924</v>
      </c>
      <c r="I348" t="str">
        <f t="shared" si="57"/>
        <v>Mr. Botsford William</v>
      </c>
      <c r="J348" t="s">
        <v>20</v>
      </c>
      <c r="K348" t="str">
        <f t="shared" si="58"/>
        <v>Male</v>
      </c>
      <c r="L348">
        <v>26</v>
      </c>
      <c r="O348">
        <f t="shared" si="59"/>
        <v>26</v>
      </c>
      <c r="P348">
        <v>0</v>
      </c>
      <c r="R348" s="4">
        <v>0</v>
      </c>
      <c r="T348" s="5">
        <v>13</v>
      </c>
      <c r="W348" s="4">
        <v>26</v>
      </c>
      <c r="X348" s="4" t="str">
        <f t="shared" si="60"/>
        <v>Young Adult</v>
      </c>
      <c r="Y348" s="4" t="s">
        <v>3561</v>
      </c>
      <c r="AB348" s="4" t="str">
        <f t="shared" si="61"/>
        <v/>
      </c>
      <c r="AC348" s="4" t="str">
        <f t="shared" si="62"/>
        <v>Unknown</v>
      </c>
      <c r="AD348" s="4" t="s">
        <v>457</v>
      </c>
      <c r="AG348" s="4" t="str">
        <f t="shared" si="63"/>
        <v>Not Applicable</v>
      </c>
      <c r="AK348" s="4" t="s">
        <v>3573</v>
      </c>
      <c r="AL348" s="4" t="str">
        <f t="shared" si="64"/>
        <v>Found</v>
      </c>
      <c r="AN348" s="6">
        <v>13</v>
      </c>
      <c r="AO348" s="4" t="str">
        <f t="shared" si="65"/>
        <v>Mid</v>
      </c>
    </row>
    <row r="349" spans="1:41">
      <c r="A349">
        <v>2</v>
      </c>
      <c r="B349" t="str">
        <f t="shared" si="55"/>
        <v>Second Class</v>
      </c>
      <c r="C349">
        <v>0</v>
      </c>
      <c r="E349" t="str">
        <f t="shared" si="56"/>
        <v>Died</v>
      </c>
      <c r="F349" t="s">
        <v>1288</v>
      </c>
      <c r="G349" t="s">
        <v>848</v>
      </c>
      <c r="H349" t="s">
        <v>1289</v>
      </c>
      <c r="I349" t="str">
        <f t="shared" si="57"/>
        <v>Mr. Bowenur Solomon</v>
      </c>
      <c r="J349" t="s">
        <v>20</v>
      </c>
      <c r="K349" t="str">
        <f t="shared" si="58"/>
        <v>Male</v>
      </c>
      <c r="L349">
        <v>42</v>
      </c>
      <c r="O349">
        <f t="shared" si="59"/>
        <v>42</v>
      </c>
      <c r="P349">
        <v>0</v>
      </c>
      <c r="R349" s="4">
        <v>0</v>
      </c>
      <c r="T349" s="5">
        <v>13</v>
      </c>
      <c r="W349" s="4">
        <v>42</v>
      </c>
      <c r="X349" s="4" t="str">
        <f t="shared" si="60"/>
        <v>Adult</v>
      </c>
      <c r="Y349" s="4" t="s">
        <v>3561</v>
      </c>
      <c r="AB349" s="4" t="str">
        <f t="shared" si="61"/>
        <v/>
      </c>
      <c r="AC349" s="4" t="str">
        <f t="shared" si="62"/>
        <v>Unknown</v>
      </c>
      <c r="AD349" s="4" t="s">
        <v>457</v>
      </c>
      <c r="AG349" s="4" t="str">
        <f t="shared" si="63"/>
        <v>Not Applicable</v>
      </c>
      <c r="AK349" s="4" t="s">
        <v>3573</v>
      </c>
      <c r="AL349" s="4" t="str">
        <f t="shared" si="64"/>
        <v>Found</v>
      </c>
      <c r="AN349" s="6">
        <v>13</v>
      </c>
      <c r="AO349" s="4" t="str">
        <f t="shared" si="65"/>
        <v>Mid</v>
      </c>
    </row>
    <row r="350" spans="1:41">
      <c r="A350">
        <v>2</v>
      </c>
      <c r="B350" t="str">
        <f t="shared" si="55"/>
        <v>Second Class</v>
      </c>
      <c r="C350">
        <v>0</v>
      </c>
      <c r="E350" t="str">
        <f t="shared" si="56"/>
        <v>Died</v>
      </c>
      <c r="F350" t="s">
        <v>1290</v>
      </c>
      <c r="G350" t="s">
        <v>848</v>
      </c>
      <c r="H350" t="s">
        <v>878</v>
      </c>
      <c r="I350" t="str">
        <f t="shared" si="57"/>
        <v>Mr. Bracken James</v>
      </c>
      <c r="J350" t="s">
        <v>20</v>
      </c>
      <c r="K350" t="str">
        <f t="shared" si="58"/>
        <v>Male</v>
      </c>
      <c r="L350">
        <v>27</v>
      </c>
      <c r="O350">
        <f t="shared" si="59"/>
        <v>27</v>
      </c>
      <c r="P350">
        <v>0</v>
      </c>
      <c r="R350" s="4">
        <v>0</v>
      </c>
      <c r="T350" s="5">
        <v>13</v>
      </c>
      <c r="W350" s="4">
        <v>27</v>
      </c>
      <c r="X350" s="4" t="str">
        <f t="shared" si="60"/>
        <v>Young Adult</v>
      </c>
      <c r="Y350" s="4" t="s">
        <v>3561</v>
      </c>
      <c r="AB350" s="4" t="str">
        <f t="shared" si="61"/>
        <v/>
      </c>
      <c r="AC350" s="4" t="str">
        <f t="shared" si="62"/>
        <v>Unknown</v>
      </c>
      <c r="AD350" s="4" t="s">
        <v>457</v>
      </c>
      <c r="AG350" s="4" t="str">
        <f t="shared" si="63"/>
        <v>Not Applicable</v>
      </c>
      <c r="AK350" s="4" t="s">
        <v>3573</v>
      </c>
      <c r="AL350" s="4" t="str">
        <f t="shared" si="64"/>
        <v>Found</v>
      </c>
      <c r="AN350" s="6">
        <v>13</v>
      </c>
      <c r="AO350" s="4" t="str">
        <f t="shared" si="65"/>
        <v>Mid</v>
      </c>
    </row>
    <row r="351" spans="1:41">
      <c r="A351">
        <v>2</v>
      </c>
      <c r="B351" t="str">
        <f t="shared" si="55"/>
        <v>Second Class</v>
      </c>
      <c r="C351">
        <v>1</v>
      </c>
      <c r="E351" t="str">
        <f t="shared" si="56"/>
        <v>Survived</v>
      </c>
      <c r="F351" t="s">
        <v>920</v>
      </c>
      <c r="G351" t="s">
        <v>842</v>
      </c>
      <c r="H351" t="s">
        <v>896</v>
      </c>
      <c r="I351" t="str">
        <f t="shared" si="57"/>
        <v>Miss. Brown Amelia</v>
      </c>
      <c r="J351" t="s">
        <v>47</v>
      </c>
      <c r="K351" t="str">
        <f t="shared" si="58"/>
        <v>Female</v>
      </c>
      <c r="L351">
        <v>24</v>
      </c>
      <c r="O351">
        <f t="shared" si="59"/>
        <v>24</v>
      </c>
      <c r="P351">
        <v>0</v>
      </c>
      <c r="R351" s="4">
        <v>0</v>
      </c>
      <c r="T351" s="5">
        <v>13</v>
      </c>
      <c r="W351" s="4">
        <v>24</v>
      </c>
      <c r="X351" s="4" t="str">
        <f t="shared" si="60"/>
        <v>Young Adult</v>
      </c>
      <c r="Y351" s="4" t="s">
        <v>422</v>
      </c>
      <c r="AA351" s="4" t="s">
        <v>422</v>
      </c>
      <c r="AB351" s="4" t="str">
        <f t="shared" si="61"/>
        <v>F</v>
      </c>
      <c r="AC351" s="4" t="str">
        <f t="shared" si="62"/>
        <v>F</v>
      </c>
      <c r="AD351" s="4" t="s">
        <v>457</v>
      </c>
      <c r="AF351" s="4">
        <v>11</v>
      </c>
      <c r="AG351" s="4">
        <f t="shared" si="63"/>
        <v>11</v>
      </c>
      <c r="AK351" s="4" t="s">
        <v>3573</v>
      </c>
      <c r="AL351" s="4" t="str">
        <f t="shared" si="64"/>
        <v>Found</v>
      </c>
      <c r="AN351" s="6">
        <v>13</v>
      </c>
      <c r="AO351" s="4" t="str">
        <f t="shared" si="65"/>
        <v>Mid</v>
      </c>
    </row>
    <row r="352" spans="1:41">
      <c r="A352">
        <v>2</v>
      </c>
      <c r="B352" t="str">
        <f t="shared" si="55"/>
        <v>Second Class</v>
      </c>
      <c r="C352">
        <v>1</v>
      </c>
      <c r="E352" t="str">
        <f t="shared" si="56"/>
        <v>Survived</v>
      </c>
      <c r="F352" t="s">
        <v>920</v>
      </c>
      <c r="G352" t="s">
        <v>842</v>
      </c>
      <c r="H352" t="s">
        <v>910</v>
      </c>
      <c r="I352" t="str">
        <f t="shared" si="57"/>
        <v>Miss. Brown Edith</v>
      </c>
      <c r="J352" t="s">
        <v>47</v>
      </c>
      <c r="K352" t="str">
        <f t="shared" si="58"/>
        <v>Female</v>
      </c>
      <c r="L352">
        <v>15</v>
      </c>
      <c r="O352">
        <f t="shared" si="59"/>
        <v>15</v>
      </c>
      <c r="P352">
        <v>0</v>
      </c>
      <c r="R352" s="4">
        <v>2</v>
      </c>
      <c r="T352" s="5">
        <v>39</v>
      </c>
      <c r="W352" s="4">
        <v>15</v>
      </c>
      <c r="X352" s="4" t="str">
        <f t="shared" si="60"/>
        <v>Teenager</v>
      </c>
      <c r="Y352" s="4" t="s">
        <v>3561</v>
      </c>
      <c r="AB352" s="4" t="str">
        <f t="shared" si="61"/>
        <v/>
      </c>
      <c r="AC352" s="4" t="str">
        <f t="shared" si="62"/>
        <v>Unknown</v>
      </c>
      <c r="AD352" s="4" t="s">
        <v>457</v>
      </c>
      <c r="AF352" s="4">
        <v>14</v>
      </c>
      <c r="AG352" s="4">
        <f t="shared" si="63"/>
        <v>14</v>
      </c>
      <c r="AK352" s="4" t="s">
        <v>3573</v>
      </c>
      <c r="AL352" s="4" t="str">
        <f t="shared" si="64"/>
        <v>Found</v>
      </c>
      <c r="AN352" s="6">
        <v>39</v>
      </c>
      <c r="AO352" s="4" t="str">
        <f t="shared" si="65"/>
        <v>Mid</v>
      </c>
    </row>
    <row r="353" spans="1:41">
      <c r="A353">
        <v>2</v>
      </c>
      <c r="B353" t="str">
        <f t="shared" si="55"/>
        <v>Second Class</v>
      </c>
      <c r="C353">
        <v>0</v>
      </c>
      <c r="E353" t="str">
        <f t="shared" si="56"/>
        <v>Died</v>
      </c>
      <c r="F353" t="s">
        <v>920</v>
      </c>
      <c r="G353" t="s">
        <v>848</v>
      </c>
      <c r="H353" t="s">
        <v>855</v>
      </c>
      <c r="I353" t="str">
        <f t="shared" si="57"/>
        <v>Mr. Brown Thomas</v>
      </c>
      <c r="J353" t="s">
        <v>20</v>
      </c>
      <c r="K353" t="str">
        <f t="shared" si="58"/>
        <v>Male</v>
      </c>
      <c r="L353">
        <v>60</v>
      </c>
      <c r="O353">
        <f t="shared" si="59"/>
        <v>60</v>
      </c>
      <c r="P353">
        <v>1</v>
      </c>
      <c r="R353" s="4">
        <v>1</v>
      </c>
      <c r="T353" s="5">
        <v>39</v>
      </c>
      <c r="W353" s="4">
        <v>60</v>
      </c>
      <c r="X353" s="4" t="str">
        <f t="shared" si="60"/>
        <v>Old Adult</v>
      </c>
      <c r="Y353" s="4" t="s">
        <v>3561</v>
      </c>
      <c r="AB353" s="4" t="str">
        <f t="shared" si="61"/>
        <v/>
      </c>
      <c r="AC353" s="4" t="str">
        <f t="shared" si="62"/>
        <v>Unknown</v>
      </c>
      <c r="AD353" s="4" t="s">
        <v>457</v>
      </c>
      <c r="AG353" s="4" t="str">
        <f t="shared" si="63"/>
        <v>Not Applicable</v>
      </c>
      <c r="AK353" s="4" t="s">
        <v>3573</v>
      </c>
      <c r="AL353" s="4" t="str">
        <f t="shared" si="64"/>
        <v>Found</v>
      </c>
      <c r="AN353" s="6">
        <v>39</v>
      </c>
      <c r="AO353" s="4" t="str">
        <f t="shared" si="65"/>
        <v>Mid</v>
      </c>
    </row>
    <row r="354" spans="1:41">
      <c r="A354">
        <v>2</v>
      </c>
      <c r="B354" t="str">
        <f t="shared" si="55"/>
        <v>Second Class</v>
      </c>
      <c r="C354">
        <v>1</v>
      </c>
      <c r="E354" t="str">
        <f t="shared" si="56"/>
        <v>Survived</v>
      </c>
      <c r="F354" t="s">
        <v>920</v>
      </c>
      <c r="G354" t="s">
        <v>849</v>
      </c>
      <c r="H354" t="s">
        <v>855</v>
      </c>
      <c r="I354" t="str">
        <f t="shared" si="57"/>
        <v>Mrs. Brown Thomas</v>
      </c>
      <c r="J354" t="s">
        <v>47</v>
      </c>
      <c r="K354" t="str">
        <f t="shared" si="58"/>
        <v>Female</v>
      </c>
      <c r="L354">
        <v>40</v>
      </c>
      <c r="O354">
        <f t="shared" si="59"/>
        <v>40</v>
      </c>
      <c r="P354">
        <v>1</v>
      </c>
      <c r="R354" s="4">
        <v>1</v>
      </c>
      <c r="T354" s="5">
        <v>39</v>
      </c>
      <c r="W354" s="4">
        <v>40</v>
      </c>
      <c r="X354" s="4" t="str">
        <f t="shared" si="60"/>
        <v>Adult</v>
      </c>
      <c r="Y354" s="4" t="s">
        <v>3561</v>
      </c>
      <c r="AB354" s="4" t="str">
        <f t="shared" si="61"/>
        <v/>
      </c>
      <c r="AC354" s="4" t="str">
        <f t="shared" si="62"/>
        <v>Unknown</v>
      </c>
      <c r="AD354" s="4" t="s">
        <v>457</v>
      </c>
      <c r="AF354" s="4">
        <v>14</v>
      </c>
      <c r="AG354" s="4">
        <f t="shared" si="63"/>
        <v>14</v>
      </c>
      <c r="AK354" s="4" t="s">
        <v>3573</v>
      </c>
      <c r="AL354" s="4" t="str">
        <f t="shared" si="64"/>
        <v>Found</v>
      </c>
      <c r="AN354" s="6">
        <v>39</v>
      </c>
      <c r="AO354" s="4" t="str">
        <f t="shared" si="65"/>
        <v>Mid</v>
      </c>
    </row>
    <row r="355" spans="1:41">
      <c r="A355">
        <v>2</v>
      </c>
      <c r="B355" t="str">
        <f t="shared" si="55"/>
        <v>Second Class</v>
      </c>
      <c r="C355">
        <v>1</v>
      </c>
      <c r="E355" t="str">
        <f t="shared" si="56"/>
        <v>Survived</v>
      </c>
      <c r="F355" t="s">
        <v>1292</v>
      </c>
      <c r="G355" t="s">
        <v>842</v>
      </c>
      <c r="H355" t="s">
        <v>1293</v>
      </c>
      <c r="I355" t="str">
        <f t="shared" si="57"/>
        <v>Miss. Bryhl Dagmar</v>
      </c>
      <c r="J355" t="s">
        <v>47</v>
      </c>
      <c r="K355" t="str">
        <f t="shared" si="58"/>
        <v>Female</v>
      </c>
      <c r="L355">
        <v>20</v>
      </c>
      <c r="O355">
        <f t="shared" si="59"/>
        <v>20</v>
      </c>
      <c r="P355">
        <v>1</v>
      </c>
      <c r="R355" s="4">
        <v>0</v>
      </c>
      <c r="T355" s="5">
        <v>26</v>
      </c>
      <c r="W355" s="4">
        <v>20</v>
      </c>
      <c r="X355" s="4" t="str">
        <f t="shared" si="60"/>
        <v>Young Adult</v>
      </c>
      <c r="Y355" s="4" t="s">
        <v>3561</v>
      </c>
      <c r="AB355" s="4" t="str">
        <f t="shared" si="61"/>
        <v/>
      </c>
      <c r="AC355" s="4" t="str">
        <f t="shared" si="62"/>
        <v>Unknown</v>
      </c>
      <c r="AD355" s="4" t="s">
        <v>457</v>
      </c>
      <c r="AF355" s="4">
        <v>12</v>
      </c>
      <c r="AG355" s="4">
        <f t="shared" si="63"/>
        <v>12</v>
      </c>
      <c r="AK355" s="4" t="s">
        <v>3573</v>
      </c>
      <c r="AL355" s="4" t="str">
        <f t="shared" si="64"/>
        <v>Found</v>
      </c>
      <c r="AN355" s="6">
        <v>26</v>
      </c>
      <c r="AO355" s="4" t="str">
        <f t="shared" si="65"/>
        <v>Mid</v>
      </c>
    </row>
    <row r="356" spans="1:41">
      <c r="A356">
        <v>2</v>
      </c>
      <c r="B356" t="str">
        <f t="shared" si="55"/>
        <v>Second Class</v>
      </c>
      <c r="C356">
        <v>0</v>
      </c>
      <c r="E356" t="str">
        <f t="shared" si="56"/>
        <v>Died</v>
      </c>
      <c r="F356" t="s">
        <v>1292</v>
      </c>
      <c r="G356" t="s">
        <v>848</v>
      </c>
      <c r="H356" t="s">
        <v>1296</v>
      </c>
      <c r="I356" t="str">
        <f t="shared" si="57"/>
        <v>Mr. Bryhl Kurt</v>
      </c>
      <c r="J356" t="s">
        <v>20</v>
      </c>
      <c r="K356" t="str">
        <f t="shared" si="58"/>
        <v>Male</v>
      </c>
      <c r="L356">
        <v>25</v>
      </c>
      <c r="O356">
        <f t="shared" si="59"/>
        <v>25</v>
      </c>
      <c r="P356">
        <v>1</v>
      </c>
      <c r="R356" s="4">
        <v>0</v>
      </c>
      <c r="T356" s="5">
        <v>26</v>
      </c>
      <c r="W356" s="4">
        <v>25</v>
      </c>
      <c r="X356" s="4" t="str">
        <f t="shared" si="60"/>
        <v>Young Adult</v>
      </c>
      <c r="Y356" s="4" t="s">
        <v>3561</v>
      </c>
      <c r="AB356" s="4" t="str">
        <f t="shared" si="61"/>
        <v/>
      </c>
      <c r="AC356" s="4" t="str">
        <f t="shared" si="62"/>
        <v>Unknown</v>
      </c>
      <c r="AD356" s="4" t="s">
        <v>457</v>
      </c>
      <c r="AG356" s="4" t="str">
        <f t="shared" si="63"/>
        <v>Not Applicable</v>
      </c>
      <c r="AK356" s="4" t="s">
        <v>3573</v>
      </c>
      <c r="AL356" s="4" t="str">
        <f t="shared" si="64"/>
        <v>Found</v>
      </c>
      <c r="AN356" s="6">
        <v>26</v>
      </c>
      <c r="AO356" s="4" t="str">
        <f t="shared" si="65"/>
        <v>Mid</v>
      </c>
    </row>
    <row r="357" spans="1:41">
      <c r="A357">
        <v>2</v>
      </c>
      <c r="B357" t="str">
        <f t="shared" si="55"/>
        <v>Second Class</v>
      </c>
      <c r="C357">
        <v>1</v>
      </c>
      <c r="E357" t="str">
        <f t="shared" si="56"/>
        <v>Survived</v>
      </c>
      <c r="F357" t="s">
        <v>1297</v>
      </c>
      <c r="G357" t="s">
        <v>842</v>
      </c>
      <c r="H357" t="s">
        <v>1298</v>
      </c>
      <c r="I357" t="str">
        <f t="shared" si="57"/>
        <v>Miss. Buss Kate</v>
      </c>
      <c r="J357" t="s">
        <v>47</v>
      </c>
      <c r="K357" t="str">
        <f t="shared" si="58"/>
        <v>Female</v>
      </c>
      <c r="L357">
        <v>36</v>
      </c>
      <c r="O357">
        <f t="shared" si="59"/>
        <v>36</v>
      </c>
      <c r="P357">
        <v>0</v>
      </c>
      <c r="R357" s="4">
        <v>0</v>
      </c>
      <c r="T357" s="5">
        <v>13</v>
      </c>
      <c r="W357" s="4">
        <v>36</v>
      </c>
      <c r="X357" s="4" t="str">
        <f t="shared" si="60"/>
        <v>Adult</v>
      </c>
      <c r="Y357" s="4" t="s">
        <v>3561</v>
      </c>
      <c r="AB357" s="4" t="str">
        <f t="shared" si="61"/>
        <v/>
      </c>
      <c r="AC357" s="4" t="str">
        <f t="shared" si="62"/>
        <v>Unknown</v>
      </c>
      <c r="AD357" s="4" t="s">
        <v>457</v>
      </c>
      <c r="AF357" s="4">
        <v>9</v>
      </c>
      <c r="AG357" s="4">
        <f t="shared" si="63"/>
        <v>9</v>
      </c>
      <c r="AK357" s="4" t="s">
        <v>3573</v>
      </c>
      <c r="AL357" s="4" t="str">
        <f t="shared" si="64"/>
        <v>Found</v>
      </c>
      <c r="AN357" s="6">
        <v>13</v>
      </c>
      <c r="AO357" s="4" t="str">
        <f t="shared" si="65"/>
        <v>Mid</v>
      </c>
    </row>
    <row r="358" spans="1:41">
      <c r="A358">
        <v>2</v>
      </c>
      <c r="B358" t="str">
        <f t="shared" si="55"/>
        <v>Second Class</v>
      </c>
      <c r="C358">
        <v>0</v>
      </c>
      <c r="E358" t="str">
        <f t="shared" si="56"/>
        <v>Died</v>
      </c>
      <c r="F358" t="s">
        <v>1299</v>
      </c>
      <c r="G358" t="s">
        <v>848</v>
      </c>
      <c r="H358" t="s">
        <v>1300</v>
      </c>
      <c r="I358" t="str">
        <f t="shared" si="57"/>
        <v>Mr. Butler Reginald</v>
      </c>
      <c r="J358" t="s">
        <v>20</v>
      </c>
      <c r="K358" t="str">
        <f t="shared" si="58"/>
        <v>Male</v>
      </c>
      <c r="L358">
        <v>25</v>
      </c>
      <c r="O358">
        <f t="shared" si="59"/>
        <v>25</v>
      </c>
      <c r="P358">
        <v>0</v>
      </c>
      <c r="R358" s="4">
        <v>0</v>
      </c>
      <c r="T358" s="5">
        <v>13</v>
      </c>
      <c r="W358" s="4">
        <v>25</v>
      </c>
      <c r="X358" s="4" t="str">
        <f t="shared" si="60"/>
        <v>Young Adult</v>
      </c>
      <c r="Y358" s="4" t="s">
        <v>3561</v>
      </c>
      <c r="AB358" s="4" t="str">
        <f t="shared" si="61"/>
        <v/>
      </c>
      <c r="AC358" s="4" t="str">
        <f t="shared" si="62"/>
        <v>Unknown</v>
      </c>
      <c r="AD358" s="4" t="s">
        <v>457</v>
      </c>
      <c r="AG358" s="4" t="str">
        <f t="shared" si="63"/>
        <v>Not Applicable</v>
      </c>
      <c r="AH358" s="4">
        <v>97</v>
      </c>
      <c r="AK358" s="4">
        <v>97</v>
      </c>
      <c r="AL358" s="4" t="str">
        <f t="shared" si="64"/>
        <v>Found</v>
      </c>
      <c r="AN358" s="6">
        <v>13</v>
      </c>
      <c r="AO358" s="4" t="str">
        <f t="shared" si="65"/>
        <v>Mid</v>
      </c>
    </row>
    <row r="359" spans="1:41">
      <c r="A359">
        <v>2</v>
      </c>
      <c r="B359" t="str">
        <f t="shared" si="55"/>
        <v>Second Class</v>
      </c>
      <c r="C359">
        <v>0</v>
      </c>
      <c r="E359" t="str">
        <f t="shared" si="56"/>
        <v>Died</v>
      </c>
      <c r="F359" t="s">
        <v>1301</v>
      </c>
      <c r="G359" t="s">
        <v>1277</v>
      </c>
      <c r="H359" t="s">
        <v>855</v>
      </c>
      <c r="I359" t="str">
        <f t="shared" si="57"/>
        <v>Rev. Byles Thomas</v>
      </c>
      <c r="J359" t="s">
        <v>20</v>
      </c>
      <c r="K359" t="str">
        <f t="shared" si="58"/>
        <v>Male</v>
      </c>
      <c r="L359">
        <v>42</v>
      </c>
      <c r="O359">
        <f t="shared" si="59"/>
        <v>42</v>
      </c>
      <c r="P359">
        <v>0</v>
      </c>
      <c r="R359" s="4">
        <v>0</v>
      </c>
      <c r="T359" s="5">
        <v>13</v>
      </c>
      <c r="W359" s="4">
        <v>42</v>
      </c>
      <c r="X359" s="4" t="str">
        <f t="shared" si="60"/>
        <v>Adult</v>
      </c>
      <c r="Y359" s="4" t="s">
        <v>3561</v>
      </c>
      <c r="AB359" s="4" t="str">
        <f t="shared" si="61"/>
        <v/>
      </c>
      <c r="AC359" s="4" t="str">
        <f t="shared" si="62"/>
        <v>Unknown</v>
      </c>
      <c r="AD359" s="4" t="s">
        <v>457</v>
      </c>
      <c r="AG359" s="4" t="str">
        <f t="shared" si="63"/>
        <v>Not Applicable</v>
      </c>
      <c r="AK359" s="4" t="s">
        <v>3573</v>
      </c>
      <c r="AL359" s="4" t="str">
        <f t="shared" si="64"/>
        <v>Found</v>
      </c>
      <c r="AN359" s="6">
        <v>13</v>
      </c>
      <c r="AO359" s="4" t="str">
        <f t="shared" si="65"/>
        <v>Mid</v>
      </c>
    </row>
    <row r="360" spans="1:41">
      <c r="A360">
        <v>2</v>
      </c>
      <c r="B360" t="str">
        <f t="shared" si="55"/>
        <v>Second Class</v>
      </c>
      <c r="C360">
        <v>1</v>
      </c>
      <c r="E360" t="str">
        <f t="shared" si="56"/>
        <v>Survived</v>
      </c>
      <c r="F360" t="s">
        <v>1302</v>
      </c>
      <c r="G360" t="s">
        <v>849</v>
      </c>
      <c r="H360" t="s">
        <v>1303</v>
      </c>
      <c r="I360" t="str">
        <f t="shared" si="57"/>
        <v>Mrs. Bystrom (Karolina)</v>
      </c>
      <c r="J360" t="s">
        <v>47</v>
      </c>
      <c r="K360" t="str">
        <f t="shared" si="58"/>
        <v>Female</v>
      </c>
      <c r="L360">
        <v>42</v>
      </c>
      <c r="O360">
        <f t="shared" si="59"/>
        <v>42</v>
      </c>
      <c r="P360">
        <v>0</v>
      </c>
      <c r="R360" s="4">
        <v>0</v>
      </c>
      <c r="T360" s="5">
        <v>13</v>
      </c>
      <c r="W360" s="4">
        <v>42</v>
      </c>
      <c r="X360" s="4" t="str">
        <f t="shared" si="60"/>
        <v>Adult</v>
      </c>
      <c r="Y360" s="4" t="s">
        <v>3561</v>
      </c>
      <c r="AB360" s="4" t="str">
        <f t="shared" si="61"/>
        <v/>
      </c>
      <c r="AC360" s="4" t="str">
        <f t="shared" si="62"/>
        <v>Unknown</v>
      </c>
      <c r="AD360" s="4" t="s">
        <v>457</v>
      </c>
      <c r="AG360" s="4" t="str">
        <f t="shared" si="63"/>
        <v>Not Applicable</v>
      </c>
      <c r="AK360" s="4" t="s">
        <v>3573</v>
      </c>
      <c r="AL360" s="4" t="str">
        <f t="shared" si="64"/>
        <v>Found</v>
      </c>
      <c r="AN360" s="6">
        <v>13</v>
      </c>
      <c r="AO360" s="4" t="str">
        <f t="shared" si="65"/>
        <v>Mid</v>
      </c>
    </row>
    <row r="361" spans="1:41">
      <c r="A361">
        <v>2</v>
      </c>
      <c r="B361" t="str">
        <f t="shared" si="55"/>
        <v>Second Class</v>
      </c>
      <c r="C361">
        <v>1</v>
      </c>
      <c r="E361" t="str">
        <f t="shared" si="56"/>
        <v>Survived</v>
      </c>
      <c r="F361" t="s">
        <v>1304</v>
      </c>
      <c r="G361" t="s">
        <v>845</v>
      </c>
      <c r="H361" t="s">
        <v>1305</v>
      </c>
      <c r="I361" t="str">
        <f t="shared" si="57"/>
        <v>Master. Caldwell Alden</v>
      </c>
      <c r="J361" t="s">
        <v>20</v>
      </c>
      <c r="K361" t="str">
        <f t="shared" si="58"/>
        <v>Male</v>
      </c>
      <c r="L361">
        <v>0.83330000000000004</v>
      </c>
      <c r="O361">
        <f t="shared" si="59"/>
        <v>1</v>
      </c>
      <c r="P361">
        <v>0</v>
      </c>
      <c r="R361" s="4">
        <v>2</v>
      </c>
      <c r="T361" s="5">
        <v>29</v>
      </c>
      <c r="W361" s="4">
        <v>1</v>
      </c>
      <c r="X361" s="4" t="str">
        <f t="shared" si="60"/>
        <v>Child</v>
      </c>
      <c r="Y361" s="4" t="s">
        <v>3561</v>
      </c>
      <c r="AB361" s="4" t="str">
        <f t="shared" si="61"/>
        <v/>
      </c>
      <c r="AC361" s="4" t="str">
        <f t="shared" si="62"/>
        <v>Unknown</v>
      </c>
      <c r="AD361" s="4" t="s">
        <v>457</v>
      </c>
      <c r="AF361" s="4">
        <v>13</v>
      </c>
      <c r="AG361" s="4">
        <f t="shared" si="63"/>
        <v>13</v>
      </c>
      <c r="AK361" s="4" t="s">
        <v>3573</v>
      </c>
      <c r="AL361" s="4" t="str">
        <f t="shared" si="64"/>
        <v>Found</v>
      </c>
      <c r="AN361" s="6">
        <v>29</v>
      </c>
      <c r="AO361" s="4" t="str">
        <f t="shared" si="65"/>
        <v>Mid</v>
      </c>
    </row>
    <row r="362" spans="1:41">
      <c r="A362">
        <v>2</v>
      </c>
      <c r="B362" t="str">
        <f t="shared" si="55"/>
        <v>Second Class</v>
      </c>
      <c r="C362">
        <v>1</v>
      </c>
      <c r="E362" t="str">
        <f t="shared" si="56"/>
        <v>Survived</v>
      </c>
      <c r="F362" t="s">
        <v>1304</v>
      </c>
      <c r="G362" t="s">
        <v>848</v>
      </c>
      <c r="H362" t="s">
        <v>995</v>
      </c>
      <c r="I362" t="str">
        <f t="shared" si="57"/>
        <v>Mr. Caldwell Albert</v>
      </c>
      <c r="J362" t="s">
        <v>20</v>
      </c>
      <c r="K362" t="str">
        <f t="shared" si="58"/>
        <v>Male</v>
      </c>
      <c r="L362">
        <v>26</v>
      </c>
      <c r="O362">
        <f t="shared" si="59"/>
        <v>26</v>
      </c>
      <c r="P362">
        <v>1</v>
      </c>
      <c r="R362" s="4">
        <v>1</v>
      </c>
      <c r="T362" s="5">
        <v>29</v>
      </c>
      <c r="W362" s="4">
        <v>26</v>
      </c>
      <c r="X362" s="4" t="str">
        <f t="shared" si="60"/>
        <v>Young Adult</v>
      </c>
      <c r="Y362" s="4" t="s">
        <v>3561</v>
      </c>
      <c r="AB362" s="4" t="str">
        <f t="shared" si="61"/>
        <v/>
      </c>
      <c r="AC362" s="4" t="str">
        <f t="shared" si="62"/>
        <v>Unknown</v>
      </c>
      <c r="AD362" s="4" t="s">
        <v>457</v>
      </c>
      <c r="AF362" s="4">
        <v>13</v>
      </c>
      <c r="AG362" s="4">
        <f t="shared" si="63"/>
        <v>13</v>
      </c>
      <c r="AK362" s="4" t="s">
        <v>3573</v>
      </c>
      <c r="AL362" s="4" t="str">
        <f t="shared" si="64"/>
        <v>Found</v>
      </c>
      <c r="AN362" s="6">
        <v>29</v>
      </c>
      <c r="AO362" s="4" t="str">
        <f t="shared" si="65"/>
        <v>Mid</v>
      </c>
    </row>
    <row r="363" spans="1:41">
      <c r="A363">
        <v>2</v>
      </c>
      <c r="B363" t="str">
        <f t="shared" si="55"/>
        <v>Second Class</v>
      </c>
      <c r="C363">
        <v>1</v>
      </c>
      <c r="E363" t="str">
        <f t="shared" si="56"/>
        <v>Survived</v>
      </c>
      <c r="F363" t="s">
        <v>1304</v>
      </c>
      <c r="G363" t="s">
        <v>849</v>
      </c>
      <c r="H363" t="s">
        <v>995</v>
      </c>
      <c r="I363" t="str">
        <f t="shared" si="57"/>
        <v>Mrs. Caldwell Albert</v>
      </c>
      <c r="J363" t="s">
        <v>47</v>
      </c>
      <c r="K363" t="str">
        <f t="shared" si="58"/>
        <v>Female</v>
      </c>
      <c r="L363">
        <v>22</v>
      </c>
      <c r="O363">
        <f t="shared" si="59"/>
        <v>22</v>
      </c>
      <c r="P363">
        <v>1</v>
      </c>
      <c r="R363" s="4">
        <v>1</v>
      </c>
      <c r="T363" s="5">
        <v>29</v>
      </c>
      <c r="W363" s="4">
        <v>22</v>
      </c>
      <c r="X363" s="4" t="str">
        <f t="shared" si="60"/>
        <v>Young Adult</v>
      </c>
      <c r="Y363" s="4" t="s">
        <v>3561</v>
      </c>
      <c r="AB363" s="4" t="str">
        <f t="shared" si="61"/>
        <v/>
      </c>
      <c r="AC363" s="4" t="str">
        <f t="shared" si="62"/>
        <v>Unknown</v>
      </c>
      <c r="AD363" s="4" t="s">
        <v>457</v>
      </c>
      <c r="AF363" s="4">
        <v>13</v>
      </c>
      <c r="AG363" s="4">
        <f t="shared" si="63"/>
        <v>13</v>
      </c>
      <c r="AK363" s="4" t="s">
        <v>3573</v>
      </c>
      <c r="AL363" s="4" t="str">
        <f t="shared" si="64"/>
        <v>Found</v>
      </c>
      <c r="AN363" s="6">
        <v>29</v>
      </c>
      <c r="AO363" s="4" t="str">
        <f t="shared" si="65"/>
        <v>Mid</v>
      </c>
    </row>
    <row r="364" spans="1:41">
      <c r="A364">
        <v>2</v>
      </c>
      <c r="B364" t="str">
        <f t="shared" si="55"/>
        <v>Second Class</v>
      </c>
      <c r="C364">
        <v>1</v>
      </c>
      <c r="E364" t="str">
        <f t="shared" si="56"/>
        <v>Survived</v>
      </c>
      <c r="F364" t="s">
        <v>1306</v>
      </c>
      <c r="G364" t="s">
        <v>842</v>
      </c>
      <c r="H364" t="s">
        <v>1307</v>
      </c>
      <c r="I364" t="str">
        <f t="shared" si="57"/>
        <v>Miss. Cameron Clear</v>
      </c>
      <c r="J364" t="s">
        <v>47</v>
      </c>
      <c r="K364" t="str">
        <f t="shared" si="58"/>
        <v>Female</v>
      </c>
      <c r="L364">
        <v>35</v>
      </c>
      <c r="O364">
        <f t="shared" si="59"/>
        <v>35</v>
      </c>
      <c r="P364">
        <v>0</v>
      </c>
      <c r="R364" s="4">
        <v>0</v>
      </c>
      <c r="T364" s="5">
        <v>21</v>
      </c>
      <c r="W364" s="4">
        <v>35</v>
      </c>
      <c r="X364" s="4" t="str">
        <f t="shared" si="60"/>
        <v>Adult</v>
      </c>
      <c r="Y364" s="4" t="s">
        <v>3561</v>
      </c>
      <c r="AB364" s="4" t="str">
        <f t="shared" si="61"/>
        <v/>
      </c>
      <c r="AC364" s="4" t="str">
        <f t="shared" si="62"/>
        <v>Unknown</v>
      </c>
      <c r="AD364" s="4" t="s">
        <v>457</v>
      </c>
      <c r="AF364" s="4">
        <v>14</v>
      </c>
      <c r="AG364" s="4">
        <f t="shared" si="63"/>
        <v>14</v>
      </c>
      <c r="AK364" s="4" t="s">
        <v>3573</v>
      </c>
      <c r="AL364" s="4" t="str">
        <f t="shared" si="64"/>
        <v>Found</v>
      </c>
      <c r="AN364" s="6">
        <v>21</v>
      </c>
      <c r="AO364" s="4" t="str">
        <f t="shared" si="65"/>
        <v>Mid</v>
      </c>
    </row>
    <row r="365" spans="1:41">
      <c r="A365">
        <v>2</v>
      </c>
      <c r="B365" t="str">
        <f t="shared" si="55"/>
        <v>Second Class</v>
      </c>
      <c r="C365">
        <v>0</v>
      </c>
      <c r="E365" t="str">
        <f t="shared" si="56"/>
        <v>Died</v>
      </c>
      <c r="F365" t="s">
        <v>957</v>
      </c>
      <c r="G365" t="s">
        <v>848</v>
      </c>
      <c r="H365" t="s">
        <v>924</v>
      </c>
      <c r="I365" t="str">
        <f t="shared" si="57"/>
        <v>Mr. Campbell William</v>
      </c>
      <c r="J365" t="s">
        <v>20</v>
      </c>
      <c r="K365" t="str">
        <f t="shared" si="58"/>
        <v>Male</v>
      </c>
      <c r="L365">
        <v>28</v>
      </c>
      <c r="O365">
        <f t="shared" si="59"/>
        <v>28</v>
      </c>
      <c r="P365">
        <v>0</v>
      </c>
      <c r="R365" s="4">
        <v>0</v>
      </c>
      <c r="T365" s="5">
        <v>0</v>
      </c>
      <c r="W365" s="4">
        <v>28</v>
      </c>
      <c r="X365" s="4" t="str">
        <f t="shared" si="60"/>
        <v>Young Adult</v>
      </c>
      <c r="Y365" s="4" t="s">
        <v>3561</v>
      </c>
      <c r="AB365" s="4" t="str">
        <f t="shared" si="61"/>
        <v/>
      </c>
      <c r="AC365" s="4" t="str">
        <f t="shared" si="62"/>
        <v>Unknown</v>
      </c>
      <c r="AD365" s="4" t="s">
        <v>457</v>
      </c>
      <c r="AG365" s="4" t="str">
        <f t="shared" si="63"/>
        <v>Not Applicable</v>
      </c>
      <c r="AK365" s="4" t="s">
        <v>3573</v>
      </c>
      <c r="AL365" s="4" t="str">
        <f t="shared" si="64"/>
        <v>Found</v>
      </c>
      <c r="AN365" s="6">
        <v>0</v>
      </c>
      <c r="AO365" s="4" t="str">
        <f t="shared" si="65"/>
        <v>Low</v>
      </c>
    </row>
    <row r="366" spans="1:41">
      <c r="A366">
        <v>2</v>
      </c>
      <c r="B366" t="str">
        <f t="shared" si="55"/>
        <v>Second Class</v>
      </c>
      <c r="C366">
        <v>0</v>
      </c>
      <c r="E366" t="str">
        <f t="shared" si="56"/>
        <v>Died</v>
      </c>
      <c r="F366" t="s">
        <v>1309</v>
      </c>
      <c r="G366" t="s">
        <v>848</v>
      </c>
      <c r="H366" t="s">
        <v>924</v>
      </c>
      <c r="I366" t="str">
        <f t="shared" si="57"/>
        <v>Mr. Carbines William</v>
      </c>
      <c r="J366" t="s">
        <v>20</v>
      </c>
      <c r="K366" t="str">
        <f t="shared" si="58"/>
        <v>Male</v>
      </c>
      <c r="L366">
        <v>19</v>
      </c>
      <c r="O366">
        <f t="shared" si="59"/>
        <v>19</v>
      </c>
      <c r="P366">
        <v>0</v>
      </c>
      <c r="R366" s="4">
        <v>0</v>
      </c>
      <c r="T366" s="5">
        <v>13</v>
      </c>
      <c r="W366" s="4">
        <v>19</v>
      </c>
      <c r="X366" s="4" t="str">
        <f t="shared" si="60"/>
        <v>Young Adult</v>
      </c>
      <c r="Y366" s="4" t="s">
        <v>3561</v>
      </c>
      <c r="AB366" s="4" t="str">
        <f t="shared" si="61"/>
        <v/>
      </c>
      <c r="AC366" s="4" t="str">
        <f t="shared" si="62"/>
        <v>Unknown</v>
      </c>
      <c r="AD366" s="4" t="s">
        <v>457</v>
      </c>
      <c r="AG366" s="4" t="str">
        <f t="shared" si="63"/>
        <v>Not Applicable</v>
      </c>
      <c r="AH366" s="4">
        <v>18</v>
      </c>
      <c r="AK366" s="4">
        <v>18</v>
      </c>
      <c r="AL366" s="4" t="str">
        <f t="shared" si="64"/>
        <v>Found</v>
      </c>
      <c r="AN366" s="6">
        <v>13</v>
      </c>
      <c r="AO366" s="4" t="str">
        <f t="shared" si="65"/>
        <v>Mid</v>
      </c>
    </row>
    <row r="367" spans="1:41">
      <c r="A367">
        <v>2</v>
      </c>
      <c r="B367" t="str">
        <f t="shared" si="55"/>
        <v>Second Class</v>
      </c>
      <c r="C367">
        <v>0</v>
      </c>
      <c r="E367" t="str">
        <f t="shared" si="56"/>
        <v>Died</v>
      </c>
      <c r="F367" t="s">
        <v>942</v>
      </c>
      <c r="G367" t="s">
        <v>849</v>
      </c>
      <c r="H367" t="s">
        <v>945</v>
      </c>
      <c r="I367" t="str">
        <f t="shared" si="57"/>
        <v>Mrs. Carter Ernest</v>
      </c>
      <c r="J367" t="s">
        <v>47</v>
      </c>
      <c r="K367" t="str">
        <f t="shared" si="58"/>
        <v>Female</v>
      </c>
      <c r="L367">
        <v>44</v>
      </c>
      <c r="O367">
        <f t="shared" si="59"/>
        <v>44</v>
      </c>
      <c r="P367">
        <v>1</v>
      </c>
      <c r="R367" s="4">
        <v>0</v>
      </c>
      <c r="T367" s="5">
        <v>26</v>
      </c>
      <c r="W367" s="4">
        <v>44</v>
      </c>
      <c r="X367" s="4" t="str">
        <f t="shared" si="60"/>
        <v>Adult</v>
      </c>
      <c r="Y367" s="4" t="s">
        <v>3561</v>
      </c>
      <c r="AB367" s="4" t="str">
        <f t="shared" si="61"/>
        <v/>
      </c>
      <c r="AC367" s="4" t="str">
        <f t="shared" si="62"/>
        <v>Unknown</v>
      </c>
      <c r="AD367" s="4" t="s">
        <v>457</v>
      </c>
      <c r="AG367" s="4" t="str">
        <f t="shared" si="63"/>
        <v>Not Applicable</v>
      </c>
      <c r="AK367" s="4" t="s">
        <v>3573</v>
      </c>
      <c r="AL367" s="4" t="str">
        <f t="shared" si="64"/>
        <v>Found</v>
      </c>
      <c r="AN367" s="6">
        <v>26</v>
      </c>
      <c r="AO367" s="4" t="str">
        <f t="shared" si="65"/>
        <v>Mid</v>
      </c>
    </row>
    <row r="368" spans="1:41">
      <c r="A368">
        <v>2</v>
      </c>
      <c r="B368" t="str">
        <f t="shared" si="55"/>
        <v>Second Class</v>
      </c>
      <c r="C368">
        <v>0</v>
      </c>
      <c r="E368" t="str">
        <f t="shared" si="56"/>
        <v>Died</v>
      </c>
      <c r="F368" t="s">
        <v>942</v>
      </c>
      <c r="G368" t="s">
        <v>1277</v>
      </c>
      <c r="H368" t="s">
        <v>945</v>
      </c>
      <c r="I368" t="str">
        <f t="shared" si="57"/>
        <v>Rev. Carter Ernest</v>
      </c>
      <c r="J368" t="s">
        <v>20</v>
      </c>
      <c r="K368" t="str">
        <f t="shared" si="58"/>
        <v>Male</v>
      </c>
      <c r="L368">
        <v>54</v>
      </c>
      <c r="O368">
        <f t="shared" si="59"/>
        <v>54</v>
      </c>
      <c r="P368">
        <v>1</v>
      </c>
      <c r="R368" s="4">
        <v>0</v>
      </c>
      <c r="T368" s="5">
        <v>26</v>
      </c>
      <c r="W368" s="4">
        <v>54</v>
      </c>
      <c r="X368" s="4" t="str">
        <f t="shared" si="60"/>
        <v>Adult</v>
      </c>
      <c r="Y368" s="4" t="s">
        <v>3561</v>
      </c>
      <c r="AB368" s="4" t="str">
        <f t="shared" si="61"/>
        <v/>
      </c>
      <c r="AC368" s="4" t="str">
        <f t="shared" si="62"/>
        <v>Unknown</v>
      </c>
      <c r="AD368" s="4" t="s">
        <v>457</v>
      </c>
      <c r="AG368" s="4" t="str">
        <f t="shared" si="63"/>
        <v>Not Applicable</v>
      </c>
      <c r="AK368" s="4" t="s">
        <v>3573</v>
      </c>
      <c r="AL368" s="4" t="str">
        <f t="shared" si="64"/>
        <v>Found</v>
      </c>
      <c r="AN368" s="6">
        <v>26</v>
      </c>
      <c r="AO368" s="4" t="str">
        <f t="shared" si="65"/>
        <v>Mid</v>
      </c>
    </row>
    <row r="369" spans="1:41">
      <c r="A369">
        <v>2</v>
      </c>
      <c r="B369" t="str">
        <f t="shared" si="55"/>
        <v>Second Class</v>
      </c>
      <c r="C369">
        <v>0</v>
      </c>
      <c r="E369" t="str">
        <f t="shared" si="56"/>
        <v>Died</v>
      </c>
      <c r="F369" t="s">
        <v>1310</v>
      </c>
      <c r="G369" t="s">
        <v>848</v>
      </c>
      <c r="H369" t="s">
        <v>1000</v>
      </c>
      <c r="I369" t="str">
        <f t="shared" si="57"/>
        <v>Mr. Chapman Charles</v>
      </c>
      <c r="J369" t="s">
        <v>20</v>
      </c>
      <c r="K369" t="str">
        <f t="shared" si="58"/>
        <v>Male</v>
      </c>
      <c r="L369">
        <v>52</v>
      </c>
      <c r="O369">
        <f t="shared" si="59"/>
        <v>52</v>
      </c>
      <c r="P369">
        <v>0</v>
      </c>
      <c r="R369" s="4">
        <v>0</v>
      </c>
      <c r="T369" s="5">
        <v>13.5</v>
      </c>
      <c r="W369" s="4">
        <v>52</v>
      </c>
      <c r="X369" s="4" t="str">
        <f t="shared" si="60"/>
        <v>Adult</v>
      </c>
      <c r="Y369" s="4" t="s">
        <v>3561</v>
      </c>
      <c r="AB369" s="4" t="str">
        <f t="shared" si="61"/>
        <v/>
      </c>
      <c r="AC369" s="4" t="str">
        <f t="shared" si="62"/>
        <v>Unknown</v>
      </c>
      <c r="AD369" s="4" t="s">
        <v>457</v>
      </c>
      <c r="AG369" s="4" t="str">
        <f t="shared" si="63"/>
        <v>Not Applicable</v>
      </c>
      <c r="AH369" s="4">
        <v>130</v>
      </c>
      <c r="AK369" s="4">
        <v>130</v>
      </c>
      <c r="AL369" s="4" t="str">
        <f t="shared" si="64"/>
        <v>Found</v>
      </c>
      <c r="AN369" s="6">
        <v>13.5</v>
      </c>
      <c r="AO369" s="4" t="str">
        <f t="shared" si="65"/>
        <v>Mid</v>
      </c>
    </row>
    <row r="370" spans="1:41">
      <c r="A370">
        <v>2</v>
      </c>
      <c r="B370" t="str">
        <f t="shared" si="55"/>
        <v>Second Class</v>
      </c>
      <c r="C370">
        <v>0</v>
      </c>
      <c r="E370" t="str">
        <f t="shared" si="56"/>
        <v>Died</v>
      </c>
      <c r="F370" t="s">
        <v>1310</v>
      </c>
      <c r="G370" t="s">
        <v>848</v>
      </c>
      <c r="H370" t="s">
        <v>862</v>
      </c>
      <c r="I370" t="str">
        <f t="shared" si="57"/>
        <v>Mr. Chapman John</v>
      </c>
      <c r="J370" t="s">
        <v>20</v>
      </c>
      <c r="K370" t="str">
        <f t="shared" si="58"/>
        <v>Male</v>
      </c>
      <c r="L370">
        <v>37</v>
      </c>
      <c r="O370">
        <f t="shared" si="59"/>
        <v>37</v>
      </c>
      <c r="P370">
        <v>1</v>
      </c>
      <c r="R370" s="4">
        <v>0</v>
      </c>
      <c r="T370" s="5">
        <v>26</v>
      </c>
      <c r="W370" s="4">
        <v>37</v>
      </c>
      <c r="X370" s="4" t="str">
        <f t="shared" si="60"/>
        <v>Adult</v>
      </c>
      <c r="Y370" s="4" t="s">
        <v>3561</v>
      </c>
      <c r="AB370" s="4" t="str">
        <f t="shared" si="61"/>
        <v/>
      </c>
      <c r="AC370" s="4" t="str">
        <f t="shared" si="62"/>
        <v>Unknown</v>
      </c>
      <c r="AD370" s="4" t="s">
        <v>457</v>
      </c>
      <c r="AG370" s="4" t="str">
        <f t="shared" si="63"/>
        <v>Not Applicable</v>
      </c>
      <c r="AH370" s="4">
        <v>17</v>
      </c>
      <c r="AK370" s="4">
        <v>17</v>
      </c>
      <c r="AL370" s="4" t="str">
        <f t="shared" si="64"/>
        <v>Found</v>
      </c>
      <c r="AN370" s="6">
        <v>26</v>
      </c>
      <c r="AO370" s="4" t="str">
        <f t="shared" si="65"/>
        <v>Mid</v>
      </c>
    </row>
    <row r="371" spans="1:41">
      <c r="A371">
        <v>2</v>
      </c>
      <c r="B371" t="str">
        <f t="shared" si="55"/>
        <v>Second Class</v>
      </c>
      <c r="C371">
        <v>0</v>
      </c>
      <c r="E371" t="str">
        <f t="shared" si="56"/>
        <v>Died</v>
      </c>
      <c r="F371" t="s">
        <v>1310</v>
      </c>
      <c r="G371" t="s">
        <v>849</v>
      </c>
      <c r="H371" t="s">
        <v>862</v>
      </c>
      <c r="I371" t="str">
        <f t="shared" si="57"/>
        <v>Mrs. Chapman John</v>
      </c>
      <c r="J371" t="s">
        <v>47</v>
      </c>
      <c r="K371" t="str">
        <f t="shared" si="58"/>
        <v>Female</v>
      </c>
      <c r="L371">
        <v>29</v>
      </c>
      <c r="O371">
        <f t="shared" si="59"/>
        <v>29</v>
      </c>
      <c r="P371">
        <v>1</v>
      </c>
      <c r="R371" s="4">
        <v>0</v>
      </c>
      <c r="T371" s="5">
        <v>26</v>
      </c>
      <c r="W371" s="4">
        <v>29</v>
      </c>
      <c r="X371" s="4" t="str">
        <f t="shared" si="60"/>
        <v>Young Adult</v>
      </c>
      <c r="Y371" s="4" t="s">
        <v>3561</v>
      </c>
      <c r="AB371" s="4" t="str">
        <f t="shared" si="61"/>
        <v/>
      </c>
      <c r="AC371" s="4" t="str">
        <f t="shared" si="62"/>
        <v>Unknown</v>
      </c>
      <c r="AD371" s="4" t="s">
        <v>457</v>
      </c>
      <c r="AG371" s="4" t="str">
        <f t="shared" si="63"/>
        <v>Not Applicable</v>
      </c>
      <c r="AK371" s="4" t="s">
        <v>3573</v>
      </c>
      <c r="AL371" s="4" t="str">
        <f t="shared" si="64"/>
        <v>Found</v>
      </c>
      <c r="AN371" s="6">
        <v>26</v>
      </c>
      <c r="AO371" s="4" t="str">
        <f t="shared" si="65"/>
        <v>Mid</v>
      </c>
    </row>
    <row r="372" spans="1:41">
      <c r="A372">
        <v>2</v>
      </c>
      <c r="B372" t="str">
        <f t="shared" si="55"/>
        <v>Second Class</v>
      </c>
      <c r="C372">
        <v>1</v>
      </c>
      <c r="E372" t="str">
        <f t="shared" si="56"/>
        <v>Survived</v>
      </c>
      <c r="F372" t="s">
        <v>1311</v>
      </c>
      <c r="G372" t="s">
        <v>842</v>
      </c>
      <c r="H372" t="s">
        <v>1312</v>
      </c>
      <c r="I372" t="str">
        <f t="shared" si="57"/>
        <v>Miss. Christy Julie</v>
      </c>
      <c r="J372" t="s">
        <v>47</v>
      </c>
      <c r="K372" t="str">
        <f t="shared" si="58"/>
        <v>Female</v>
      </c>
      <c r="L372">
        <v>25</v>
      </c>
      <c r="O372">
        <f t="shared" si="59"/>
        <v>25</v>
      </c>
      <c r="P372">
        <v>1</v>
      </c>
      <c r="R372" s="4">
        <v>1</v>
      </c>
      <c r="T372" s="5">
        <v>30</v>
      </c>
      <c r="W372" s="4">
        <v>25</v>
      </c>
      <c r="X372" s="4" t="str">
        <f t="shared" si="60"/>
        <v>Young Adult</v>
      </c>
      <c r="Y372" s="4" t="s">
        <v>3561</v>
      </c>
      <c r="AB372" s="4" t="str">
        <f t="shared" si="61"/>
        <v/>
      </c>
      <c r="AC372" s="4" t="str">
        <f t="shared" si="62"/>
        <v>Unknown</v>
      </c>
      <c r="AD372" s="4" t="s">
        <v>457</v>
      </c>
      <c r="AF372" s="4">
        <v>12</v>
      </c>
      <c r="AG372" s="4">
        <f t="shared" si="63"/>
        <v>12</v>
      </c>
      <c r="AK372" s="4" t="s">
        <v>3573</v>
      </c>
      <c r="AL372" s="4" t="str">
        <f t="shared" si="64"/>
        <v>Found</v>
      </c>
      <c r="AN372" s="6">
        <v>30</v>
      </c>
      <c r="AO372" s="4" t="str">
        <f t="shared" si="65"/>
        <v>Mid</v>
      </c>
    </row>
    <row r="373" spans="1:41">
      <c r="A373">
        <v>2</v>
      </c>
      <c r="B373" t="str">
        <f t="shared" si="55"/>
        <v>Second Class</v>
      </c>
      <c r="C373">
        <v>1</v>
      </c>
      <c r="E373" t="str">
        <f t="shared" si="56"/>
        <v>Survived</v>
      </c>
      <c r="F373" t="s">
        <v>1311</v>
      </c>
      <c r="G373" t="s">
        <v>849</v>
      </c>
      <c r="H373" t="s">
        <v>1211</v>
      </c>
      <c r="I373" t="str">
        <f t="shared" si="57"/>
        <v>Mrs. Christy (Alice</v>
      </c>
      <c r="J373" t="s">
        <v>47</v>
      </c>
      <c r="K373" t="str">
        <f t="shared" si="58"/>
        <v>Female</v>
      </c>
      <c r="L373">
        <v>45</v>
      </c>
      <c r="O373">
        <f t="shared" si="59"/>
        <v>45</v>
      </c>
      <c r="P373">
        <v>0</v>
      </c>
      <c r="R373" s="4">
        <v>2</v>
      </c>
      <c r="T373" s="5">
        <v>30</v>
      </c>
      <c r="W373" s="4">
        <v>45</v>
      </c>
      <c r="X373" s="4" t="str">
        <f t="shared" si="60"/>
        <v>Adult</v>
      </c>
      <c r="Y373" s="4" t="s">
        <v>3561</v>
      </c>
      <c r="AB373" s="4" t="str">
        <f t="shared" si="61"/>
        <v/>
      </c>
      <c r="AC373" s="4" t="str">
        <f t="shared" si="62"/>
        <v>Unknown</v>
      </c>
      <c r="AD373" s="4" t="s">
        <v>457</v>
      </c>
      <c r="AF373" s="4">
        <v>12</v>
      </c>
      <c r="AG373" s="4">
        <f t="shared" si="63"/>
        <v>12</v>
      </c>
      <c r="AK373" s="4" t="s">
        <v>3573</v>
      </c>
      <c r="AL373" s="4" t="str">
        <f t="shared" si="64"/>
        <v>Found</v>
      </c>
      <c r="AN373" s="6">
        <v>30</v>
      </c>
      <c r="AO373" s="4" t="str">
        <f t="shared" si="65"/>
        <v>Mid</v>
      </c>
    </row>
    <row r="374" spans="1:41">
      <c r="A374">
        <v>2</v>
      </c>
      <c r="B374" t="str">
        <f t="shared" si="55"/>
        <v>Second Class</v>
      </c>
      <c r="C374">
        <v>0</v>
      </c>
      <c r="E374" t="str">
        <f t="shared" si="56"/>
        <v>Died</v>
      </c>
      <c r="F374" t="s">
        <v>1313</v>
      </c>
      <c r="G374" t="s">
        <v>848</v>
      </c>
      <c r="H374" t="s">
        <v>1000</v>
      </c>
      <c r="I374" t="str">
        <f t="shared" si="57"/>
        <v>Mr. Clarke Charles</v>
      </c>
      <c r="J374" t="s">
        <v>20</v>
      </c>
      <c r="K374" t="str">
        <f t="shared" si="58"/>
        <v>Male</v>
      </c>
      <c r="L374">
        <v>29</v>
      </c>
      <c r="O374">
        <f t="shared" si="59"/>
        <v>29</v>
      </c>
      <c r="P374">
        <v>1</v>
      </c>
      <c r="R374" s="4">
        <v>0</v>
      </c>
      <c r="T374" s="5">
        <v>26</v>
      </c>
      <c r="W374" s="4">
        <v>29</v>
      </c>
      <c r="X374" s="4" t="str">
        <f t="shared" si="60"/>
        <v>Young Adult</v>
      </c>
      <c r="Y374" s="4" t="s">
        <v>3561</v>
      </c>
      <c r="AB374" s="4" t="str">
        <f t="shared" si="61"/>
        <v/>
      </c>
      <c r="AC374" s="4" t="str">
        <f t="shared" si="62"/>
        <v>Unknown</v>
      </c>
      <c r="AD374" s="4" t="s">
        <v>457</v>
      </c>
      <c r="AG374" s="4" t="str">
        <f t="shared" si="63"/>
        <v>Not Applicable</v>
      </c>
      <c r="AK374" s="4" t="s">
        <v>3573</v>
      </c>
      <c r="AL374" s="4" t="str">
        <f t="shared" si="64"/>
        <v>Found</v>
      </c>
      <c r="AN374" s="6">
        <v>26</v>
      </c>
      <c r="AO374" s="4" t="str">
        <f t="shared" si="65"/>
        <v>Mid</v>
      </c>
    </row>
    <row r="375" spans="1:41">
      <c r="A375">
        <v>2</v>
      </c>
      <c r="B375" t="str">
        <f t="shared" si="55"/>
        <v>Second Class</v>
      </c>
      <c r="C375">
        <v>1</v>
      </c>
      <c r="E375" t="str">
        <f t="shared" si="56"/>
        <v>Survived</v>
      </c>
      <c r="F375" t="s">
        <v>1313</v>
      </c>
      <c r="G375" t="s">
        <v>849</v>
      </c>
      <c r="H375" t="s">
        <v>1000</v>
      </c>
      <c r="I375" t="str">
        <f t="shared" si="57"/>
        <v>Mrs. Clarke Charles</v>
      </c>
      <c r="J375" t="s">
        <v>47</v>
      </c>
      <c r="K375" t="str">
        <f t="shared" si="58"/>
        <v>Female</v>
      </c>
      <c r="L375">
        <v>28</v>
      </c>
      <c r="O375">
        <f t="shared" si="59"/>
        <v>28</v>
      </c>
      <c r="P375">
        <v>1</v>
      </c>
      <c r="R375" s="4">
        <v>0</v>
      </c>
      <c r="T375" s="5">
        <v>26</v>
      </c>
      <c r="W375" s="4">
        <v>28</v>
      </c>
      <c r="X375" s="4" t="str">
        <f t="shared" si="60"/>
        <v>Young Adult</v>
      </c>
      <c r="Y375" s="4" t="s">
        <v>3561</v>
      </c>
      <c r="AB375" s="4" t="str">
        <f t="shared" si="61"/>
        <v/>
      </c>
      <c r="AC375" s="4" t="str">
        <f t="shared" si="62"/>
        <v>Unknown</v>
      </c>
      <c r="AD375" s="4" t="s">
        <v>457</v>
      </c>
      <c r="AF375" s="4">
        <v>14</v>
      </c>
      <c r="AG375" s="4">
        <f t="shared" si="63"/>
        <v>14</v>
      </c>
      <c r="AK375" s="4" t="s">
        <v>3573</v>
      </c>
      <c r="AL375" s="4" t="str">
        <f t="shared" si="64"/>
        <v>Found</v>
      </c>
      <c r="AN375" s="6">
        <v>26</v>
      </c>
      <c r="AO375" s="4" t="str">
        <f t="shared" si="65"/>
        <v>Mid</v>
      </c>
    </row>
    <row r="376" spans="1:41">
      <c r="A376">
        <v>2</v>
      </c>
      <c r="B376" t="str">
        <f t="shared" si="55"/>
        <v>Second Class</v>
      </c>
      <c r="C376">
        <v>0</v>
      </c>
      <c r="E376" t="str">
        <f t="shared" si="56"/>
        <v>Died</v>
      </c>
      <c r="F376" t="s">
        <v>1314</v>
      </c>
      <c r="G376" t="s">
        <v>848</v>
      </c>
      <c r="H376" t="s">
        <v>1300</v>
      </c>
      <c r="I376" t="str">
        <f t="shared" si="57"/>
        <v>Mr. Coleridge Reginald</v>
      </c>
      <c r="J376" t="s">
        <v>20</v>
      </c>
      <c r="K376" t="str">
        <f t="shared" si="58"/>
        <v>Male</v>
      </c>
      <c r="L376">
        <v>29</v>
      </c>
      <c r="O376">
        <f t="shared" si="59"/>
        <v>29</v>
      </c>
      <c r="P376">
        <v>0</v>
      </c>
      <c r="R376" s="4">
        <v>0</v>
      </c>
      <c r="T376" s="5">
        <v>10.5</v>
      </c>
      <c r="W376" s="4">
        <v>29</v>
      </c>
      <c r="X376" s="4" t="str">
        <f t="shared" si="60"/>
        <v>Young Adult</v>
      </c>
      <c r="Y376" s="4" t="s">
        <v>3561</v>
      </c>
      <c r="AB376" s="4" t="str">
        <f t="shared" si="61"/>
        <v/>
      </c>
      <c r="AC376" s="4" t="str">
        <f t="shared" si="62"/>
        <v>Unknown</v>
      </c>
      <c r="AD376" s="4" t="s">
        <v>457</v>
      </c>
      <c r="AG376" s="4" t="str">
        <f t="shared" si="63"/>
        <v>Not Applicable</v>
      </c>
      <c r="AK376" s="4" t="s">
        <v>3573</v>
      </c>
      <c r="AL376" s="4" t="str">
        <f t="shared" si="64"/>
        <v>Found</v>
      </c>
      <c r="AN376" s="6">
        <v>10.5</v>
      </c>
      <c r="AO376" s="4" t="str">
        <f t="shared" si="65"/>
        <v>Mid</v>
      </c>
    </row>
    <row r="377" spans="1:41">
      <c r="A377">
        <v>2</v>
      </c>
      <c r="B377" t="str">
        <f t="shared" si="55"/>
        <v>Second Class</v>
      </c>
      <c r="C377">
        <v>0</v>
      </c>
      <c r="E377" t="str">
        <f t="shared" si="56"/>
        <v>Died</v>
      </c>
      <c r="F377" t="s">
        <v>1315</v>
      </c>
      <c r="G377" t="s">
        <v>848</v>
      </c>
      <c r="H377" t="s">
        <v>1101</v>
      </c>
      <c r="I377" t="str">
        <f t="shared" si="57"/>
        <v>Mr. Collander Erik</v>
      </c>
      <c r="J377" t="s">
        <v>20</v>
      </c>
      <c r="K377" t="str">
        <f t="shared" si="58"/>
        <v>Male</v>
      </c>
      <c r="L377">
        <v>28</v>
      </c>
      <c r="O377">
        <f t="shared" si="59"/>
        <v>28</v>
      </c>
      <c r="P377">
        <v>0</v>
      </c>
      <c r="R377" s="4">
        <v>0</v>
      </c>
      <c r="T377" s="5">
        <v>13</v>
      </c>
      <c r="W377" s="4">
        <v>28</v>
      </c>
      <c r="X377" s="4" t="str">
        <f t="shared" si="60"/>
        <v>Young Adult</v>
      </c>
      <c r="Y377" s="4" t="s">
        <v>3561</v>
      </c>
      <c r="AB377" s="4" t="str">
        <f t="shared" si="61"/>
        <v/>
      </c>
      <c r="AC377" s="4" t="str">
        <f t="shared" si="62"/>
        <v>Unknown</v>
      </c>
      <c r="AD377" s="4" t="s">
        <v>457</v>
      </c>
      <c r="AG377" s="4" t="str">
        <f t="shared" si="63"/>
        <v>Not Applicable</v>
      </c>
      <c r="AK377" s="4" t="s">
        <v>3573</v>
      </c>
      <c r="AL377" s="4" t="str">
        <f t="shared" si="64"/>
        <v>Found</v>
      </c>
      <c r="AN377" s="6">
        <v>13</v>
      </c>
      <c r="AO377" s="4" t="str">
        <f t="shared" si="65"/>
        <v>Mid</v>
      </c>
    </row>
    <row r="378" spans="1:41">
      <c r="A378">
        <v>2</v>
      </c>
      <c r="B378" t="str">
        <f t="shared" si="55"/>
        <v>Second Class</v>
      </c>
      <c r="C378">
        <v>1</v>
      </c>
      <c r="E378" t="str">
        <f t="shared" si="56"/>
        <v>Survived</v>
      </c>
      <c r="F378" t="s">
        <v>1316</v>
      </c>
      <c r="G378" t="s">
        <v>848</v>
      </c>
      <c r="H378" t="s">
        <v>1317</v>
      </c>
      <c r="I378" t="str">
        <f t="shared" si="57"/>
        <v>Mr. Collett Sidney</v>
      </c>
      <c r="J378" t="s">
        <v>20</v>
      </c>
      <c r="K378" t="str">
        <f t="shared" si="58"/>
        <v>Male</v>
      </c>
      <c r="L378">
        <v>24</v>
      </c>
      <c r="O378">
        <f t="shared" si="59"/>
        <v>24</v>
      </c>
      <c r="P378">
        <v>0</v>
      </c>
      <c r="R378" s="4">
        <v>0</v>
      </c>
      <c r="T378" s="5">
        <v>10.5</v>
      </c>
      <c r="W378" s="4">
        <v>24</v>
      </c>
      <c r="X378" s="4" t="str">
        <f t="shared" si="60"/>
        <v>Young Adult</v>
      </c>
      <c r="Y378" s="4" t="s">
        <v>3561</v>
      </c>
      <c r="AB378" s="4" t="str">
        <f t="shared" si="61"/>
        <v/>
      </c>
      <c r="AC378" s="4" t="str">
        <f t="shared" si="62"/>
        <v>Unknown</v>
      </c>
      <c r="AD378" s="4" t="s">
        <v>457</v>
      </c>
      <c r="AF378" s="4">
        <v>9</v>
      </c>
      <c r="AG378" s="4">
        <f t="shared" si="63"/>
        <v>9</v>
      </c>
      <c r="AK378" s="4" t="s">
        <v>3573</v>
      </c>
      <c r="AL378" s="4" t="str">
        <f t="shared" si="64"/>
        <v>Found</v>
      </c>
      <c r="AN378" s="6">
        <v>10.5</v>
      </c>
      <c r="AO378" s="4" t="str">
        <f t="shared" si="65"/>
        <v>Mid</v>
      </c>
    </row>
    <row r="379" spans="1:41">
      <c r="A379">
        <v>2</v>
      </c>
      <c r="B379" t="str">
        <f t="shared" si="55"/>
        <v>Second Class</v>
      </c>
      <c r="C379">
        <v>1</v>
      </c>
      <c r="E379" t="str">
        <f t="shared" si="56"/>
        <v>Survived</v>
      </c>
      <c r="F379" t="s">
        <v>1318</v>
      </c>
      <c r="G379" t="s">
        <v>842</v>
      </c>
      <c r="H379" t="s">
        <v>1147</v>
      </c>
      <c r="I379" t="str">
        <f t="shared" si="57"/>
        <v>Miss. Collyer Marjorie</v>
      </c>
      <c r="J379" t="s">
        <v>47</v>
      </c>
      <c r="K379" t="str">
        <f t="shared" si="58"/>
        <v>Female</v>
      </c>
      <c r="L379">
        <v>8</v>
      </c>
      <c r="O379">
        <f t="shared" si="59"/>
        <v>8</v>
      </c>
      <c r="P379">
        <v>0</v>
      </c>
      <c r="R379" s="4">
        <v>2</v>
      </c>
      <c r="T379" s="5">
        <v>26.25</v>
      </c>
      <c r="W379" s="4">
        <v>8</v>
      </c>
      <c r="X379" s="4" t="str">
        <f t="shared" si="60"/>
        <v>Child</v>
      </c>
      <c r="Y379" s="4" t="s">
        <v>3561</v>
      </c>
      <c r="AB379" s="4" t="str">
        <f t="shared" si="61"/>
        <v/>
      </c>
      <c r="AC379" s="4" t="str">
        <f t="shared" si="62"/>
        <v>Unknown</v>
      </c>
      <c r="AD379" s="4" t="s">
        <v>457</v>
      </c>
      <c r="AF379" s="4">
        <v>14</v>
      </c>
      <c r="AG379" s="4">
        <f t="shared" si="63"/>
        <v>14</v>
      </c>
      <c r="AK379" s="4" t="s">
        <v>3573</v>
      </c>
      <c r="AL379" s="4" t="str">
        <f t="shared" si="64"/>
        <v>Found</v>
      </c>
      <c r="AN379" s="6">
        <v>26.25</v>
      </c>
      <c r="AO379" s="4" t="str">
        <f t="shared" si="65"/>
        <v>Mid</v>
      </c>
    </row>
    <row r="380" spans="1:41">
      <c r="A380">
        <v>2</v>
      </c>
      <c r="B380" t="str">
        <f t="shared" si="55"/>
        <v>Second Class</v>
      </c>
      <c r="C380">
        <v>0</v>
      </c>
      <c r="E380" t="str">
        <f t="shared" si="56"/>
        <v>Died</v>
      </c>
      <c r="F380" t="s">
        <v>1318</v>
      </c>
      <c r="G380" t="s">
        <v>848</v>
      </c>
      <c r="H380" t="s">
        <v>1319</v>
      </c>
      <c r="I380" t="str">
        <f t="shared" si="57"/>
        <v>Mr. Collyer Harvey</v>
      </c>
      <c r="J380" t="s">
        <v>20</v>
      </c>
      <c r="K380" t="str">
        <f t="shared" si="58"/>
        <v>Male</v>
      </c>
      <c r="L380">
        <v>31</v>
      </c>
      <c r="O380">
        <f t="shared" si="59"/>
        <v>31</v>
      </c>
      <c r="P380">
        <v>1</v>
      </c>
      <c r="R380" s="4">
        <v>1</v>
      </c>
      <c r="T380" s="5">
        <v>26.25</v>
      </c>
      <c r="W380" s="4">
        <v>31</v>
      </c>
      <c r="X380" s="4" t="str">
        <f t="shared" si="60"/>
        <v>Adult</v>
      </c>
      <c r="Y380" s="4" t="s">
        <v>3561</v>
      </c>
      <c r="AB380" s="4" t="str">
        <f t="shared" si="61"/>
        <v/>
      </c>
      <c r="AC380" s="4" t="str">
        <f t="shared" si="62"/>
        <v>Unknown</v>
      </c>
      <c r="AD380" s="4" t="s">
        <v>457</v>
      </c>
      <c r="AG380" s="4" t="str">
        <f t="shared" si="63"/>
        <v>Not Applicable</v>
      </c>
      <c r="AK380" s="4" t="s">
        <v>3573</v>
      </c>
      <c r="AL380" s="4" t="str">
        <f t="shared" si="64"/>
        <v>Found</v>
      </c>
      <c r="AN380" s="6">
        <v>26.25</v>
      </c>
      <c r="AO380" s="4" t="str">
        <f t="shared" si="65"/>
        <v>Mid</v>
      </c>
    </row>
    <row r="381" spans="1:41">
      <c r="A381">
        <v>2</v>
      </c>
      <c r="B381" t="str">
        <f t="shared" si="55"/>
        <v>Second Class</v>
      </c>
      <c r="C381">
        <v>1</v>
      </c>
      <c r="E381" t="str">
        <f t="shared" si="56"/>
        <v>Survived</v>
      </c>
      <c r="F381" t="s">
        <v>1318</v>
      </c>
      <c r="G381" t="s">
        <v>849</v>
      </c>
      <c r="H381" t="s">
        <v>1319</v>
      </c>
      <c r="I381" t="str">
        <f t="shared" si="57"/>
        <v>Mrs. Collyer Harvey</v>
      </c>
      <c r="J381" t="s">
        <v>47</v>
      </c>
      <c r="K381" t="str">
        <f t="shared" si="58"/>
        <v>Female</v>
      </c>
      <c r="L381">
        <v>31</v>
      </c>
      <c r="O381">
        <f t="shared" si="59"/>
        <v>31</v>
      </c>
      <c r="P381">
        <v>1</v>
      </c>
      <c r="R381" s="4">
        <v>1</v>
      </c>
      <c r="T381" s="5">
        <v>26.25</v>
      </c>
      <c r="W381" s="4">
        <v>31</v>
      </c>
      <c r="X381" s="4" t="str">
        <f t="shared" si="60"/>
        <v>Adult</v>
      </c>
      <c r="Y381" s="4" t="s">
        <v>3561</v>
      </c>
      <c r="AB381" s="4" t="str">
        <f t="shared" si="61"/>
        <v/>
      </c>
      <c r="AC381" s="4" t="str">
        <f t="shared" si="62"/>
        <v>Unknown</v>
      </c>
      <c r="AD381" s="4" t="s">
        <v>457</v>
      </c>
      <c r="AF381" s="4">
        <v>14</v>
      </c>
      <c r="AG381" s="4">
        <f t="shared" si="63"/>
        <v>14</v>
      </c>
      <c r="AK381" s="4" t="s">
        <v>3573</v>
      </c>
      <c r="AL381" s="4" t="str">
        <f t="shared" si="64"/>
        <v>Found</v>
      </c>
      <c r="AN381" s="6">
        <v>26.25</v>
      </c>
      <c r="AO381" s="4" t="str">
        <f t="shared" si="65"/>
        <v>Mid</v>
      </c>
    </row>
    <row r="382" spans="1:41">
      <c r="A382">
        <v>2</v>
      </c>
      <c r="B382" t="str">
        <f t="shared" si="55"/>
        <v>Second Class</v>
      </c>
      <c r="C382">
        <v>1</v>
      </c>
      <c r="E382" t="str">
        <f t="shared" si="56"/>
        <v>Survived</v>
      </c>
      <c r="F382" t="s">
        <v>1320</v>
      </c>
      <c r="G382" t="s">
        <v>849</v>
      </c>
      <c r="H382" t="s">
        <v>1321</v>
      </c>
      <c r="I382" t="str">
        <f t="shared" si="57"/>
        <v>Mrs. Cook (Selena</v>
      </c>
      <c r="J382" t="s">
        <v>47</v>
      </c>
      <c r="K382" t="str">
        <f t="shared" si="58"/>
        <v>Female</v>
      </c>
      <c r="L382">
        <v>22</v>
      </c>
      <c r="O382">
        <f t="shared" si="59"/>
        <v>22</v>
      </c>
      <c r="P382">
        <v>0</v>
      </c>
      <c r="R382" s="4">
        <v>0</v>
      </c>
      <c r="T382" s="5">
        <v>10.5</v>
      </c>
      <c r="W382" s="4">
        <v>22</v>
      </c>
      <c r="X382" s="4" t="str">
        <f t="shared" si="60"/>
        <v>Young Adult</v>
      </c>
      <c r="Y382" s="4" t="s">
        <v>422</v>
      </c>
      <c r="AA382" s="4" t="s">
        <v>422</v>
      </c>
      <c r="AB382" s="4" t="str">
        <f t="shared" si="61"/>
        <v>F</v>
      </c>
      <c r="AC382" s="4" t="str">
        <f t="shared" si="62"/>
        <v>F</v>
      </c>
      <c r="AD382" s="4" t="s">
        <v>457</v>
      </c>
      <c r="AF382" s="4">
        <v>14</v>
      </c>
      <c r="AG382" s="4">
        <f t="shared" si="63"/>
        <v>14</v>
      </c>
      <c r="AK382" s="4" t="s">
        <v>3573</v>
      </c>
      <c r="AL382" s="4" t="str">
        <f t="shared" si="64"/>
        <v>Found</v>
      </c>
      <c r="AN382" s="6">
        <v>10.5</v>
      </c>
      <c r="AO382" s="4" t="str">
        <f t="shared" si="65"/>
        <v>Mid</v>
      </c>
    </row>
    <row r="383" spans="1:41">
      <c r="A383">
        <v>2</v>
      </c>
      <c r="B383" t="str">
        <f t="shared" si="55"/>
        <v>Second Class</v>
      </c>
      <c r="C383">
        <v>0</v>
      </c>
      <c r="E383" t="str">
        <f t="shared" si="56"/>
        <v>Died</v>
      </c>
      <c r="F383" t="s">
        <v>1322</v>
      </c>
      <c r="G383" t="s">
        <v>849</v>
      </c>
      <c r="H383" t="s">
        <v>970</v>
      </c>
      <c r="I383" t="str">
        <f t="shared" si="57"/>
        <v>Mrs. Corbett Walter</v>
      </c>
      <c r="J383" t="s">
        <v>47</v>
      </c>
      <c r="K383" t="str">
        <f t="shared" si="58"/>
        <v>Female</v>
      </c>
      <c r="L383">
        <v>30</v>
      </c>
      <c r="O383">
        <f t="shared" si="59"/>
        <v>30</v>
      </c>
      <c r="P383">
        <v>0</v>
      </c>
      <c r="R383" s="4">
        <v>0</v>
      </c>
      <c r="T383" s="5">
        <v>13</v>
      </c>
      <c r="W383" s="4">
        <v>30</v>
      </c>
      <c r="X383" s="4" t="str">
        <f t="shared" si="60"/>
        <v>Adult</v>
      </c>
      <c r="Y383" s="4" t="s">
        <v>3561</v>
      </c>
      <c r="AB383" s="4" t="str">
        <f t="shared" si="61"/>
        <v/>
      </c>
      <c r="AC383" s="4" t="str">
        <f t="shared" si="62"/>
        <v>Unknown</v>
      </c>
      <c r="AD383" s="4" t="s">
        <v>457</v>
      </c>
      <c r="AG383" s="4" t="str">
        <f t="shared" si="63"/>
        <v>Not Applicable</v>
      </c>
      <c r="AK383" s="4" t="s">
        <v>3573</v>
      </c>
      <c r="AL383" s="4" t="str">
        <f t="shared" si="64"/>
        <v>Found</v>
      </c>
      <c r="AN383" s="6">
        <v>13</v>
      </c>
      <c r="AO383" s="4" t="str">
        <f t="shared" si="65"/>
        <v>Mid</v>
      </c>
    </row>
    <row r="384" spans="1:41">
      <c r="A384">
        <v>2</v>
      </c>
      <c r="B384" t="str">
        <f t="shared" si="55"/>
        <v>Second Class</v>
      </c>
      <c r="C384">
        <v>0</v>
      </c>
      <c r="E384" t="str">
        <f t="shared" si="56"/>
        <v>Died</v>
      </c>
      <c r="F384" t="s">
        <v>1323</v>
      </c>
      <c r="G384" t="s">
        <v>849</v>
      </c>
      <c r="H384" t="s">
        <v>1271</v>
      </c>
      <c r="I384" t="str">
        <f t="shared" si="57"/>
        <v>Mrs. Corey Percy</v>
      </c>
      <c r="J384" t="s">
        <v>47</v>
      </c>
      <c r="K384" t="str">
        <f t="shared" si="58"/>
        <v>Female</v>
      </c>
      <c r="L384">
        <v>28</v>
      </c>
      <c r="O384">
        <f t="shared" si="59"/>
        <v>28</v>
      </c>
      <c r="P384">
        <v>0</v>
      </c>
      <c r="R384" s="4">
        <v>0</v>
      </c>
      <c r="T384" s="5">
        <v>21</v>
      </c>
      <c r="W384" s="4">
        <v>28</v>
      </c>
      <c r="X384" s="4" t="str">
        <f t="shared" si="60"/>
        <v>Young Adult</v>
      </c>
      <c r="Y384" s="4" t="s">
        <v>3561</v>
      </c>
      <c r="AB384" s="4" t="str">
        <f t="shared" si="61"/>
        <v/>
      </c>
      <c r="AC384" s="4" t="str">
        <f t="shared" si="62"/>
        <v>Unknown</v>
      </c>
      <c r="AD384" s="4" t="s">
        <v>457</v>
      </c>
      <c r="AG384" s="4" t="str">
        <f t="shared" si="63"/>
        <v>Not Applicable</v>
      </c>
      <c r="AK384" s="4" t="s">
        <v>3573</v>
      </c>
      <c r="AL384" s="4" t="str">
        <f t="shared" si="64"/>
        <v>Found</v>
      </c>
      <c r="AN384" s="6">
        <v>21</v>
      </c>
      <c r="AO384" s="4" t="str">
        <f t="shared" si="65"/>
        <v>Mid</v>
      </c>
    </row>
    <row r="385" spans="1:41">
      <c r="A385">
        <v>2</v>
      </c>
      <c r="B385" t="str">
        <f t="shared" si="55"/>
        <v>Second Class</v>
      </c>
      <c r="C385">
        <v>0</v>
      </c>
      <c r="E385" t="str">
        <f t="shared" si="56"/>
        <v>Died</v>
      </c>
      <c r="F385" t="s">
        <v>1325</v>
      </c>
      <c r="G385" t="s">
        <v>848</v>
      </c>
      <c r="H385" t="s">
        <v>872</v>
      </c>
      <c r="I385" t="str">
        <f t="shared" si="57"/>
        <v>Mr. Cotterill Henry</v>
      </c>
      <c r="J385" t="s">
        <v>20</v>
      </c>
      <c r="K385" t="str">
        <f t="shared" si="58"/>
        <v>Male</v>
      </c>
      <c r="L385">
        <v>21</v>
      </c>
      <c r="O385">
        <f t="shared" si="59"/>
        <v>21</v>
      </c>
      <c r="P385">
        <v>0</v>
      </c>
      <c r="R385" s="4">
        <v>0</v>
      </c>
      <c r="T385" s="5">
        <v>11.5</v>
      </c>
      <c r="W385" s="4">
        <v>21</v>
      </c>
      <c r="X385" s="4" t="str">
        <f t="shared" si="60"/>
        <v>Young Adult</v>
      </c>
      <c r="Y385" s="4" t="s">
        <v>3561</v>
      </c>
      <c r="AB385" s="4" t="str">
        <f t="shared" si="61"/>
        <v/>
      </c>
      <c r="AC385" s="4" t="str">
        <f t="shared" si="62"/>
        <v>Unknown</v>
      </c>
      <c r="AD385" s="4" t="s">
        <v>457</v>
      </c>
      <c r="AG385" s="4" t="str">
        <f t="shared" si="63"/>
        <v>Not Applicable</v>
      </c>
      <c r="AK385" s="4" t="s">
        <v>3573</v>
      </c>
      <c r="AL385" s="4" t="str">
        <f t="shared" si="64"/>
        <v>Found</v>
      </c>
      <c r="AN385" s="6">
        <v>11.5</v>
      </c>
      <c r="AO385" s="4" t="str">
        <f t="shared" si="65"/>
        <v>Mid</v>
      </c>
    </row>
    <row r="386" spans="1:41">
      <c r="A386">
        <v>2</v>
      </c>
      <c r="B386" t="str">
        <f t="shared" si="55"/>
        <v>Second Class</v>
      </c>
      <c r="C386">
        <v>0</v>
      </c>
      <c r="E386" t="str">
        <f t="shared" si="56"/>
        <v>Died</v>
      </c>
      <c r="F386" t="s">
        <v>1326</v>
      </c>
      <c r="G386" t="s">
        <v>848</v>
      </c>
      <c r="H386" t="s">
        <v>1015</v>
      </c>
      <c r="I386" t="str">
        <f t="shared" si="57"/>
        <v>Mr. Cunningham Alfred</v>
      </c>
      <c r="J386" t="s">
        <v>20</v>
      </c>
      <c r="K386" t="str">
        <f t="shared" si="58"/>
        <v>Male</v>
      </c>
      <c r="L386">
        <v>28</v>
      </c>
      <c r="O386">
        <f t="shared" si="59"/>
        <v>28</v>
      </c>
      <c r="P386">
        <v>0</v>
      </c>
      <c r="R386" s="4">
        <v>0</v>
      </c>
      <c r="T386" s="5">
        <v>0</v>
      </c>
      <c r="W386" s="4">
        <v>28</v>
      </c>
      <c r="X386" s="4" t="str">
        <f t="shared" si="60"/>
        <v>Young Adult</v>
      </c>
      <c r="Y386" s="4" t="s">
        <v>3561</v>
      </c>
      <c r="AB386" s="4" t="str">
        <f t="shared" si="61"/>
        <v/>
      </c>
      <c r="AC386" s="4" t="str">
        <f t="shared" si="62"/>
        <v>Unknown</v>
      </c>
      <c r="AD386" s="4" t="s">
        <v>457</v>
      </c>
      <c r="AG386" s="4" t="str">
        <f t="shared" si="63"/>
        <v>Not Applicable</v>
      </c>
      <c r="AK386" s="4" t="s">
        <v>3573</v>
      </c>
      <c r="AL386" s="4" t="str">
        <f t="shared" si="64"/>
        <v>Found</v>
      </c>
      <c r="AN386" s="6">
        <v>0</v>
      </c>
      <c r="AO386" s="4" t="str">
        <f t="shared" si="65"/>
        <v>Low</v>
      </c>
    </row>
    <row r="387" spans="1:41">
      <c r="A387">
        <v>2</v>
      </c>
      <c r="B387" t="str">
        <f t="shared" ref="B387:B450" si="66">IF(A387=1,"First Class",IF(A387=2,"Second Class",IF(A387=3,"Third Class"," ")))</f>
        <v>Second Class</v>
      </c>
      <c r="C387">
        <v>1</v>
      </c>
      <c r="E387" t="str">
        <f t="shared" ref="E387:E450" si="67">IF(C387=1,"Survived",IF(C387=0,"Died"))</f>
        <v>Survived</v>
      </c>
      <c r="F387" t="s">
        <v>1327</v>
      </c>
      <c r="G387" t="s">
        <v>845</v>
      </c>
      <c r="H387" t="s">
        <v>862</v>
      </c>
      <c r="I387" t="str">
        <f t="shared" ref="I387:I450" si="68">_xlfn.CONCAT(G387," ",F387," ",H387)</f>
        <v>Master. Davies John</v>
      </c>
      <c r="J387" t="s">
        <v>20</v>
      </c>
      <c r="K387" t="str">
        <f t="shared" ref="K387:K450" si="69">PROPER(J387)</f>
        <v>Male</v>
      </c>
      <c r="L387">
        <v>8</v>
      </c>
      <c r="O387">
        <f t="shared" ref="O387:O450" si="70">IF(L387&lt;1,1,ROUND(L387,0))</f>
        <v>8</v>
      </c>
      <c r="P387">
        <v>1</v>
      </c>
      <c r="R387" s="4">
        <v>1</v>
      </c>
      <c r="T387" s="5">
        <v>36.75</v>
      </c>
      <c r="W387" s="4">
        <v>8</v>
      </c>
      <c r="X387" s="4" t="str">
        <f t="shared" ref="X387:X450" si="71">IF(W387&lt;10,"Child",IF(W387&lt;18,"Teenager",IF(W387&lt;30,"Young Adult",IF(W387&lt;60,"Adult","Old Adult"))))</f>
        <v>Child</v>
      </c>
      <c r="Y387" s="4" t="s">
        <v>3561</v>
      </c>
      <c r="AB387" s="4" t="str">
        <f t="shared" ref="AB387:AB450" si="72">LEFT(AA387,1)</f>
        <v/>
      </c>
      <c r="AC387" s="4" t="str">
        <f t="shared" ref="AC387:AC450" si="73">IF(AB387="","Unknown",LEFT(AB387,1))</f>
        <v>Unknown</v>
      </c>
      <c r="AD387" s="4" t="s">
        <v>457</v>
      </c>
      <c r="AF387" s="4">
        <v>14</v>
      </c>
      <c r="AG387" s="4">
        <f t="shared" ref="AG387:AG450" si="74">IF(AF387="",IF(E387=1,"Unknown","Not Applicable"),AF387)</f>
        <v>14</v>
      </c>
      <c r="AK387" s="4" t="s">
        <v>3573</v>
      </c>
      <c r="AL387" s="4" t="str">
        <f t="shared" ref="AL387:AL450" si="75">IF(AK387="","Not Found","Found")</f>
        <v>Found</v>
      </c>
      <c r="AN387" s="6">
        <v>36.75</v>
      </c>
      <c r="AO387" s="4" t="str">
        <f t="shared" ref="AO387:AO450" si="76">IF(AN387&lt;=10,"Low",IF(AN387&lt;=50,"Mid","High"))</f>
        <v>Mid</v>
      </c>
    </row>
    <row r="388" spans="1:41">
      <c r="A388">
        <v>2</v>
      </c>
      <c r="B388" t="str">
        <f t="shared" si="66"/>
        <v>Second Class</v>
      </c>
      <c r="C388">
        <v>0</v>
      </c>
      <c r="E388" t="str">
        <f t="shared" si="67"/>
        <v>Died</v>
      </c>
      <c r="F388" t="s">
        <v>1327</v>
      </c>
      <c r="G388" t="s">
        <v>848</v>
      </c>
      <c r="H388" t="s">
        <v>1000</v>
      </c>
      <c r="I388" t="str">
        <f t="shared" si="68"/>
        <v>Mr. Davies Charles</v>
      </c>
      <c r="J388" t="s">
        <v>20</v>
      </c>
      <c r="K388" t="str">
        <f t="shared" si="69"/>
        <v>Male</v>
      </c>
      <c r="L388">
        <v>18</v>
      </c>
      <c r="O388">
        <f t="shared" si="70"/>
        <v>18</v>
      </c>
      <c r="P388">
        <v>0</v>
      </c>
      <c r="R388" s="4">
        <v>0</v>
      </c>
      <c r="T388" s="5">
        <v>73.5</v>
      </c>
      <c r="W388" s="4">
        <v>18</v>
      </c>
      <c r="X388" s="4" t="str">
        <f t="shared" si="71"/>
        <v>Young Adult</v>
      </c>
      <c r="Y388" s="4" t="s">
        <v>3561</v>
      </c>
      <c r="AB388" s="4" t="str">
        <f t="shared" si="72"/>
        <v/>
      </c>
      <c r="AC388" s="4" t="str">
        <f t="shared" si="73"/>
        <v>Unknown</v>
      </c>
      <c r="AD388" s="4" t="s">
        <v>457</v>
      </c>
      <c r="AG388" s="4" t="str">
        <f t="shared" si="74"/>
        <v>Not Applicable</v>
      </c>
      <c r="AK388" s="4" t="s">
        <v>3573</v>
      </c>
      <c r="AL388" s="4" t="str">
        <f t="shared" si="75"/>
        <v>Found</v>
      </c>
      <c r="AN388" s="6">
        <v>73.5</v>
      </c>
      <c r="AO388" s="4" t="str">
        <f t="shared" si="76"/>
        <v>High</v>
      </c>
    </row>
    <row r="389" spans="1:41">
      <c r="A389">
        <v>2</v>
      </c>
      <c r="B389" t="str">
        <f t="shared" si="66"/>
        <v>Second Class</v>
      </c>
      <c r="C389">
        <v>1</v>
      </c>
      <c r="E389" t="str">
        <f t="shared" si="67"/>
        <v>Survived</v>
      </c>
      <c r="F389" t="s">
        <v>1327</v>
      </c>
      <c r="G389" t="s">
        <v>849</v>
      </c>
      <c r="H389" t="s">
        <v>862</v>
      </c>
      <c r="I389" t="str">
        <f t="shared" si="68"/>
        <v>Mrs. Davies John</v>
      </c>
      <c r="J389" t="s">
        <v>47</v>
      </c>
      <c r="K389" t="str">
        <f t="shared" si="69"/>
        <v>Female</v>
      </c>
      <c r="L389">
        <v>48</v>
      </c>
      <c r="O389">
        <f t="shared" si="70"/>
        <v>48</v>
      </c>
      <c r="P389">
        <v>0</v>
      </c>
      <c r="R389" s="4">
        <v>2</v>
      </c>
      <c r="T389" s="5">
        <v>36.75</v>
      </c>
      <c r="W389" s="4">
        <v>48</v>
      </c>
      <c r="X389" s="4" t="str">
        <f t="shared" si="71"/>
        <v>Adult</v>
      </c>
      <c r="Y389" s="4" t="s">
        <v>3561</v>
      </c>
      <c r="AB389" s="4" t="str">
        <f t="shared" si="72"/>
        <v/>
      </c>
      <c r="AC389" s="4" t="str">
        <f t="shared" si="73"/>
        <v>Unknown</v>
      </c>
      <c r="AD389" s="4" t="s">
        <v>457</v>
      </c>
      <c r="AF389" s="4">
        <v>14</v>
      </c>
      <c r="AG389" s="4">
        <f t="shared" si="74"/>
        <v>14</v>
      </c>
      <c r="AK389" s="4" t="s">
        <v>3573</v>
      </c>
      <c r="AL389" s="4" t="str">
        <f t="shared" si="75"/>
        <v>Found</v>
      </c>
      <c r="AN389" s="6">
        <v>36.75</v>
      </c>
      <c r="AO389" s="4" t="str">
        <f t="shared" si="76"/>
        <v>Mid</v>
      </c>
    </row>
    <row r="390" spans="1:41">
      <c r="A390">
        <v>2</v>
      </c>
      <c r="B390" t="str">
        <f t="shared" si="66"/>
        <v>Second Class</v>
      </c>
      <c r="C390">
        <v>1</v>
      </c>
      <c r="E390" t="str">
        <f t="shared" si="67"/>
        <v>Survived</v>
      </c>
      <c r="F390" t="s">
        <v>1136</v>
      </c>
      <c r="G390" t="s">
        <v>842</v>
      </c>
      <c r="H390" t="s">
        <v>1107</v>
      </c>
      <c r="I390" t="str">
        <f t="shared" si="68"/>
        <v>Miss. Davis Mary</v>
      </c>
      <c r="J390" t="s">
        <v>47</v>
      </c>
      <c r="K390" t="str">
        <f t="shared" si="69"/>
        <v>Female</v>
      </c>
      <c r="L390">
        <v>28</v>
      </c>
      <c r="O390">
        <f t="shared" si="70"/>
        <v>28</v>
      </c>
      <c r="P390">
        <v>0</v>
      </c>
      <c r="R390" s="4">
        <v>0</v>
      </c>
      <c r="T390" s="5">
        <v>13</v>
      </c>
      <c r="W390" s="4">
        <v>28</v>
      </c>
      <c r="X390" s="4" t="str">
        <f t="shared" si="71"/>
        <v>Young Adult</v>
      </c>
      <c r="Y390" s="4" t="s">
        <v>3561</v>
      </c>
      <c r="AB390" s="4" t="str">
        <f t="shared" si="72"/>
        <v/>
      </c>
      <c r="AC390" s="4" t="str">
        <f t="shared" si="73"/>
        <v>Unknown</v>
      </c>
      <c r="AD390" s="4" t="s">
        <v>457</v>
      </c>
      <c r="AF390" s="4">
        <v>13</v>
      </c>
      <c r="AG390" s="4">
        <f t="shared" si="74"/>
        <v>13</v>
      </c>
      <c r="AK390" s="4" t="s">
        <v>3573</v>
      </c>
      <c r="AL390" s="4" t="str">
        <f t="shared" si="75"/>
        <v>Found</v>
      </c>
      <c r="AN390" s="6">
        <v>13</v>
      </c>
      <c r="AO390" s="4" t="str">
        <f t="shared" si="76"/>
        <v>Mid</v>
      </c>
    </row>
    <row r="391" spans="1:41">
      <c r="A391">
        <v>2</v>
      </c>
      <c r="B391" t="str">
        <f t="shared" si="66"/>
        <v>Second Class</v>
      </c>
      <c r="C391">
        <v>0</v>
      </c>
      <c r="E391" t="str">
        <f t="shared" si="67"/>
        <v>Died</v>
      </c>
      <c r="F391" t="s">
        <v>1127</v>
      </c>
      <c r="G391" t="s">
        <v>1328</v>
      </c>
      <c r="H391" t="s">
        <v>848</v>
      </c>
      <c r="I391" t="str">
        <f t="shared" si="68"/>
        <v>Brito de Mr.</v>
      </c>
      <c r="J391" t="s">
        <v>20</v>
      </c>
      <c r="K391" t="str">
        <f t="shared" si="69"/>
        <v>Male</v>
      </c>
      <c r="L391">
        <v>32</v>
      </c>
      <c r="O391">
        <f t="shared" si="70"/>
        <v>32</v>
      </c>
      <c r="P391">
        <v>0</v>
      </c>
      <c r="R391" s="4">
        <v>0</v>
      </c>
      <c r="T391" s="5">
        <v>13</v>
      </c>
      <c r="W391" s="4">
        <v>32</v>
      </c>
      <c r="X391" s="4" t="str">
        <f t="shared" si="71"/>
        <v>Adult</v>
      </c>
      <c r="Y391" s="4" t="s">
        <v>3561</v>
      </c>
      <c r="AB391" s="4" t="str">
        <f t="shared" si="72"/>
        <v/>
      </c>
      <c r="AC391" s="4" t="str">
        <f t="shared" si="73"/>
        <v>Unknown</v>
      </c>
      <c r="AD391" s="4" t="s">
        <v>457</v>
      </c>
      <c r="AG391" s="4" t="str">
        <f t="shared" si="74"/>
        <v>Not Applicable</v>
      </c>
      <c r="AK391" s="4" t="s">
        <v>3573</v>
      </c>
      <c r="AL391" s="4" t="str">
        <f t="shared" si="75"/>
        <v>Found</v>
      </c>
      <c r="AN391" s="6">
        <v>13</v>
      </c>
      <c r="AO391" s="4" t="str">
        <f t="shared" si="76"/>
        <v>Mid</v>
      </c>
    </row>
    <row r="392" spans="1:41">
      <c r="A392">
        <v>2</v>
      </c>
      <c r="B392" t="str">
        <f t="shared" si="66"/>
        <v>Second Class</v>
      </c>
      <c r="C392">
        <v>0</v>
      </c>
      <c r="E392" t="str">
        <f t="shared" si="67"/>
        <v>Died</v>
      </c>
      <c r="F392" t="s">
        <v>1329</v>
      </c>
      <c r="G392" t="s">
        <v>848</v>
      </c>
      <c r="H392" t="s">
        <v>1271</v>
      </c>
      <c r="I392" t="str">
        <f t="shared" si="68"/>
        <v>Mr. Deacon Percy</v>
      </c>
      <c r="J392" t="s">
        <v>20</v>
      </c>
      <c r="K392" t="str">
        <f t="shared" si="69"/>
        <v>Male</v>
      </c>
      <c r="L392">
        <v>17</v>
      </c>
      <c r="O392">
        <f t="shared" si="70"/>
        <v>17</v>
      </c>
      <c r="P392">
        <v>0</v>
      </c>
      <c r="R392" s="4">
        <v>0</v>
      </c>
      <c r="T392" s="5">
        <v>73.5</v>
      </c>
      <c r="W392" s="4">
        <v>17</v>
      </c>
      <c r="X392" s="4" t="str">
        <f t="shared" si="71"/>
        <v>Teenager</v>
      </c>
      <c r="Y392" s="4" t="s">
        <v>3561</v>
      </c>
      <c r="AB392" s="4" t="str">
        <f t="shared" si="72"/>
        <v/>
      </c>
      <c r="AC392" s="4" t="str">
        <f t="shared" si="73"/>
        <v>Unknown</v>
      </c>
      <c r="AD392" s="4" t="s">
        <v>457</v>
      </c>
      <c r="AG392" s="4" t="str">
        <f t="shared" si="74"/>
        <v>Not Applicable</v>
      </c>
      <c r="AK392" s="4" t="s">
        <v>3573</v>
      </c>
      <c r="AL392" s="4" t="str">
        <f t="shared" si="75"/>
        <v>Found</v>
      </c>
      <c r="AN392" s="6">
        <v>73.5</v>
      </c>
      <c r="AO392" s="4" t="str">
        <f t="shared" si="76"/>
        <v>High</v>
      </c>
    </row>
    <row r="393" spans="1:41">
      <c r="A393">
        <v>2</v>
      </c>
      <c r="B393" t="str">
        <f t="shared" si="66"/>
        <v>Second Class</v>
      </c>
      <c r="C393">
        <v>0</v>
      </c>
      <c r="E393" t="str">
        <f t="shared" si="67"/>
        <v>Died</v>
      </c>
      <c r="F393" t="s">
        <v>1330</v>
      </c>
      <c r="G393" t="s">
        <v>1331</v>
      </c>
      <c r="H393" t="s">
        <v>848</v>
      </c>
      <c r="I393" t="str">
        <f t="shared" si="68"/>
        <v>Carlo del Mr.</v>
      </c>
      <c r="J393" t="s">
        <v>20</v>
      </c>
      <c r="K393" t="str">
        <f t="shared" si="69"/>
        <v>Male</v>
      </c>
      <c r="L393">
        <v>29</v>
      </c>
      <c r="O393">
        <f t="shared" si="70"/>
        <v>29</v>
      </c>
      <c r="P393">
        <v>1</v>
      </c>
      <c r="R393" s="4">
        <v>0</v>
      </c>
      <c r="T393" s="5">
        <v>27.720800000000001</v>
      </c>
      <c r="W393" s="4">
        <v>29</v>
      </c>
      <c r="X393" s="4" t="str">
        <f t="shared" si="71"/>
        <v>Young Adult</v>
      </c>
      <c r="Y393" s="4" t="s">
        <v>3561</v>
      </c>
      <c r="AB393" s="4" t="str">
        <f t="shared" si="72"/>
        <v/>
      </c>
      <c r="AC393" s="4" t="str">
        <f t="shared" si="73"/>
        <v>Unknown</v>
      </c>
      <c r="AD393" s="4" t="s">
        <v>3566</v>
      </c>
      <c r="AG393" s="4" t="str">
        <f t="shared" si="74"/>
        <v>Not Applicable</v>
      </c>
      <c r="AH393" s="4">
        <v>295</v>
      </c>
      <c r="AK393" s="4">
        <v>295</v>
      </c>
      <c r="AL393" s="4" t="str">
        <f t="shared" si="75"/>
        <v>Found</v>
      </c>
      <c r="AN393" s="6">
        <v>27.720800000000001</v>
      </c>
      <c r="AO393" s="4" t="str">
        <f t="shared" si="76"/>
        <v>Mid</v>
      </c>
    </row>
    <row r="394" spans="1:41">
      <c r="A394">
        <v>2</v>
      </c>
      <c r="B394" t="str">
        <f t="shared" si="66"/>
        <v>Second Class</v>
      </c>
      <c r="C394">
        <v>1</v>
      </c>
      <c r="E394" t="str">
        <f t="shared" si="67"/>
        <v>Survived</v>
      </c>
      <c r="F394" t="s">
        <v>1330</v>
      </c>
      <c r="G394" t="s">
        <v>1331</v>
      </c>
      <c r="H394" t="s">
        <v>849</v>
      </c>
      <c r="I394" t="str">
        <f t="shared" si="68"/>
        <v>Carlo del Mrs.</v>
      </c>
      <c r="J394" t="s">
        <v>47</v>
      </c>
      <c r="K394" t="str">
        <f t="shared" si="69"/>
        <v>Female</v>
      </c>
      <c r="L394">
        <v>24</v>
      </c>
      <c r="O394">
        <f t="shared" si="70"/>
        <v>24</v>
      </c>
      <c r="P394">
        <v>1</v>
      </c>
      <c r="R394" s="4">
        <v>0</v>
      </c>
      <c r="T394" s="5">
        <v>27.720800000000001</v>
      </c>
      <c r="W394" s="4">
        <v>24</v>
      </c>
      <c r="X394" s="4" t="str">
        <f t="shared" si="71"/>
        <v>Young Adult</v>
      </c>
      <c r="Y394" s="4" t="s">
        <v>3561</v>
      </c>
      <c r="AB394" s="4" t="str">
        <f t="shared" si="72"/>
        <v/>
      </c>
      <c r="AC394" s="4" t="str">
        <f t="shared" si="73"/>
        <v>Unknown</v>
      </c>
      <c r="AD394" s="4" t="s">
        <v>3566</v>
      </c>
      <c r="AF394" s="4">
        <v>12</v>
      </c>
      <c r="AG394" s="4">
        <f t="shared" si="74"/>
        <v>12</v>
      </c>
      <c r="AK394" s="4" t="s">
        <v>3573</v>
      </c>
      <c r="AL394" s="4" t="str">
        <f t="shared" si="75"/>
        <v>Found</v>
      </c>
      <c r="AN394" s="6">
        <v>27.720800000000001</v>
      </c>
      <c r="AO394" s="4" t="str">
        <f t="shared" si="76"/>
        <v>Mid</v>
      </c>
    </row>
    <row r="395" spans="1:41">
      <c r="A395">
        <v>2</v>
      </c>
      <c r="B395" t="str">
        <f t="shared" si="66"/>
        <v>Second Class</v>
      </c>
      <c r="C395">
        <v>0</v>
      </c>
      <c r="E395" t="str">
        <f t="shared" si="67"/>
        <v>Died</v>
      </c>
      <c r="F395" t="s">
        <v>1332</v>
      </c>
      <c r="G395" t="s">
        <v>848</v>
      </c>
      <c r="H395" t="s">
        <v>953</v>
      </c>
      <c r="I395" t="str">
        <f t="shared" si="68"/>
        <v>Mr. Denbury Herbert</v>
      </c>
      <c r="J395" t="s">
        <v>20</v>
      </c>
      <c r="K395" t="str">
        <f t="shared" si="69"/>
        <v>Male</v>
      </c>
      <c r="L395">
        <v>25</v>
      </c>
      <c r="O395">
        <f t="shared" si="70"/>
        <v>25</v>
      </c>
      <c r="P395">
        <v>0</v>
      </c>
      <c r="R395" s="4">
        <v>0</v>
      </c>
      <c r="T395" s="5">
        <v>31.5</v>
      </c>
      <c r="W395" s="4">
        <v>25</v>
      </c>
      <c r="X395" s="4" t="str">
        <f t="shared" si="71"/>
        <v>Young Adult</v>
      </c>
      <c r="Y395" s="4" t="s">
        <v>3561</v>
      </c>
      <c r="AB395" s="4" t="str">
        <f t="shared" si="72"/>
        <v/>
      </c>
      <c r="AC395" s="4" t="str">
        <f t="shared" si="73"/>
        <v>Unknown</v>
      </c>
      <c r="AD395" s="4" t="s">
        <v>457</v>
      </c>
      <c r="AG395" s="4" t="str">
        <f t="shared" si="74"/>
        <v>Not Applicable</v>
      </c>
      <c r="AK395" s="4" t="s">
        <v>3573</v>
      </c>
      <c r="AL395" s="4" t="str">
        <f t="shared" si="75"/>
        <v>Found</v>
      </c>
      <c r="AN395" s="6">
        <v>31.5</v>
      </c>
      <c r="AO395" s="4" t="str">
        <f t="shared" si="76"/>
        <v>Mid</v>
      </c>
    </row>
    <row r="396" spans="1:41">
      <c r="A396">
        <v>2</v>
      </c>
      <c r="B396" t="str">
        <f t="shared" si="66"/>
        <v>Second Class</v>
      </c>
      <c r="C396">
        <v>0</v>
      </c>
      <c r="E396" t="str">
        <f t="shared" si="67"/>
        <v>Died</v>
      </c>
      <c r="F396" t="s">
        <v>1333</v>
      </c>
      <c r="G396" t="s">
        <v>848</v>
      </c>
      <c r="H396" t="s">
        <v>924</v>
      </c>
      <c r="I396" t="str">
        <f t="shared" si="68"/>
        <v>Mr. Dibden William</v>
      </c>
      <c r="J396" t="s">
        <v>20</v>
      </c>
      <c r="K396" t="str">
        <f t="shared" si="69"/>
        <v>Male</v>
      </c>
      <c r="L396">
        <v>18</v>
      </c>
      <c r="O396">
        <f t="shared" si="70"/>
        <v>18</v>
      </c>
      <c r="P396">
        <v>0</v>
      </c>
      <c r="R396" s="4">
        <v>0</v>
      </c>
      <c r="T396" s="5">
        <v>73.5</v>
      </c>
      <c r="W396" s="4">
        <v>18</v>
      </c>
      <c r="X396" s="4" t="str">
        <f t="shared" si="71"/>
        <v>Young Adult</v>
      </c>
      <c r="Y396" s="4" t="s">
        <v>3561</v>
      </c>
      <c r="AB396" s="4" t="str">
        <f t="shared" si="72"/>
        <v/>
      </c>
      <c r="AC396" s="4" t="str">
        <f t="shared" si="73"/>
        <v>Unknown</v>
      </c>
      <c r="AD396" s="4" t="s">
        <v>457</v>
      </c>
      <c r="AG396" s="4" t="str">
        <f t="shared" si="74"/>
        <v>Not Applicable</v>
      </c>
      <c r="AK396" s="4" t="s">
        <v>3573</v>
      </c>
      <c r="AL396" s="4" t="str">
        <f t="shared" si="75"/>
        <v>Found</v>
      </c>
      <c r="AN396" s="6">
        <v>73.5</v>
      </c>
      <c r="AO396" s="4" t="str">
        <f t="shared" si="76"/>
        <v>High</v>
      </c>
    </row>
    <row r="397" spans="1:41">
      <c r="A397">
        <v>2</v>
      </c>
      <c r="B397" t="str">
        <f t="shared" si="66"/>
        <v>Second Class</v>
      </c>
      <c r="C397">
        <v>1</v>
      </c>
      <c r="E397" t="str">
        <f t="shared" si="67"/>
        <v>Survived</v>
      </c>
      <c r="F397" t="s">
        <v>1334</v>
      </c>
      <c r="G397" t="s">
        <v>842</v>
      </c>
      <c r="H397" t="s">
        <v>909</v>
      </c>
      <c r="I397" t="str">
        <f t="shared" si="68"/>
        <v>Miss. Doling Elsie</v>
      </c>
      <c r="J397" t="s">
        <v>47</v>
      </c>
      <c r="K397" t="str">
        <f t="shared" si="69"/>
        <v>Female</v>
      </c>
      <c r="L397">
        <v>18</v>
      </c>
      <c r="O397">
        <f t="shared" si="70"/>
        <v>18</v>
      </c>
      <c r="P397">
        <v>0</v>
      </c>
      <c r="R397" s="4">
        <v>1</v>
      </c>
      <c r="T397" s="5">
        <v>23</v>
      </c>
      <c r="W397" s="4">
        <v>18</v>
      </c>
      <c r="X397" s="4" t="str">
        <f t="shared" si="71"/>
        <v>Young Adult</v>
      </c>
      <c r="Y397" s="4" t="s">
        <v>3561</v>
      </c>
      <c r="AB397" s="4" t="str">
        <f t="shared" si="72"/>
        <v/>
      </c>
      <c r="AC397" s="4" t="str">
        <f t="shared" si="73"/>
        <v>Unknown</v>
      </c>
      <c r="AD397" s="4" t="s">
        <v>457</v>
      </c>
      <c r="AG397" s="4" t="str">
        <f t="shared" si="74"/>
        <v>Not Applicable</v>
      </c>
      <c r="AK397" s="4" t="s">
        <v>3573</v>
      </c>
      <c r="AL397" s="4" t="str">
        <f t="shared" si="75"/>
        <v>Found</v>
      </c>
      <c r="AN397" s="6">
        <v>23</v>
      </c>
      <c r="AO397" s="4" t="str">
        <f t="shared" si="76"/>
        <v>Mid</v>
      </c>
    </row>
    <row r="398" spans="1:41">
      <c r="A398">
        <v>2</v>
      </c>
      <c r="B398" t="str">
        <f t="shared" si="66"/>
        <v>Second Class</v>
      </c>
      <c r="C398">
        <v>1</v>
      </c>
      <c r="E398" t="str">
        <f t="shared" si="67"/>
        <v>Survived</v>
      </c>
      <c r="F398" t="s">
        <v>1334</v>
      </c>
      <c r="G398" t="s">
        <v>849</v>
      </c>
      <c r="H398" t="s">
        <v>862</v>
      </c>
      <c r="I398" t="str">
        <f t="shared" si="68"/>
        <v>Mrs. Doling John</v>
      </c>
      <c r="J398" t="s">
        <v>47</v>
      </c>
      <c r="K398" t="str">
        <f t="shared" si="69"/>
        <v>Female</v>
      </c>
      <c r="L398">
        <v>34</v>
      </c>
      <c r="O398">
        <f t="shared" si="70"/>
        <v>34</v>
      </c>
      <c r="P398">
        <v>0</v>
      </c>
      <c r="R398" s="4">
        <v>1</v>
      </c>
      <c r="T398" s="5">
        <v>23</v>
      </c>
      <c r="W398" s="4">
        <v>34</v>
      </c>
      <c r="X398" s="4" t="str">
        <f t="shared" si="71"/>
        <v>Adult</v>
      </c>
      <c r="Y398" s="4" t="s">
        <v>3561</v>
      </c>
      <c r="AB398" s="4" t="str">
        <f t="shared" si="72"/>
        <v/>
      </c>
      <c r="AC398" s="4" t="str">
        <f t="shared" si="73"/>
        <v>Unknown</v>
      </c>
      <c r="AD398" s="4" t="s">
        <v>457</v>
      </c>
      <c r="AG398" s="4" t="str">
        <f t="shared" si="74"/>
        <v>Not Applicable</v>
      </c>
      <c r="AK398" s="4" t="s">
        <v>3573</v>
      </c>
      <c r="AL398" s="4" t="str">
        <f t="shared" si="75"/>
        <v>Found</v>
      </c>
      <c r="AN398" s="6">
        <v>23</v>
      </c>
      <c r="AO398" s="4" t="str">
        <f t="shared" si="76"/>
        <v>Mid</v>
      </c>
    </row>
    <row r="399" spans="1:41">
      <c r="A399">
        <v>2</v>
      </c>
      <c r="B399" t="str">
        <f t="shared" si="66"/>
        <v>Second Class</v>
      </c>
      <c r="C399">
        <v>0</v>
      </c>
      <c r="E399" t="str">
        <f t="shared" si="67"/>
        <v>Died</v>
      </c>
      <c r="F399" t="s">
        <v>1336</v>
      </c>
      <c r="G399" t="s">
        <v>848</v>
      </c>
      <c r="H399" t="s">
        <v>924</v>
      </c>
      <c r="I399" t="str">
        <f t="shared" si="68"/>
        <v>Mr. Downton William</v>
      </c>
      <c r="J399" t="s">
        <v>20</v>
      </c>
      <c r="K399" t="str">
        <f t="shared" si="69"/>
        <v>Male</v>
      </c>
      <c r="L399">
        <v>54</v>
      </c>
      <c r="O399">
        <f t="shared" si="70"/>
        <v>54</v>
      </c>
      <c r="P399">
        <v>0</v>
      </c>
      <c r="R399" s="4">
        <v>0</v>
      </c>
      <c r="T399" s="5">
        <v>26</v>
      </c>
      <c r="W399" s="4">
        <v>54</v>
      </c>
      <c r="X399" s="4" t="str">
        <f t="shared" si="71"/>
        <v>Adult</v>
      </c>
      <c r="Y399" s="4" t="s">
        <v>3561</v>
      </c>
      <c r="AB399" s="4" t="str">
        <f t="shared" si="72"/>
        <v/>
      </c>
      <c r="AC399" s="4" t="str">
        <f t="shared" si="73"/>
        <v>Unknown</v>
      </c>
      <c r="AD399" s="4" t="s">
        <v>457</v>
      </c>
      <c r="AG399" s="4" t="str">
        <f t="shared" si="74"/>
        <v>Not Applicable</v>
      </c>
      <c r="AK399" s="4" t="s">
        <v>3573</v>
      </c>
      <c r="AL399" s="4" t="str">
        <f t="shared" si="75"/>
        <v>Found</v>
      </c>
      <c r="AN399" s="6">
        <v>26</v>
      </c>
      <c r="AO399" s="4" t="str">
        <f t="shared" si="76"/>
        <v>Mid</v>
      </c>
    </row>
    <row r="400" spans="1:41">
      <c r="A400">
        <v>2</v>
      </c>
      <c r="B400" t="str">
        <f t="shared" si="66"/>
        <v>Second Class</v>
      </c>
      <c r="C400">
        <v>1</v>
      </c>
      <c r="E400" t="str">
        <f t="shared" si="67"/>
        <v>Survived</v>
      </c>
      <c r="F400" t="s">
        <v>1337</v>
      </c>
      <c r="G400" t="s">
        <v>845</v>
      </c>
      <c r="H400" t="s">
        <v>1338</v>
      </c>
      <c r="I400" t="str">
        <f t="shared" si="68"/>
        <v>Master. Drew Marshall</v>
      </c>
      <c r="J400" t="s">
        <v>20</v>
      </c>
      <c r="K400" t="str">
        <f t="shared" si="69"/>
        <v>Male</v>
      </c>
      <c r="L400">
        <v>8</v>
      </c>
      <c r="O400">
        <f t="shared" si="70"/>
        <v>8</v>
      </c>
      <c r="P400">
        <v>0</v>
      </c>
      <c r="R400" s="4">
        <v>2</v>
      </c>
      <c r="T400" s="5">
        <v>32.5</v>
      </c>
      <c r="W400" s="4">
        <v>8</v>
      </c>
      <c r="X400" s="4" t="str">
        <f t="shared" si="71"/>
        <v>Child</v>
      </c>
      <c r="Y400" s="4" t="s">
        <v>3561</v>
      </c>
      <c r="AB400" s="4" t="str">
        <f t="shared" si="72"/>
        <v/>
      </c>
      <c r="AC400" s="4" t="str">
        <f t="shared" si="73"/>
        <v>Unknown</v>
      </c>
      <c r="AD400" s="4" t="s">
        <v>457</v>
      </c>
      <c r="AF400" s="4">
        <v>10</v>
      </c>
      <c r="AG400" s="4">
        <f t="shared" si="74"/>
        <v>10</v>
      </c>
      <c r="AK400" s="4" t="s">
        <v>3573</v>
      </c>
      <c r="AL400" s="4" t="str">
        <f t="shared" si="75"/>
        <v>Found</v>
      </c>
      <c r="AN400" s="6">
        <v>32.5</v>
      </c>
      <c r="AO400" s="4" t="str">
        <f t="shared" si="76"/>
        <v>Mid</v>
      </c>
    </row>
    <row r="401" spans="1:41">
      <c r="A401">
        <v>2</v>
      </c>
      <c r="B401" t="str">
        <f t="shared" si="66"/>
        <v>Second Class</v>
      </c>
      <c r="C401">
        <v>0</v>
      </c>
      <c r="E401" t="str">
        <f t="shared" si="67"/>
        <v>Died</v>
      </c>
      <c r="F401" t="s">
        <v>1337</v>
      </c>
      <c r="G401" t="s">
        <v>848</v>
      </c>
      <c r="H401" t="s">
        <v>878</v>
      </c>
      <c r="I401" t="str">
        <f t="shared" si="68"/>
        <v>Mr. Drew James</v>
      </c>
      <c r="J401" t="s">
        <v>20</v>
      </c>
      <c r="K401" t="str">
        <f t="shared" si="69"/>
        <v>Male</v>
      </c>
      <c r="L401">
        <v>42</v>
      </c>
      <c r="O401">
        <f t="shared" si="70"/>
        <v>42</v>
      </c>
      <c r="P401">
        <v>1</v>
      </c>
      <c r="R401" s="4">
        <v>1</v>
      </c>
      <c r="T401" s="5">
        <v>32.5</v>
      </c>
      <c r="W401" s="4">
        <v>42</v>
      </c>
      <c r="X401" s="4" t="str">
        <f t="shared" si="71"/>
        <v>Adult</v>
      </c>
      <c r="Y401" s="4" t="s">
        <v>3561</v>
      </c>
      <c r="AB401" s="4" t="str">
        <f t="shared" si="72"/>
        <v/>
      </c>
      <c r="AC401" s="4" t="str">
        <f t="shared" si="73"/>
        <v>Unknown</v>
      </c>
      <c r="AD401" s="4" t="s">
        <v>457</v>
      </c>
      <c r="AG401" s="4" t="str">
        <f t="shared" si="74"/>
        <v>Not Applicable</v>
      </c>
      <c r="AK401" s="4" t="s">
        <v>3573</v>
      </c>
      <c r="AL401" s="4" t="str">
        <f t="shared" si="75"/>
        <v>Found</v>
      </c>
      <c r="AN401" s="6">
        <v>32.5</v>
      </c>
      <c r="AO401" s="4" t="str">
        <f t="shared" si="76"/>
        <v>Mid</v>
      </c>
    </row>
    <row r="402" spans="1:41">
      <c r="A402">
        <v>2</v>
      </c>
      <c r="B402" t="str">
        <f t="shared" si="66"/>
        <v>Second Class</v>
      </c>
      <c r="C402">
        <v>1</v>
      </c>
      <c r="E402" t="str">
        <f t="shared" si="67"/>
        <v>Survived</v>
      </c>
      <c r="F402" t="s">
        <v>1337</v>
      </c>
      <c r="G402" t="s">
        <v>849</v>
      </c>
      <c r="H402" t="s">
        <v>878</v>
      </c>
      <c r="I402" t="str">
        <f t="shared" si="68"/>
        <v>Mrs. Drew James</v>
      </c>
      <c r="J402" t="s">
        <v>47</v>
      </c>
      <c r="K402" t="str">
        <f t="shared" si="69"/>
        <v>Female</v>
      </c>
      <c r="L402">
        <v>34</v>
      </c>
      <c r="O402">
        <f t="shared" si="70"/>
        <v>34</v>
      </c>
      <c r="P402">
        <v>1</v>
      </c>
      <c r="R402" s="4">
        <v>1</v>
      </c>
      <c r="T402" s="5">
        <v>32.5</v>
      </c>
      <c r="W402" s="4">
        <v>34</v>
      </c>
      <c r="X402" s="4" t="str">
        <f t="shared" si="71"/>
        <v>Adult</v>
      </c>
      <c r="Y402" s="4" t="s">
        <v>3561</v>
      </c>
      <c r="AB402" s="4" t="str">
        <f t="shared" si="72"/>
        <v/>
      </c>
      <c r="AC402" s="4" t="str">
        <f t="shared" si="73"/>
        <v>Unknown</v>
      </c>
      <c r="AD402" s="4" t="s">
        <v>457</v>
      </c>
      <c r="AF402" s="4">
        <v>10</v>
      </c>
      <c r="AG402" s="4">
        <f t="shared" si="74"/>
        <v>10</v>
      </c>
      <c r="AK402" s="4" t="s">
        <v>3573</v>
      </c>
      <c r="AL402" s="4" t="str">
        <f t="shared" si="75"/>
        <v>Found</v>
      </c>
      <c r="AN402" s="6">
        <v>32.5</v>
      </c>
      <c r="AO402" s="4" t="str">
        <f t="shared" si="76"/>
        <v>Mid</v>
      </c>
    </row>
    <row r="403" spans="1:41">
      <c r="A403">
        <v>2</v>
      </c>
      <c r="B403" t="str">
        <f t="shared" si="66"/>
        <v>Second Class</v>
      </c>
      <c r="C403">
        <v>1</v>
      </c>
      <c r="E403" t="str">
        <f t="shared" si="67"/>
        <v>Survived</v>
      </c>
      <c r="F403" t="s">
        <v>1339</v>
      </c>
      <c r="G403" t="s">
        <v>1151</v>
      </c>
      <c r="H403" t="s">
        <v>1340</v>
      </c>
      <c r="I403" t="str">
        <f t="shared" si="68"/>
        <v>y Duran More</v>
      </c>
      <c r="J403" t="s">
        <v>47</v>
      </c>
      <c r="K403" t="str">
        <f t="shared" si="69"/>
        <v>Female</v>
      </c>
      <c r="L403">
        <v>27</v>
      </c>
      <c r="O403">
        <f t="shared" si="70"/>
        <v>27</v>
      </c>
      <c r="P403">
        <v>1</v>
      </c>
      <c r="R403" s="4">
        <v>0</v>
      </c>
      <c r="T403" s="5">
        <v>13.8583</v>
      </c>
      <c r="W403" s="4">
        <v>27</v>
      </c>
      <c r="X403" s="4" t="str">
        <f t="shared" si="71"/>
        <v>Young Adult</v>
      </c>
      <c r="Y403" s="4" t="s">
        <v>3561</v>
      </c>
      <c r="AB403" s="4" t="str">
        <f t="shared" si="72"/>
        <v/>
      </c>
      <c r="AC403" s="4" t="str">
        <f t="shared" si="73"/>
        <v>Unknown</v>
      </c>
      <c r="AD403" s="4" t="s">
        <v>3566</v>
      </c>
      <c r="AF403" s="4">
        <v>12</v>
      </c>
      <c r="AG403" s="4">
        <f t="shared" si="74"/>
        <v>12</v>
      </c>
      <c r="AK403" s="4" t="s">
        <v>3573</v>
      </c>
      <c r="AL403" s="4" t="str">
        <f t="shared" si="75"/>
        <v>Found</v>
      </c>
      <c r="AN403" s="6">
        <v>13.8583</v>
      </c>
      <c r="AO403" s="4" t="str">
        <f t="shared" si="76"/>
        <v>Mid</v>
      </c>
    </row>
    <row r="404" spans="1:41">
      <c r="A404">
        <v>2</v>
      </c>
      <c r="B404" t="str">
        <f t="shared" si="66"/>
        <v>Second Class</v>
      </c>
      <c r="C404">
        <v>1</v>
      </c>
      <c r="E404" t="str">
        <f t="shared" si="67"/>
        <v>Survived</v>
      </c>
      <c r="F404" t="s">
        <v>1339</v>
      </c>
      <c r="G404" t="s">
        <v>1151</v>
      </c>
      <c r="H404" t="s">
        <v>1340</v>
      </c>
      <c r="I404" t="str">
        <f t="shared" si="68"/>
        <v>y Duran More</v>
      </c>
      <c r="J404" t="s">
        <v>47</v>
      </c>
      <c r="K404" t="str">
        <f t="shared" si="69"/>
        <v>Female</v>
      </c>
      <c r="L404">
        <v>30</v>
      </c>
      <c r="O404">
        <f t="shared" si="70"/>
        <v>30</v>
      </c>
      <c r="P404">
        <v>1</v>
      </c>
      <c r="R404" s="4">
        <v>0</v>
      </c>
      <c r="T404" s="5">
        <v>13.8583</v>
      </c>
      <c r="W404" s="4">
        <v>30</v>
      </c>
      <c r="X404" s="4" t="str">
        <f t="shared" si="71"/>
        <v>Adult</v>
      </c>
      <c r="Y404" s="4" t="s">
        <v>3561</v>
      </c>
      <c r="AB404" s="4" t="str">
        <f t="shared" si="72"/>
        <v/>
      </c>
      <c r="AC404" s="4" t="str">
        <f t="shared" si="73"/>
        <v>Unknown</v>
      </c>
      <c r="AD404" s="4" t="s">
        <v>3566</v>
      </c>
      <c r="AF404" s="4">
        <v>12</v>
      </c>
      <c r="AG404" s="4">
        <f t="shared" si="74"/>
        <v>12</v>
      </c>
      <c r="AK404" s="4" t="s">
        <v>3573</v>
      </c>
      <c r="AL404" s="4" t="str">
        <f t="shared" si="75"/>
        <v>Found</v>
      </c>
      <c r="AN404" s="6">
        <v>13.8583</v>
      </c>
      <c r="AO404" s="4" t="str">
        <f t="shared" si="76"/>
        <v>Mid</v>
      </c>
    </row>
    <row r="405" spans="1:41">
      <c r="A405">
        <v>2</v>
      </c>
      <c r="B405" t="str">
        <f t="shared" si="66"/>
        <v>Second Class</v>
      </c>
      <c r="C405">
        <v>0</v>
      </c>
      <c r="E405" t="str">
        <f t="shared" si="67"/>
        <v>Died</v>
      </c>
      <c r="F405" t="s">
        <v>1341</v>
      </c>
      <c r="G405" t="s">
        <v>848</v>
      </c>
      <c r="H405" t="s">
        <v>912</v>
      </c>
      <c r="I405" t="str">
        <f t="shared" si="68"/>
        <v>Mr. Eitemiller George</v>
      </c>
      <c r="J405" t="s">
        <v>20</v>
      </c>
      <c r="K405" t="str">
        <f t="shared" si="69"/>
        <v>Male</v>
      </c>
      <c r="L405">
        <v>23</v>
      </c>
      <c r="O405">
        <f t="shared" si="70"/>
        <v>23</v>
      </c>
      <c r="P405">
        <v>0</v>
      </c>
      <c r="R405" s="4">
        <v>0</v>
      </c>
      <c r="T405" s="5">
        <v>13</v>
      </c>
      <c r="W405" s="4">
        <v>23</v>
      </c>
      <c r="X405" s="4" t="str">
        <f t="shared" si="71"/>
        <v>Young Adult</v>
      </c>
      <c r="Y405" s="4" t="s">
        <v>3561</v>
      </c>
      <c r="AB405" s="4" t="str">
        <f t="shared" si="72"/>
        <v/>
      </c>
      <c r="AC405" s="4" t="str">
        <f t="shared" si="73"/>
        <v>Unknown</v>
      </c>
      <c r="AD405" s="4" t="s">
        <v>457</v>
      </c>
      <c r="AG405" s="4" t="str">
        <f t="shared" si="74"/>
        <v>Not Applicable</v>
      </c>
      <c r="AK405" s="4" t="s">
        <v>3573</v>
      </c>
      <c r="AL405" s="4" t="str">
        <f t="shared" si="75"/>
        <v>Found</v>
      </c>
      <c r="AN405" s="6">
        <v>13</v>
      </c>
      <c r="AO405" s="4" t="str">
        <f t="shared" si="76"/>
        <v>Mid</v>
      </c>
    </row>
    <row r="406" spans="1:41">
      <c r="A406">
        <v>2</v>
      </c>
      <c r="B406" t="str">
        <f t="shared" si="66"/>
        <v>Second Class</v>
      </c>
      <c r="C406">
        <v>0</v>
      </c>
      <c r="E406" t="str">
        <f t="shared" si="67"/>
        <v>Died</v>
      </c>
      <c r="F406" t="s">
        <v>1342</v>
      </c>
      <c r="G406" t="s">
        <v>848</v>
      </c>
      <c r="H406" t="s">
        <v>1343</v>
      </c>
      <c r="I406" t="str">
        <f t="shared" si="68"/>
        <v>Mr. Enander Ingvar</v>
      </c>
      <c r="J406" t="s">
        <v>20</v>
      </c>
      <c r="K406" t="str">
        <f t="shared" si="69"/>
        <v>Male</v>
      </c>
      <c r="L406">
        <v>21</v>
      </c>
      <c r="O406">
        <f t="shared" si="70"/>
        <v>21</v>
      </c>
      <c r="P406">
        <v>0</v>
      </c>
      <c r="R406" s="4">
        <v>0</v>
      </c>
      <c r="T406" s="5">
        <v>13</v>
      </c>
      <c r="W406" s="4">
        <v>21</v>
      </c>
      <c r="X406" s="4" t="str">
        <f t="shared" si="71"/>
        <v>Young Adult</v>
      </c>
      <c r="Y406" s="4" t="s">
        <v>3561</v>
      </c>
      <c r="AB406" s="4" t="str">
        <f t="shared" si="72"/>
        <v/>
      </c>
      <c r="AC406" s="4" t="str">
        <f t="shared" si="73"/>
        <v>Unknown</v>
      </c>
      <c r="AD406" s="4" t="s">
        <v>457</v>
      </c>
      <c r="AG406" s="4" t="str">
        <f t="shared" si="74"/>
        <v>Not Applicable</v>
      </c>
      <c r="AK406" s="4" t="s">
        <v>3573</v>
      </c>
      <c r="AL406" s="4" t="str">
        <f t="shared" si="75"/>
        <v>Found</v>
      </c>
      <c r="AN406" s="6">
        <v>13</v>
      </c>
      <c r="AO406" s="4" t="str">
        <f t="shared" si="76"/>
        <v>Mid</v>
      </c>
    </row>
    <row r="407" spans="1:41">
      <c r="A407">
        <v>2</v>
      </c>
      <c r="B407" t="str">
        <f t="shared" si="66"/>
        <v>Second Class</v>
      </c>
      <c r="C407">
        <v>0</v>
      </c>
      <c r="E407" t="str">
        <f t="shared" si="67"/>
        <v>Died</v>
      </c>
      <c r="F407" t="s">
        <v>1344</v>
      </c>
      <c r="G407" t="s">
        <v>848</v>
      </c>
      <c r="H407" t="s">
        <v>1345</v>
      </c>
      <c r="I407" t="str">
        <f t="shared" si="68"/>
        <v>Mr. Fahlstrom Arne</v>
      </c>
      <c r="J407" t="s">
        <v>20</v>
      </c>
      <c r="K407" t="str">
        <f t="shared" si="69"/>
        <v>Male</v>
      </c>
      <c r="L407">
        <v>18</v>
      </c>
      <c r="O407">
        <f t="shared" si="70"/>
        <v>18</v>
      </c>
      <c r="P407">
        <v>0</v>
      </c>
      <c r="R407" s="4">
        <v>0</v>
      </c>
      <c r="T407" s="5">
        <v>13</v>
      </c>
      <c r="W407" s="4">
        <v>18</v>
      </c>
      <c r="X407" s="4" t="str">
        <f t="shared" si="71"/>
        <v>Young Adult</v>
      </c>
      <c r="Y407" s="4" t="s">
        <v>3561</v>
      </c>
      <c r="AB407" s="4" t="str">
        <f t="shared" si="72"/>
        <v/>
      </c>
      <c r="AC407" s="4" t="str">
        <f t="shared" si="73"/>
        <v>Unknown</v>
      </c>
      <c r="AD407" s="4" t="s">
        <v>457</v>
      </c>
      <c r="AG407" s="4" t="str">
        <f t="shared" si="74"/>
        <v>Not Applicable</v>
      </c>
      <c r="AK407" s="4" t="s">
        <v>3573</v>
      </c>
      <c r="AL407" s="4" t="str">
        <f t="shared" si="75"/>
        <v>Found</v>
      </c>
      <c r="AN407" s="6">
        <v>13</v>
      </c>
      <c r="AO407" s="4" t="str">
        <f t="shared" si="76"/>
        <v>Mid</v>
      </c>
    </row>
    <row r="408" spans="1:41">
      <c r="A408">
        <v>2</v>
      </c>
      <c r="B408" t="str">
        <f t="shared" si="66"/>
        <v>Second Class</v>
      </c>
      <c r="C408">
        <v>0</v>
      </c>
      <c r="E408" t="str">
        <f t="shared" si="67"/>
        <v>Died</v>
      </c>
      <c r="F408" t="s">
        <v>1346</v>
      </c>
      <c r="G408" t="s">
        <v>848</v>
      </c>
      <c r="H408" t="s">
        <v>852</v>
      </c>
      <c r="I408" t="str">
        <f t="shared" si="68"/>
        <v>Mr. Faunthorpe Harry</v>
      </c>
      <c r="J408" t="s">
        <v>20</v>
      </c>
      <c r="K408" t="str">
        <f t="shared" si="69"/>
        <v>Male</v>
      </c>
      <c r="L408">
        <v>40</v>
      </c>
      <c r="O408">
        <f t="shared" si="70"/>
        <v>40</v>
      </c>
      <c r="P408">
        <v>1</v>
      </c>
      <c r="R408" s="4">
        <v>0</v>
      </c>
      <c r="T408" s="5">
        <v>26</v>
      </c>
      <c r="W408" s="4">
        <v>40</v>
      </c>
      <c r="X408" s="4" t="str">
        <f t="shared" si="71"/>
        <v>Adult</v>
      </c>
      <c r="Y408" s="4" t="s">
        <v>3561</v>
      </c>
      <c r="AB408" s="4" t="str">
        <f t="shared" si="72"/>
        <v/>
      </c>
      <c r="AC408" s="4" t="str">
        <f t="shared" si="73"/>
        <v>Unknown</v>
      </c>
      <c r="AD408" s="4" t="s">
        <v>457</v>
      </c>
      <c r="AG408" s="4" t="str">
        <f t="shared" si="74"/>
        <v>Not Applicable</v>
      </c>
      <c r="AH408" s="4">
        <v>286</v>
      </c>
      <c r="AK408" s="4">
        <v>286</v>
      </c>
      <c r="AL408" s="4" t="str">
        <f t="shared" si="75"/>
        <v>Found</v>
      </c>
      <c r="AN408" s="6">
        <v>26</v>
      </c>
      <c r="AO408" s="4" t="str">
        <f t="shared" si="76"/>
        <v>Mid</v>
      </c>
    </row>
    <row r="409" spans="1:41">
      <c r="A409">
        <v>2</v>
      </c>
      <c r="B409" t="str">
        <f t="shared" si="66"/>
        <v>Second Class</v>
      </c>
      <c r="C409">
        <v>1</v>
      </c>
      <c r="E409" t="str">
        <f t="shared" si="67"/>
        <v>Survived</v>
      </c>
      <c r="F409" t="s">
        <v>1346</v>
      </c>
      <c r="G409" t="s">
        <v>849</v>
      </c>
      <c r="H409" t="s">
        <v>1347</v>
      </c>
      <c r="I409" t="str">
        <f t="shared" si="68"/>
        <v>Mrs. Faunthorpe Lizzie</v>
      </c>
      <c r="J409" t="s">
        <v>47</v>
      </c>
      <c r="K409" t="str">
        <f t="shared" si="69"/>
        <v>Female</v>
      </c>
      <c r="L409">
        <v>29</v>
      </c>
      <c r="O409">
        <f t="shared" si="70"/>
        <v>29</v>
      </c>
      <c r="P409">
        <v>1</v>
      </c>
      <c r="R409" s="4">
        <v>0</v>
      </c>
      <c r="T409" s="5">
        <v>26</v>
      </c>
      <c r="W409" s="4">
        <v>29</v>
      </c>
      <c r="X409" s="4" t="str">
        <f t="shared" si="71"/>
        <v>Young Adult</v>
      </c>
      <c r="Y409" s="4" t="s">
        <v>3561</v>
      </c>
      <c r="AB409" s="4" t="str">
        <f t="shared" si="72"/>
        <v/>
      </c>
      <c r="AC409" s="4" t="str">
        <f t="shared" si="73"/>
        <v>Unknown</v>
      </c>
      <c r="AD409" s="4" t="s">
        <v>457</v>
      </c>
      <c r="AF409" s="4">
        <v>16</v>
      </c>
      <c r="AG409" s="4">
        <f t="shared" si="74"/>
        <v>16</v>
      </c>
      <c r="AK409" s="4" t="s">
        <v>3573</v>
      </c>
      <c r="AL409" s="4" t="str">
        <f t="shared" si="75"/>
        <v>Found</v>
      </c>
      <c r="AN409" s="6">
        <v>26</v>
      </c>
      <c r="AO409" s="4" t="str">
        <f t="shared" si="76"/>
        <v>Mid</v>
      </c>
    </row>
    <row r="410" spans="1:41">
      <c r="A410">
        <v>2</v>
      </c>
      <c r="B410" t="str">
        <f t="shared" si="66"/>
        <v>Second Class</v>
      </c>
      <c r="C410">
        <v>0</v>
      </c>
      <c r="E410" t="str">
        <f t="shared" si="67"/>
        <v>Died</v>
      </c>
      <c r="F410" t="s">
        <v>1348</v>
      </c>
      <c r="G410" t="s">
        <v>848</v>
      </c>
      <c r="H410" t="s">
        <v>921</v>
      </c>
      <c r="I410" t="str">
        <f t="shared" si="68"/>
        <v>Mr. Fillbrook Joseph</v>
      </c>
      <c r="J410" t="s">
        <v>20</v>
      </c>
      <c r="K410" t="str">
        <f t="shared" si="69"/>
        <v>Male</v>
      </c>
      <c r="L410">
        <v>18</v>
      </c>
      <c r="O410">
        <f t="shared" si="70"/>
        <v>18</v>
      </c>
      <c r="P410">
        <v>0</v>
      </c>
      <c r="R410" s="4">
        <v>0</v>
      </c>
      <c r="T410" s="5">
        <v>10.5</v>
      </c>
      <c r="W410" s="4">
        <v>18</v>
      </c>
      <c r="X410" s="4" t="str">
        <f t="shared" si="71"/>
        <v>Young Adult</v>
      </c>
      <c r="Y410" s="4" t="s">
        <v>3561</v>
      </c>
      <c r="AB410" s="4" t="str">
        <f t="shared" si="72"/>
        <v/>
      </c>
      <c r="AC410" s="4" t="str">
        <f t="shared" si="73"/>
        <v>Unknown</v>
      </c>
      <c r="AD410" s="4" t="s">
        <v>457</v>
      </c>
      <c r="AG410" s="4" t="str">
        <f t="shared" si="74"/>
        <v>Not Applicable</v>
      </c>
      <c r="AK410" s="4" t="s">
        <v>3573</v>
      </c>
      <c r="AL410" s="4" t="str">
        <f t="shared" si="75"/>
        <v>Found</v>
      </c>
      <c r="AN410" s="6">
        <v>10.5</v>
      </c>
      <c r="AO410" s="4" t="str">
        <f t="shared" si="76"/>
        <v>Mid</v>
      </c>
    </row>
    <row r="411" spans="1:41">
      <c r="A411">
        <v>2</v>
      </c>
      <c r="B411" t="str">
        <f t="shared" si="66"/>
        <v>Second Class</v>
      </c>
      <c r="C411">
        <v>0</v>
      </c>
      <c r="E411" t="str">
        <f t="shared" si="67"/>
        <v>Died</v>
      </c>
      <c r="F411" t="s">
        <v>1349</v>
      </c>
      <c r="G411" t="s">
        <v>848</v>
      </c>
      <c r="H411" t="s">
        <v>1350</v>
      </c>
      <c r="I411" t="str">
        <f t="shared" si="68"/>
        <v>Mr. Fox Stanley</v>
      </c>
      <c r="J411" t="s">
        <v>20</v>
      </c>
      <c r="K411" t="str">
        <f t="shared" si="69"/>
        <v>Male</v>
      </c>
      <c r="L411">
        <v>36</v>
      </c>
      <c r="O411">
        <f t="shared" si="70"/>
        <v>36</v>
      </c>
      <c r="P411">
        <v>0</v>
      </c>
      <c r="R411" s="4">
        <v>0</v>
      </c>
      <c r="T411" s="5">
        <v>13</v>
      </c>
      <c r="W411" s="4">
        <v>36</v>
      </c>
      <c r="X411" s="4" t="str">
        <f t="shared" si="71"/>
        <v>Adult</v>
      </c>
      <c r="Y411" s="4" t="s">
        <v>3561</v>
      </c>
      <c r="AB411" s="4" t="str">
        <f t="shared" si="72"/>
        <v/>
      </c>
      <c r="AC411" s="4" t="str">
        <f t="shared" si="73"/>
        <v>Unknown</v>
      </c>
      <c r="AD411" s="4" t="s">
        <v>457</v>
      </c>
      <c r="AG411" s="4" t="str">
        <f t="shared" si="74"/>
        <v>Not Applicable</v>
      </c>
      <c r="AH411" s="4">
        <v>236</v>
      </c>
      <c r="AK411" s="4">
        <v>236</v>
      </c>
      <c r="AL411" s="4" t="str">
        <f t="shared" si="75"/>
        <v>Found</v>
      </c>
      <c r="AN411" s="6">
        <v>13</v>
      </c>
      <c r="AO411" s="4" t="str">
        <f t="shared" si="76"/>
        <v>Mid</v>
      </c>
    </row>
    <row r="412" spans="1:41">
      <c r="A412">
        <v>2</v>
      </c>
      <c r="B412" t="str">
        <f t="shared" si="66"/>
        <v>Second Class</v>
      </c>
      <c r="C412">
        <v>0</v>
      </c>
      <c r="E412" t="str">
        <f t="shared" si="67"/>
        <v>Died</v>
      </c>
      <c r="F412" t="s">
        <v>1351</v>
      </c>
      <c r="G412" t="s">
        <v>848</v>
      </c>
      <c r="H412" t="s">
        <v>1352</v>
      </c>
      <c r="I412" t="str">
        <f t="shared" si="68"/>
        <v>Mr. Frost Anthony</v>
      </c>
      <c r="J412" t="s">
        <v>20</v>
      </c>
      <c r="K412" t="str">
        <f t="shared" si="69"/>
        <v>Male</v>
      </c>
      <c r="L412">
        <v>28</v>
      </c>
      <c r="O412">
        <f t="shared" si="70"/>
        <v>28</v>
      </c>
      <c r="P412">
        <v>0</v>
      </c>
      <c r="R412" s="4">
        <v>0</v>
      </c>
      <c r="T412" s="5">
        <v>0</v>
      </c>
      <c r="W412" s="4">
        <v>28</v>
      </c>
      <c r="X412" s="4" t="str">
        <f t="shared" si="71"/>
        <v>Young Adult</v>
      </c>
      <c r="Y412" s="4" t="s">
        <v>3561</v>
      </c>
      <c r="AB412" s="4" t="str">
        <f t="shared" si="72"/>
        <v/>
      </c>
      <c r="AC412" s="4" t="str">
        <f t="shared" si="73"/>
        <v>Unknown</v>
      </c>
      <c r="AD412" s="4" t="s">
        <v>457</v>
      </c>
      <c r="AG412" s="4" t="str">
        <f t="shared" si="74"/>
        <v>Not Applicable</v>
      </c>
      <c r="AK412" s="4" t="s">
        <v>3573</v>
      </c>
      <c r="AL412" s="4" t="str">
        <f t="shared" si="75"/>
        <v>Found</v>
      </c>
      <c r="AN412" s="6">
        <v>0</v>
      </c>
      <c r="AO412" s="4" t="str">
        <f t="shared" si="76"/>
        <v>Low</v>
      </c>
    </row>
    <row r="413" spans="1:41">
      <c r="A413">
        <v>2</v>
      </c>
      <c r="B413" t="str">
        <f t="shared" si="66"/>
        <v>Second Class</v>
      </c>
      <c r="C413">
        <v>0</v>
      </c>
      <c r="E413" t="str">
        <f t="shared" si="67"/>
        <v>Died</v>
      </c>
      <c r="F413" t="s">
        <v>1353</v>
      </c>
      <c r="G413" t="s">
        <v>842</v>
      </c>
      <c r="H413" t="s">
        <v>1308</v>
      </c>
      <c r="I413" t="str">
        <f t="shared" si="68"/>
        <v>Miss. Funk Annie</v>
      </c>
      <c r="J413" t="s">
        <v>47</v>
      </c>
      <c r="K413" t="str">
        <f t="shared" si="69"/>
        <v>Female</v>
      </c>
      <c r="L413">
        <v>38</v>
      </c>
      <c r="O413">
        <f t="shared" si="70"/>
        <v>38</v>
      </c>
      <c r="P413">
        <v>0</v>
      </c>
      <c r="R413" s="4">
        <v>0</v>
      </c>
      <c r="T413" s="5">
        <v>13</v>
      </c>
      <c r="W413" s="4">
        <v>38</v>
      </c>
      <c r="X413" s="4" t="str">
        <f t="shared" si="71"/>
        <v>Adult</v>
      </c>
      <c r="Y413" s="4" t="s">
        <v>3561</v>
      </c>
      <c r="AB413" s="4" t="str">
        <f t="shared" si="72"/>
        <v/>
      </c>
      <c r="AC413" s="4" t="str">
        <f t="shared" si="73"/>
        <v>Unknown</v>
      </c>
      <c r="AD413" s="4" t="s">
        <v>457</v>
      </c>
      <c r="AG413" s="4" t="str">
        <f t="shared" si="74"/>
        <v>Not Applicable</v>
      </c>
      <c r="AK413" s="4" t="s">
        <v>3573</v>
      </c>
      <c r="AL413" s="4" t="str">
        <f t="shared" si="75"/>
        <v>Found</v>
      </c>
      <c r="AN413" s="6">
        <v>13</v>
      </c>
      <c r="AO413" s="4" t="str">
        <f t="shared" si="76"/>
        <v>Mid</v>
      </c>
    </row>
    <row r="414" spans="1:41">
      <c r="A414">
        <v>2</v>
      </c>
      <c r="B414" t="str">
        <f t="shared" si="66"/>
        <v>Second Class</v>
      </c>
      <c r="C414">
        <v>0</v>
      </c>
      <c r="E414" t="str">
        <f t="shared" si="67"/>
        <v>Died</v>
      </c>
      <c r="F414" t="s">
        <v>1354</v>
      </c>
      <c r="G414" t="s">
        <v>848</v>
      </c>
      <c r="H414" t="s">
        <v>921</v>
      </c>
      <c r="I414" t="str">
        <f t="shared" si="68"/>
        <v>Mr. Fynney Joseph</v>
      </c>
      <c r="J414" t="s">
        <v>20</v>
      </c>
      <c r="K414" t="str">
        <f t="shared" si="69"/>
        <v>Male</v>
      </c>
      <c r="L414">
        <v>35</v>
      </c>
      <c r="O414">
        <f t="shared" si="70"/>
        <v>35</v>
      </c>
      <c r="P414">
        <v>0</v>
      </c>
      <c r="R414" s="4">
        <v>0</v>
      </c>
      <c r="T414" s="5">
        <v>26</v>
      </c>
      <c r="W414" s="4">
        <v>35</v>
      </c>
      <c r="X414" s="4" t="str">
        <f t="shared" si="71"/>
        <v>Adult</v>
      </c>
      <c r="Y414" s="4" t="s">
        <v>3561</v>
      </c>
      <c r="AB414" s="4" t="str">
        <f t="shared" si="72"/>
        <v/>
      </c>
      <c r="AC414" s="4" t="str">
        <f t="shared" si="73"/>
        <v>Unknown</v>
      </c>
      <c r="AD414" s="4" t="s">
        <v>457</v>
      </c>
      <c r="AG414" s="4" t="str">
        <f t="shared" si="74"/>
        <v>Not Applicable</v>
      </c>
      <c r="AH414" s="4">
        <v>322</v>
      </c>
      <c r="AK414" s="4">
        <v>322</v>
      </c>
      <c r="AL414" s="4" t="str">
        <f t="shared" si="75"/>
        <v>Found</v>
      </c>
      <c r="AN414" s="6">
        <v>26</v>
      </c>
      <c r="AO414" s="4" t="str">
        <f t="shared" si="76"/>
        <v>Mid</v>
      </c>
    </row>
    <row r="415" spans="1:41">
      <c r="A415">
        <v>2</v>
      </c>
      <c r="B415" t="str">
        <f t="shared" si="66"/>
        <v>Second Class</v>
      </c>
      <c r="C415">
        <v>0</v>
      </c>
      <c r="E415" t="str">
        <f t="shared" si="67"/>
        <v>Died</v>
      </c>
      <c r="F415" t="s">
        <v>1355</v>
      </c>
      <c r="G415" t="s">
        <v>848</v>
      </c>
      <c r="H415" t="s">
        <v>852</v>
      </c>
      <c r="I415" t="str">
        <f t="shared" si="68"/>
        <v>Mr. Gale Harry</v>
      </c>
      <c r="J415" t="s">
        <v>20</v>
      </c>
      <c r="K415" t="str">
        <f t="shared" si="69"/>
        <v>Male</v>
      </c>
      <c r="L415">
        <v>38</v>
      </c>
      <c r="O415">
        <f t="shared" si="70"/>
        <v>38</v>
      </c>
      <c r="P415">
        <v>1</v>
      </c>
      <c r="R415" s="4">
        <v>0</v>
      </c>
      <c r="T415" s="5">
        <v>21</v>
      </c>
      <c r="W415" s="4">
        <v>38</v>
      </c>
      <c r="X415" s="4" t="str">
        <f t="shared" si="71"/>
        <v>Adult</v>
      </c>
      <c r="Y415" s="4" t="s">
        <v>3561</v>
      </c>
      <c r="AB415" s="4" t="str">
        <f t="shared" si="72"/>
        <v/>
      </c>
      <c r="AC415" s="4" t="str">
        <f t="shared" si="73"/>
        <v>Unknown</v>
      </c>
      <c r="AD415" s="4" t="s">
        <v>457</v>
      </c>
      <c r="AG415" s="4" t="str">
        <f t="shared" si="74"/>
        <v>Not Applicable</v>
      </c>
      <c r="AK415" s="4" t="s">
        <v>3573</v>
      </c>
      <c r="AL415" s="4" t="str">
        <f t="shared" si="75"/>
        <v>Found</v>
      </c>
      <c r="AN415" s="6">
        <v>21</v>
      </c>
      <c r="AO415" s="4" t="str">
        <f t="shared" si="76"/>
        <v>Mid</v>
      </c>
    </row>
    <row r="416" spans="1:41">
      <c r="A416">
        <v>2</v>
      </c>
      <c r="B416" t="str">
        <f t="shared" si="66"/>
        <v>Second Class</v>
      </c>
      <c r="C416">
        <v>0</v>
      </c>
      <c r="E416" t="str">
        <f t="shared" si="67"/>
        <v>Died</v>
      </c>
      <c r="F416" t="s">
        <v>1355</v>
      </c>
      <c r="G416" t="s">
        <v>848</v>
      </c>
      <c r="H416" t="s">
        <v>1356</v>
      </c>
      <c r="I416" t="str">
        <f t="shared" si="68"/>
        <v>Mr. Gale Shadrach</v>
      </c>
      <c r="J416" t="s">
        <v>20</v>
      </c>
      <c r="K416" t="str">
        <f t="shared" si="69"/>
        <v>Male</v>
      </c>
      <c r="L416">
        <v>34</v>
      </c>
      <c r="O416">
        <f t="shared" si="70"/>
        <v>34</v>
      </c>
      <c r="P416">
        <v>1</v>
      </c>
      <c r="R416" s="4">
        <v>0</v>
      </c>
      <c r="T416" s="5">
        <v>21</v>
      </c>
      <c r="W416" s="4">
        <v>34</v>
      </c>
      <c r="X416" s="4" t="str">
        <f t="shared" si="71"/>
        <v>Adult</v>
      </c>
      <c r="Y416" s="4" t="s">
        <v>3561</v>
      </c>
      <c r="AB416" s="4" t="str">
        <f t="shared" si="72"/>
        <v/>
      </c>
      <c r="AC416" s="4" t="str">
        <f t="shared" si="73"/>
        <v>Unknown</v>
      </c>
      <c r="AD416" s="4" t="s">
        <v>457</v>
      </c>
      <c r="AG416" s="4" t="str">
        <f t="shared" si="74"/>
        <v>Not Applicable</v>
      </c>
      <c r="AK416" s="4" t="s">
        <v>3573</v>
      </c>
      <c r="AL416" s="4" t="str">
        <f t="shared" si="75"/>
        <v>Found</v>
      </c>
      <c r="AN416" s="6">
        <v>21</v>
      </c>
      <c r="AO416" s="4" t="str">
        <f t="shared" si="76"/>
        <v>Mid</v>
      </c>
    </row>
    <row r="417" spans="1:41">
      <c r="A417">
        <v>2</v>
      </c>
      <c r="B417" t="str">
        <f t="shared" si="66"/>
        <v>Second Class</v>
      </c>
      <c r="C417">
        <v>1</v>
      </c>
      <c r="E417" t="str">
        <f t="shared" si="67"/>
        <v>Survived</v>
      </c>
      <c r="F417" t="s">
        <v>1357</v>
      </c>
      <c r="G417" t="s">
        <v>842</v>
      </c>
      <c r="H417" t="s">
        <v>1021</v>
      </c>
      <c r="I417" t="str">
        <f t="shared" si="68"/>
        <v>Miss. Garside Ethel</v>
      </c>
      <c r="J417" t="s">
        <v>47</v>
      </c>
      <c r="K417" t="str">
        <f t="shared" si="69"/>
        <v>Female</v>
      </c>
      <c r="L417">
        <v>34</v>
      </c>
      <c r="O417">
        <f t="shared" si="70"/>
        <v>34</v>
      </c>
      <c r="P417">
        <v>0</v>
      </c>
      <c r="R417" s="4">
        <v>0</v>
      </c>
      <c r="T417" s="5">
        <v>13</v>
      </c>
      <c r="W417" s="4">
        <v>34</v>
      </c>
      <c r="X417" s="4" t="str">
        <f t="shared" si="71"/>
        <v>Adult</v>
      </c>
      <c r="Y417" s="4" t="s">
        <v>3561</v>
      </c>
      <c r="AB417" s="4" t="str">
        <f t="shared" si="72"/>
        <v/>
      </c>
      <c r="AC417" s="4" t="str">
        <f t="shared" si="73"/>
        <v>Unknown</v>
      </c>
      <c r="AD417" s="4" t="s">
        <v>457</v>
      </c>
      <c r="AF417" s="4">
        <v>12</v>
      </c>
      <c r="AG417" s="4">
        <f t="shared" si="74"/>
        <v>12</v>
      </c>
      <c r="AK417" s="4" t="s">
        <v>3573</v>
      </c>
      <c r="AL417" s="4" t="str">
        <f t="shared" si="75"/>
        <v>Found</v>
      </c>
      <c r="AN417" s="6">
        <v>13</v>
      </c>
      <c r="AO417" s="4" t="str">
        <f t="shared" si="76"/>
        <v>Mid</v>
      </c>
    </row>
    <row r="418" spans="1:41">
      <c r="A418">
        <v>2</v>
      </c>
      <c r="B418" t="str">
        <f t="shared" si="66"/>
        <v>Second Class</v>
      </c>
      <c r="C418">
        <v>0</v>
      </c>
      <c r="E418" t="str">
        <f t="shared" si="67"/>
        <v>Died</v>
      </c>
      <c r="F418" t="s">
        <v>1358</v>
      </c>
      <c r="G418" t="s">
        <v>848</v>
      </c>
      <c r="H418" t="s">
        <v>1015</v>
      </c>
      <c r="I418" t="str">
        <f t="shared" si="68"/>
        <v>Mr. Gaskell Alfred</v>
      </c>
      <c r="J418" t="s">
        <v>20</v>
      </c>
      <c r="K418" t="str">
        <f t="shared" si="69"/>
        <v>Male</v>
      </c>
      <c r="L418">
        <v>16</v>
      </c>
      <c r="O418">
        <f t="shared" si="70"/>
        <v>16</v>
      </c>
      <c r="P418">
        <v>0</v>
      </c>
      <c r="R418" s="4">
        <v>0</v>
      </c>
      <c r="T418" s="5">
        <v>26</v>
      </c>
      <c r="W418" s="4">
        <v>16</v>
      </c>
      <c r="X418" s="4" t="str">
        <f t="shared" si="71"/>
        <v>Teenager</v>
      </c>
      <c r="Y418" s="4" t="s">
        <v>3561</v>
      </c>
      <c r="AB418" s="4" t="str">
        <f t="shared" si="72"/>
        <v/>
      </c>
      <c r="AC418" s="4" t="str">
        <f t="shared" si="73"/>
        <v>Unknown</v>
      </c>
      <c r="AD418" s="4" t="s">
        <v>457</v>
      </c>
      <c r="AG418" s="4" t="str">
        <f t="shared" si="74"/>
        <v>Not Applicable</v>
      </c>
      <c r="AK418" s="4" t="s">
        <v>3573</v>
      </c>
      <c r="AL418" s="4" t="str">
        <f t="shared" si="75"/>
        <v>Found</v>
      </c>
      <c r="AN418" s="6">
        <v>26</v>
      </c>
      <c r="AO418" s="4" t="str">
        <f t="shared" si="76"/>
        <v>Mid</v>
      </c>
    </row>
    <row r="419" spans="1:41">
      <c r="A419">
        <v>2</v>
      </c>
      <c r="B419" t="str">
        <f t="shared" si="66"/>
        <v>Second Class</v>
      </c>
      <c r="C419">
        <v>0</v>
      </c>
      <c r="E419" t="str">
        <f t="shared" si="67"/>
        <v>Died</v>
      </c>
      <c r="F419" t="s">
        <v>1359</v>
      </c>
      <c r="G419" t="s">
        <v>848</v>
      </c>
      <c r="H419" t="s">
        <v>1283</v>
      </c>
      <c r="I419" t="str">
        <f t="shared" si="68"/>
        <v>Mr. Gavey Lawrence</v>
      </c>
      <c r="J419" t="s">
        <v>20</v>
      </c>
      <c r="K419" t="str">
        <f t="shared" si="69"/>
        <v>Male</v>
      </c>
      <c r="L419">
        <v>26</v>
      </c>
      <c r="O419">
        <f t="shared" si="70"/>
        <v>26</v>
      </c>
      <c r="P419">
        <v>0</v>
      </c>
      <c r="R419" s="4">
        <v>0</v>
      </c>
      <c r="T419" s="5">
        <v>10.5</v>
      </c>
      <c r="W419" s="4">
        <v>26</v>
      </c>
      <c r="X419" s="4" t="str">
        <f t="shared" si="71"/>
        <v>Young Adult</v>
      </c>
      <c r="Y419" s="4" t="s">
        <v>3561</v>
      </c>
      <c r="AB419" s="4" t="str">
        <f t="shared" si="72"/>
        <v/>
      </c>
      <c r="AC419" s="4" t="str">
        <f t="shared" si="73"/>
        <v>Unknown</v>
      </c>
      <c r="AD419" s="4" t="s">
        <v>457</v>
      </c>
      <c r="AG419" s="4" t="str">
        <f t="shared" si="74"/>
        <v>Not Applicable</v>
      </c>
      <c r="AK419" s="4" t="s">
        <v>3573</v>
      </c>
      <c r="AL419" s="4" t="str">
        <f t="shared" si="75"/>
        <v>Found</v>
      </c>
      <c r="AN419" s="6">
        <v>10.5</v>
      </c>
      <c r="AO419" s="4" t="str">
        <f t="shared" si="76"/>
        <v>Mid</v>
      </c>
    </row>
    <row r="420" spans="1:41">
      <c r="A420">
        <v>2</v>
      </c>
      <c r="B420" t="str">
        <f t="shared" si="66"/>
        <v>Second Class</v>
      </c>
      <c r="C420">
        <v>0</v>
      </c>
      <c r="E420" t="str">
        <f t="shared" si="67"/>
        <v>Died</v>
      </c>
      <c r="F420" t="s">
        <v>1238</v>
      </c>
      <c r="G420" t="s">
        <v>848</v>
      </c>
      <c r="H420" t="s">
        <v>924</v>
      </c>
      <c r="I420" t="str">
        <f t="shared" si="68"/>
        <v>Mr. Gilbert William</v>
      </c>
      <c r="J420" t="s">
        <v>20</v>
      </c>
      <c r="K420" t="str">
        <f t="shared" si="69"/>
        <v>Male</v>
      </c>
      <c r="L420">
        <v>47</v>
      </c>
      <c r="O420">
        <f t="shared" si="70"/>
        <v>47</v>
      </c>
      <c r="P420">
        <v>0</v>
      </c>
      <c r="R420" s="4">
        <v>0</v>
      </c>
      <c r="T420" s="5">
        <v>10.5</v>
      </c>
      <c r="W420" s="4">
        <v>47</v>
      </c>
      <c r="X420" s="4" t="str">
        <f t="shared" si="71"/>
        <v>Adult</v>
      </c>
      <c r="Y420" s="4" t="s">
        <v>3561</v>
      </c>
      <c r="AB420" s="4" t="str">
        <f t="shared" si="72"/>
        <v/>
      </c>
      <c r="AC420" s="4" t="str">
        <f t="shared" si="73"/>
        <v>Unknown</v>
      </c>
      <c r="AD420" s="4" t="s">
        <v>457</v>
      </c>
      <c r="AG420" s="4" t="str">
        <f t="shared" si="74"/>
        <v>Not Applicable</v>
      </c>
      <c r="AK420" s="4" t="s">
        <v>3573</v>
      </c>
      <c r="AL420" s="4" t="str">
        <f t="shared" si="75"/>
        <v>Found</v>
      </c>
      <c r="AN420" s="6">
        <v>10.5</v>
      </c>
      <c r="AO420" s="4" t="str">
        <f t="shared" si="76"/>
        <v>Mid</v>
      </c>
    </row>
    <row r="421" spans="1:41">
      <c r="A421">
        <v>2</v>
      </c>
      <c r="B421" t="str">
        <f t="shared" si="66"/>
        <v>Second Class</v>
      </c>
      <c r="C421">
        <v>0</v>
      </c>
      <c r="E421" t="str">
        <f t="shared" si="67"/>
        <v>Died</v>
      </c>
      <c r="F421" t="s">
        <v>1360</v>
      </c>
      <c r="G421" t="s">
        <v>848</v>
      </c>
      <c r="H421" t="s">
        <v>1134</v>
      </c>
      <c r="I421" t="str">
        <f t="shared" si="68"/>
        <v>Mr. Giles Edgar</v>
      </c>
      <c r="J421" t="s">
        <v>20</v>
      </c>
      <c r="K421" t="str">
        <f t="shared" si="69"/>
        <v>Male</v>
      </c>
      <c r="L421">
        <v>21</v>
      </c>
      <c r="O421">
        <f t="shared" si="70"/>
        <v>21</v>
      </c>
      <c r="P421">
        <v>1</v>
      </c>
      <c r="R421" s="4">
        <v>0</v>
      </c>
      <c r="T421" s="5">
        <v>11.5</v>
      </c>
      <c r="W421" s="4">
        <v>21</v>
      </c>
      <c r="X421" s="4" t="str">
        <f t="shared" si="71"/>
        <v>Young Adult</v>
      </c>
      <c r="Y421" s="4" t="s">
        <v>3561</v>
      </c>
      <c r="AB421" s="4" t="str">
        <f t="shared" si="72"/>
        <v/>
      </c>
      <c r="AC421" s="4" t="str">
        <f t="shared" si="73"/>
        <v>Unknown</v>
      </c>
      <c r="AD421" s="4" t="s">
        <v>457</v>
      </c>
      <c r="AG421" s="4" t="str">
        <f t="shared" si="74"/>
        <v>Not Applicable</v>
      </c>
      <c r="AK421" s="4" t="s">
        <v>3573</v>
      </c>
      <c r="AL421" s="4" t="str">
        <f t="shared" si="75"/>
        <v>Found</v>
      </c>
      <c r="AN421" s="6">
        <v>11.5</v>
      </c>
      <c r="AO421" s="4" t="str">
        <f t="shared" si="76"/>
        <v>Mid</v>
      </c>
    </row>
    <row r="422" spans="1:41">
      <c r="A422">
        <v>2</v>
      </c>
      <c r="B422" t="str">
        <f t="shared" si="66"/>
        <v>Second Class</v>
      </c>
      <c r="C422">
        <v>0</v>
      </c>
      <c r="E422" t="str">
        <f t="shared" si="67"/>
        <v>Died</v>
      </c>
      <c r="F422" t="s">
        <v>1360</v>
      </c>
      <c r="G422" t="s">
        <v>848</v>
      </c>
      <c r="H422" t="s">
        <v>999</v>
      </c>
      <c r="I422" t="str">
        <f t="shared" si="68"/>
        <v>Mr. Giles Frederick</v>
      </c>
      <c r="J422" t="s">
        <v>20</v>
      </c>
      <c r="K422" t="str">
        <f t="shared" si="69"/>
        <v>Male</v>
      </c>
      <c r="L422">
        <v>21</v>
      </c>
      <c r="O422">
        <f t="shared" si="70"/>
        <v>21</v>
      </c>
      <c r="P422">
        <v>1</v>
      </c>
      <c r="R422" s="4">
        <v>0</v>
      </c>
      <c r="T422" s="5">
        <v>11.5</v>
      </c>
      <c r="W422" s="4">
        <v>21</v>
      </c>
      <c r="X422" s="4" t="str">
        <f t="shared" si="71"/>
        <v>Young Adult</v>
      </c>
      <c r="Y422" s="4" t="s">
        <v>3561</v>
      </c>
      <c r="AB422" s="4" t="str">
        <f t="shared" si="72"/>
        <v/>
      </c>
      <c r="AC422" s="4" t="str">
        <f t="shared" si="73"/>
        <v>Unknown</v>
      </c>
      <c r="AD422" s="4" t="s">
        <v>457</v>
      </c>
      <c r="AG422" s="4" t="str">
        <f t="shared" si="74"/>
        <v>Not Applicable</v>
      </c>
      <c r="AK422" s="4" t="s">
        <v>3573</v>
      </c>
      <c r="AL422" s="4" t="str">
        <f t="shared" si="75"/>
        <v>Found</v>
      </c>
      <c r="AN422" s="6">
        <v>11.5</v>
      </c>
      <c r="AO422" s="4" t="str">
        <f t="shared" si="76"/>
        <v>Mid</v>
      </c>
    </row>
    <row r="423" spans="1:41">
      <c r="A423">
        <v>2</v>
      </c>
      <c r="B423" t="str">
        <f t="shared" si="66"/>
        <v>Second Class</v>
      </c>
      <c r="C423">
        <v>0</v>
      </c>
      <c r="E423" t="str">
        <f t="shared" si="67"/>
        <v>Died</v>
      </c>
      <c r="F423" t="s">
        <v>1360</v>
      </c>
      <c r="G423" t="s">
        <v>848</v>
      </c>
      <c r="H423" t="s">
        <v>1361</v>
      </c>
      <c r="I423" t="str">
        <f t="shared" si="68"/>
        <v>Mr. Giles Ralph</v>
      </c>
      <c r="J423" t="s">
        <v>20</v>
      </c>
      <c r="K423" t="str">
        <f t="shared" si="69"/>
        <v>Male</v>
      </c>
      <c r="L423">
        <v>24</v>
      </c>
      <c r="O423">
        <f t="shared" si="70"/>
        <v>24</v>
      </c>
      <c r="P423">
        <v>0</v>
      </c>
      <c r="R423" s="4">
        <v>0</v>
      </c>
      <c r="T423" s="5">
        <v>13.5</v>
      </c>
      <c r="W423" s="4">
        <v>24</v>
      </c>
      <c r="X423" s="4" t="str">
        <f t="shared" si="71"/>
        <v>Young Adult</v>
      </c>
      <c r="Y423" s="4" t="s">
        <v>3561</v>
      </c>
      <c r="AB423" s="4" t="str">
        <f t="shared" si="72"/>
        <v/>
      </c>
      <c r="AC423" s="4" t="str">
        <f t="shared" si="73"/>
        <v>Unknown</v>
      </c>
      <c r="AD423" s="4" t="s">
        <v>457</v>
      </c>
      <c r="AG423" s="4" t="str">
        <f t="shared" si="74"/>
        <v>Not Applicable</v>
      </c>
      <c r="AH423" s="4">
        <v>297</v>
      </c>
      <c r="AK423" s="4">
        <v>297</v>
      </c>
      <c r="AL423" s="4" t="str">
        <f t="shared" si="75"/>
        <v>Found</v>
      </c>
      <c r="AN423" s="6">
        <v>13.5</v>
      </c>
      <c r="AO423" s="4" t="str">
        <f t="shared" si="76"/>
        <v>Mid</v>
      </c>
    </row>
    <row r="424" spans="1:41">
      <c r="A424">
        <v>2</v>
      </c>
      <c r="B424" t="str">
        <f t="shared" si="66"/>
        <v>Second Class</v>
      </c>
      <c r="C424">
        <v>0</v>
      </c>
      <c r="E424" t="str">
        <f t="shared" si="67"/>
        <v>Died</v>
      </c>
      <c r="F424" t="s">
        <v>1362</v>
      </c>
      <c r="G424" t="s">
        <v>848</v>
      </c>
      <c r="H424" t="s">
        <v>862</v>
      </c>
      <c r="I424" t="str">
        <f t="shared" si="68"/>
        <v>Mr. Gill John</v>
      </c>
      <c r="J424" t="s">
        <v>20</v>
      </c>
      <c r="K424" t="str">
        <f t="shared" si="69"/>
        <v>Male</v>
      </c>
      <c r="L424">
        <v>24</v>
      </c>
      <c r="O424">
        <f t="shared" si="70"/>
        <v>24</v>
      </c>
      <c r="P424">
        <v>0</v>
      </c>
      <c r="R424" s="4">
        <v>0</v>
      </c>
      <c r="T424" s="5">
        <v>13</v>
      </c>
      <c r="W424" s="4">
        <v>24</v>
      </c>
      <c r="X424" s="4" t="str">
        <f t="shared" si="71"/>
        <v>Young Adult</v>
      </c>
      <c r="Y424" s="4" t="s">
        <v>3561</v>
      </c>
      <c r="AB424" s="4" t="str">
        <f t="shared" si="72"/>
        <v/>
      </c>
      <c r="AC424" s="4" t="str">
        <f t="shared" si="73"/>
        <v>Unknown</v>
      </c>
      <c r="AD424" s="4" t="s">
        <v>457</v>
      </c>
      <c r="AG424" s="4" t="str">
        <f t="shared" si="74"/>
        <v>Not Applicable</v>
      </c>
      <c r="AH424" s="4">
        <v>155</v>
      </c>
      <c r="AK424" s="4">
        <v>155</v>
      </c>
      <c r="AL424" s="4" t="str">
        <f t="shared" si="75"/>
        <v>Found</v>
      </c>
      <c r="AN424" s="6">
        <v>13</v>
      </c>
      <c r="AO424" s="4" t="str">
        <f t="shared" si="76"/>
        <v>Mid</v>
      </c>
    </row>
    <row r="425" spans="1:41">
      <c r="A425">
        <v>2</v>
      </c>
      <c r="B425" t="str">
        <f t="shared" si="66"/>
        <v>Second Class</v>
      </c>
      <c r="C425">
        <v>0</v>
      </c>
      <c r="E425" t="str">
        <f t="shared" si="67"/>
        <v>Died</v>
      </c>
      <c r="F425" t="s">
        <v>1363</v>
      </c>
      <c r="G425" t="s">
        <v>848</v>
      </c>
      <c r="H425" t="s">
        <v>924</v>
      </c>
      <c r="I425" t="str">
        <f t="shared" si="68"/>
        <v>Mr. Gillespie William</v>
      </c>
      <c r="J425" t="s">
        <v>20</v>
      </c>
      <c r="K425" t="str">
        <f t="shared" si="69"/>
        <v>Male</v>
      </c>
      <c r="L425">
        <v>34</v>
      </c>
      <c r="O425">
        <f t="shared" si="70"/>
        <v>34</v>
      </c>
      <c r="P425">
        <v>0</v>
      </c>
      <c r="R425" s="4">
        <v>0</v>
      </c>
      <c r="T425" s="5">
        <v>13</v>
      </c>
      <c r="W425" s="4">
        <v>34</v>
      </c>
      <c r="X425" s="4" t="str">
        <f t="shared" si="71"/>
        <v>Adult</v>
      </c>
      <c r="Y425" s="4" t="s">
        <v>3561</v>
      </c>
      <c r="AB425" s="4" t="str">
        <f t="shared" si="72"/>
        <v/>
      </c>
      <c r="AC425" s="4" t="str">
        <f t="shared" si="73"/>
        <v>Unknown</v>
      </c>
      <c r="AD425" s="4" t="s">
        <v>457</v>
      </c>
      <c r="AG425" s="4" t="str">
        <f t="shared" si="74"/>
        <v>Not Applicable</v>
      </c>
      <c r="AK425" s="4" t="s">
        <v>3573</v>
      </c>
      <c r="AL425" s="4" t="str">
        <f t="shared" si="75"/>
        <v>Found</v>
      </c>
      <c r="AN425" s="6">
        <v>13</v>
      </c>
      <c r="AO425" s="4" t="str">
        <f t="shared" si="76"/>
        <v>Mid</v>
      </c>
    </row>
    <row r="426" spans="1:41">
      <c r="A426">
        <v>2</v>
      </c>
      <c r="B426" t="str">
        <f t="shared" si="66"/>
        <v>Second Class</v>
      </c>
      <c r="C426">
        <v>0</v>
      </c>
      <c r="E426" t="str">
        <f t="shared" si="67"/>
        <v>Died</v>
      </c>
      <c r="F426" t="s">
        <v>1364</v>
      </c>
      <c r="G426" t="s">
        <v>848</v>
      </c>
      <c r="H426" t="s">
        <v>1365</v>
      </c>
      <c r="I426" t="str">
        <f t="shared" si="68"/>
        <v>Mr. Givard Hans</v>
      </c>
      <c r="J426" t="s">
        <v>20</v>
      </c>
      <c r="K426" t="str">
        <f t="shared" si="69"/>
        <v>Male</v>
      </c>
      <c r="L426">
        <v>30</v>
      </c>
      <c r="O426">
        <f t="shared" si="70"/>
        <v>30</v>
      </c>
      <c r="P426">
        <v>0</v>
      </c>
      <c r="R426" s="4">
        <v>0</v>
      </c>
      <c r="T426" s="5">
        <v>13</v>
      </c>
      <c r="W426" s="4">
        <v>30</v>
      </c>
      <c r="X426" s="4" t="str">
        <f t="shared" si="71"/>
        <v>Adult</v>
      </c>
      <c r="Y426" s="4" t="s">
        <v>3561</v>
      </c>
      <c r="AB426" s="4" t="str">
        <f t="shared" si="72"/>
        <v/>
      </c>
      <c r="AC426" s="4" t="str">
        <f t="shared" si="73"/>
        <v>Unknown</v>
      </c>
      <c r="AD426" s="4" t="s">
        <v>457</v>
      </c>
      <c r="AG426" s="4" t="str">
        <f t="shared" si="74"/>
        <v>Not Applicable</v>
      </c>
      <c r="AH426" s="4">
        <v>305</v>
      </c>
      <c r="AK426" s="4">
        <v>305</v>
      </c>
      <c r="AL426" s="4" t="str">
        <f t="shared" si="75"/>
        <v>Found</v>
      </c>
      <c r="AN426" s="6">
        <v>13</v>
      </c>
      <c r="AO426" s="4" t="str">
        <f t="shared" si="76"/>
        <v>Mid</v>
      </c>
    </row>
    <row r="427" spans="1:41">
      <c r="A427">
        <v>2</v>
      </c>
      <c r="B427" t="str">
        <f t="shared" si="66"/>
        <v>Second Class</v>
      </c>
      <c r="C427">
        <v>0</v>
      </c>
      <c r="E427" t="str">
        <f t="shared" si="67"/>
        <v>Died</v>
      </c>
      <c r="F427" t="s">
        <v>1366</v>
      </c>
      <c r="G427" t="s">
        <v>848</v>
      </c>
      <c r="H427" t="s">
        <v>1046</v>
      </c>
      <c r="I427" t="str">
        <f t="shared" si="68"/>
        <v>Mr. Greenberg Samuel</v>
      </c>
      <c r="J427" t="s">
        <v>20</v>
      </c>
      <c r="K427" t="str">
        <f t="shared" si="69"/>
        <v>Male</v>
      </c>
      <c r="L427">
        <v>52</v>
      </c>
      <c r="O427">
        <f t="shared" si="70"/>
        <v>52</v>
      </c>
      <c r="P427">
        <v>0</v>
      </c>
      <c r="R427" s="4">
        <v>0</v>
      </c>
      <c r="T427" s="5">
        <v>13</v>
      </c>
      <c r="W427" s="4">
        <v>52</v>
      </c>
      <c r="X427" s="4" t="str">
        <f t="shared" si="71"/>
        <v>Adult</v>
      </c>
      <c r="Y427" s="4" t="s">
        <v>3561</v>
      </c>
      <c r="AB427" s="4" t="str">
        <f t="shared" si="72"/>
        <v/>
      </c>
      <c r="AC427" s="4" t="str">
        <f t="shared" si="73"/>
        <v>Unknown</v>
      </c>
      <c r="AD427" s="4" t="s">
        <v>457</v>
      </c>
      <c r="AG427" s="4" t="str">
        <f t="shared" si="74"/>
        <v>Not Applicable</v>
      </c>
      <c r="AH427" s="4">
        <v>19</v>
      </c>
      <c r="AK427" s="4">
        <v>19</v>
      </c>
      <c r="AL427" s="4" t="str">
        <f t="shared" si="75"/>
        <v>Found</v>
      </c>
      <c r="AN427" s="6">
        <v>13</v>
      </c>
      <c r="AO427" s="4" t="str">
        <f t="shared" si="76"/>
        <v>Mid</v>
      </c>
    </row>
    <row r="428" spans="1:41">
      <c r="A428">
        <v>2</v>
      </c>
      <c r="B428" t="str">
        <f t="shared" si="66"/>
        <v>Second Class</v>
      </c>
      <c r="C428">
        <v>0</v>
      </c>
      <c r="E428" t="str">
        <f t="shared" si="67"/>
        <v>Died</v>
      </c>
      <c r="F428" t="s">
        <v>1367</v>
      </c>
      <c r="G428" t="s">
        <v>848</v>
      </c>
      <c r="H428" t="s">
        <v>1300</v>
      </c>
      <c r="I428" t="str">
        <f t="shared" si="68"/>
        <v>Mr. Hale Reginald</v>
      </c>
      <c r="J428" t="s">
        <v>20</v>
      </c>
      <c r="K428" t="str">
        <f t="shared" si="69"/>
        <v>Male</v>
      </c>
      <c r="L428">
        <v>30</v>
      </c>
      <c r="O428">
        <f t="shared" si="70"/>
        <v>30</v>
      </c>
      <c r="P428">
        <v>0</v>
      </c>
      <c r="R428" s="4">
        <v>0</v>
      </c>
      <c r="T428" s="5">
        <v>13</v>
      </c>
      <c r="W428" s="4">
        <v>30</v>
      </c>
      <c r="X428" s="4" t="str">
        <f t="shared" si="71"/>
        <v>Adult</v>
      </c>
      <c r="Y428" s="4" t="s">
        <v>3561</v>
      </c>
      <c r="AB428" s="4" t="str">
        <f t="shared" si="72"/>
        <v/>
      </c>
      <c r="AC428" s="4" t="str">
        <f t="shared" si="73"/>
        <v>Unknown</v>
      </c>
      <c r="AD428" s="4" t="s">
        <v>457</v>
      </c>
      <c r="AG428" s="4" t="str">
        <f t="shared" si="74"/>
        <v>Not Applicable</v>
      </c>
      <c r="AH428" s="4">
        <v>75</v>
      </c>
      <c r="AK428" s="4">
        <v>75</v>
      </c>
      <c r="AL428" s="4" t="str">
        <f t="shared" si="75"/>
        <v>Found</v>
      </c>
      <c r="AN428" s="6">
        <v>13</v>
      </c>
      <c r="AO428" s="4" t="str">
        <f t="shared" si="76"/>
        <v>Mid</v>
      </c>
    </row>
    <row r="429" spans="1:41">
      <c r="A429">
        <v>2</v>
      </c>
      <c r="B429" t="str">
        <f t="shared" si="66"/>
        <v>Second Class</v>
      </c>
      <c r="C429">
        <v>1</v>
      </c>
      <c r="E429" t="str">
        <f t="shared" si="67"/>
        <v>Survived</v>
      </c>
      <c r="F429" t="s">
        <v>1368</v>
      </c>
      <c r="G429" t="s">
        <v>845</v>
      </c>
      <c r="H429" t="s">
        <v>1369</v>
      </c>
      <c r="I429" t="str">
        <f t="shared" si="68"/>
        <v>Master. Hamalainen Viljo</v>
      </c>
      <c r="J429" t="s">
        <v>20</v>
      </c>
      <c r="K429" t="str">
        <f t="shared" si="69"/>
        <v>Male</v>
      </c>
      <c r="L429">
        <v>0.66669999999999996</v>
      </c>
      <c r="O429">
        <f t="shared" si="70"/>
        <v>1</v>
      </c>
      <c r="P429">
        <v>1</v>
      </c>
      <c r="R429" s="4">
        <v>1</v>
      </c>
      <c r="T429" s="5">
        <v>14.5</v>
      </c>
      <c r="W429" s="4">
        <v>1</v>
      </c>
      <c r="X429" s="4" t="str">
        <f t="shared" si="71"/>
        <v>Child</v>
      </c>
      <c r="Y429" s="4" t="s">
        <v>3561</v>
      </c>
      <c r="AB429" s="4" t="str">
        <f t="shared" si="72"/>
        <v/>
      </c>
      <c r="AC429" s="4" t="str">
        <f t="shared" si="73"/>
        <v>Unknown</v>
      </c>
      <c r="AD429" s="4" t="s">
        <v>457</v>
      </c>
      <c r="AF429" s="4">
        <v>4</v>
      </c>
      <c r="AG429" s="4">
        <f t="shared" si="74"/>
        <v>4</v>
      </c>
      <c r="AK429" s="4" t="s">
        <v>3573</v>
      </c>
      <c r="AL429" s="4" t="str">
        <f t="shared" si="75"/>
        <v>Found</v>
      </c>
      <c r="AN429" s="6">
        <v>14.5</v>
      </c>
      <c r="AO429" s="4" t="str">
        <f t="shared" si="76"/>
        <v>Mid</v>
      </c>
    </row>
    <row r="430" spans="1:41">
      <c r="A430">
        <v>2</v>
      </c>
      <c r="B430" t="str">
        <f t="shared" si="66"/>
        <v>Second Class</v>
      </c>
      <c r="C430">
        <v>1</v>
      </c>
      <c r="E430" t="str">
        <f t="shared" si="67"/>
        <v>Survived</v>
      </c>
      <c r="F430" t="s">
        <v>1368</v>
      </c>
      <c r="G430" t="s">
        <v>849</v>
      </c>
      <c r="H430" t="s">
        <v>924</v>
      </c>
      <c r="I430" t="str">
        <f t="shared" si="68"/>
        <v>Mrs. Hamalainen William</v>
      </c>
      <c r="J430" t="s">
        <v>47</v>
      </c>
      <c r="K430" t="str">
        <f t="shared" si="69"/>
        <v>Female</v>
      </c>
      <c r="L430">
        <v>24</v>
      </c>
      <c r="O430">
        <f t="shared" si="70"/>
        <v>24</v>
      </c>
      <c r="P430">
        <v>0</v>
      </c>
      <c r="R430" s="4">
        <v>2</v>
      </c>
      <c r="T430" s="5">
        <v>14.5</v>
      </c>
      <c r="W430" s="4">
        <v>24</v>
      </c>
      <c r="X430" s="4" t="str">
        <f t="shared" si="71"/>
        <v>Young Adult</v>
      </c>
      <c r="Y430" s="4" t="s">
        <v>3561</v>
      </c>
      <c r="AB430" s="4" t="str">
        <f t="shared" si="72"/>
        <v/>
      </c>
      <c r="AC430" s="4" t="str">
        <f t="shared" si="73"/>
        <v>Unknown</v>
      </c>
      <c r="AD430" s="4" t="s">
        <v>457</v>
      </c>
      <c r="AF430" s="4">
        <v>4</v>
      </c>
      <c r="AG430" s="4">
        <f t="shared" si="74"/>
        <v>4</v>
      </c>
      <c r="AK430" s="4" t="s">
        <v>3573</v>
      </c>
      <c r="AL430" s="4" t="str">
        <f t="shared" si="75"/>
        <v>Found</v>
      </c>
      <c r="AN430" s="6">
        <v>14.5</v>
      </c>
      <c r="AO430" s="4" t="str">
        <f t="shared" si="76"/>
        <v>Mid</v>
      </c>
    </row>
    <row r="431" spans="1:41">
      <c r="A431">
        <v>2</v>
      </c>
      <c r="B431" t="str">
        <f t="shared" si="66"/>
        <v>Second Class</v>
      </c>
      <c r="C431">
        <v>0</v>
      </c>
      <c r="E431" t="str">
        <f t="shared" si="67"/>
        <v>Died</v>
      </c>
      <c r="F431" t="s">
        <v>1370</v>
      </c>
      <c r="G431" t="s">
        <v>848</v>
      </c>
      <c r="H431" t="s">
        <v>924</v>
      </c>
      <c r="I431" t="str">
        <f t="shared" si="68"/>
        <v>Mr. Harbeck William</v>
      </c>
      <c r="J431" t="s">
        <v>20</v>
      </c>
      <c r="K431" t="str">
        <f t="shared" si="69"/>
        <v>Male</v>
      </c>
      <c r="L431">
        <v>44</v>
      </c>
      <c r="O431">
        <f t="shared" si="70"/>
        <v>44</v>
      </c>
      <c r="P431">
        <v>0</v>
      </c>
      <c r="R431" s="4">
        <v>0</v>
      </c>
      <c r="T431" s="5">
        <v>13</v>
      </c>
      <c r="W431" s="4">
        <v>44</v>
      </c>
      <c r="X431" s="4" t="str">
        <f t="shared" si="71"/>
        <v>Adult</v>
      </c>
      <c r="Y431" s="4" t="s">
        <v>3561</v>
      </c>
      <c r="AB431" s="4" t="str">
        <f t="shared" si="72"/>
        <v/>
      </c>
      <c r="AC431" s="4" t="str">
        <f t="shared" si="73"/>
        <v>Unknown</v>
      </c>
      <c r="AD431" s="4" t="s">
        <v>457</v>
      </c>
      <c r="AG431" s="4" t="str">
        <f t="shared" si="74"/>
        <v>Not Applicable</v>
      </c>
      <c r="AH431" s="4">
        <v>35</v>
      </c>
      <c r="AK431" s="4">
        <v>35</v>
      </c>
      <c r="AL431" s="4" t="str">
        <f t="shared" si="75"/>
        <v>Found</v>
      </c>
      <c r="AN431" s="6">
        <v>13</v>
      </c>
      <c r="AO431" s="4" t="str">
        <f t="shared" si="76"/>
        <v>Mid</v>
      </c>
    </row>
    <row r="432" spans="1:41">
      <c r="A432">
        <v>2</v>
      </c>
      <c r="B432" t="str">
        <f t="shared" si="66"/>
        <v>Second Class</v>
      </c>
      <c r="C432">
        <v>1</v>
      </c>
      <c r="E432" t="str">
        <f t="shared" si="67"/>
        <v>Survived</v>
      </c>
      <c r="F432" t="s">
        <v>1055</v>
      </c>
      <c r="G432" t="s">
        <v>842</v>
      </c>
      <c r="H432" t="s">
        <v>1308</v>
      </c>
      <c r="I432" t="str">
        <f t="shared" si="68"/>
        <v>Miss. Harper Annie</v>
      </c>
      <c r="J432" t="s">
        <v>47</v>
      </c>
      <c r="K432" t="str">
        <f t="shared" si="69"/>
        <v>Female</v>
      </c>
      <c r="L432">
        <v>6</v>
      </c>
      <c r="O432">
        <f t="shared" si="70"/>
        <v>6</v>
      </c>
      <c r="P432">
        <v>0</v>
      </c>
      <c r="R432" s="4">
        <v>1</v>
      </c>
      <c r="T432" s="5">
        <v>33</v>
      </c>
      <c r="W432" s="4">
        <v>6</v>
      </c>
      <c r="X432" s="4" t="str">
        <f t="shared" si="71"/>
        <v>Child</v>
      </c>
      <c r="Y432" s="4" t="s">
        <v>3561</v>
      </c>
      <c r="AB432" s="4" t="str">
        <f t="shared" si="72"/>
        <v/>
      </c>
      <c r="AC432" s="4" t="str">
        <f t="shared" si="73"/>
        <v>Unknown</v>
      </c>
      <c r="AD432" s="4" t="s">
        <v>457</v>
      </c>
      <c r="AF432" s="4">
        <v>11</v>
      </c>
      <c r="AG432" s="4">
        <f t="shared" si="74"/>
        <v>11</v>
      </c>
      <c r="AK432" s="4" t="s">
        <v>3573</v>
      </c>
      <c r="AL432" s="4" t="str">
        <f t="shared" si="75"/>
        <v>Found</v>
      </c>
      <c r="AN432" s="6">
        <v>33</v>
      </c>
      <c r="AO432" s="4" t="str">
        <f t="shared" si="76"/>
        <v>Mid</v>
      </c>
    </row>
    <row r="433" spans="1:41">
      <c r="A433">
        <v>2</v>
      </c>
      <c r="B433" t="str">
        <f t="shared" si="66"/>
        <v>Second Class</v>
      </c>
      <c r="C433">
        <v>0</v>
      </c>
      <c r="E433" t="str">
        <f t="shared" si="67"/>
        <v>Died</v>
      </c>
      <c r="F433" t="s">
        <v>1055</v>
      </c>
      <c r="G433" t="s">
        <v>1277</v>
      </c>
      <c r="H433" t="s">
        <v>862</v>
      </c>
      <c r="I433" t="str">
        <f t="shared" si="68"/>
        <v>Rev. Harper John</v>
      </c>
      <c r="J433" t="s">
        <v>20</v>
      </c>
      <c r="K433" t="str">
        <f t="shared" si="69"/>
        <v>Male</v>
      </c>
      <c r="L433">
        <v>28</v>
      </c>
      <c r="O433">
        <f t="shared" si="70"/>
        <v>28</v>
      </c>
      <c r="P433">
        <v>0</v>
      </c>
      <c r="R433" s="4">
        <v>1</v>
      </c>
      <c r="T433" s="5">
        <v>33</v>
      </c>
      <c r="W433" s="4">
        <v>28</v>
      </c>
      <c r="X433" s="4" t="str">
        <f t="shared" si="71"/>
        <v>Young Adult</v>
      </c>
      <c r="Y433" s="4" t="s">
        <v>3561</v>
      </c>
      <c r="AB433" s="4" t="str">
        <f t="shared" si="72"/>
        <v/>
      </c>
      <c r="AC433" s="4" t="str">
        <f t="shared" si="73"/>
        <v>Unknown</v>
      </c>
      <c r="AD433" s="4" t="s">
        <v>457</v>
      </c>
      <c r="AG433" s="4" t="str">
        <f t="shared" si="74"/>
        <v>Not Applicable</v>
      </c>
      <c r="AK433" s="4" t="s">
        <v>3573</v>
      </c>
      <c r="AL433" s="4" t="str">
        <f t="shared" si="75"/>
        <v>Found</v>
      </c>
      <c r="AN433" s="6">
        <v>33</v>
      </c>
      <c r="AO433" s="4" t="str">
        <f t="shared" si="76"/>
        <v>Mid</v>
      </c>
    </row>
    <row r="434" spans="1:41">
      <c r="A434">
        <v>2</v>
      </c>
      <c r="B434" t="str">
        <f t="shared" si="66"/>
        <v>Second Class</v>
      </c>
      <c r="C434">
        <v>1</v>
      </c>
      <c r="E434" t="str">
        <f t="shared" si="67"/>
        <v>Survived</v>
      </c>
      <c r="F434" t="s">
        <v>1057</v>
      </c>
      <c r="G434" t="s">
        <v>848</v>
      </c>
      <c r="H434" t="s">
        <v>912</v>
      </c>
      <c r="I434" t="str">
        <f t="shared" si="68"/>
        <v>Mr. Harris George</v>
      </c>
      <c r="J434" t="s">
        <v>20</v>
      </c>
      <c r="K434" t="str">
        <f t="shared" si="69"/>
        <v>Male</v>
      </c>
      <c r="L434">
        <v>62</v>
      </c>
      <c r="O434">
        <f t="shared" si="70"/>
        <v>62</v>
      </c>
      <c r="P434">
        <v>0</v>
      </c>
      <c r="R434" s="4">
        <v>0</v>
      </c>
      <c r="T434" s="5">
        <v>10.5</v>
      </c>
      <c r="W434" s="4">
        <v>62</v>
      </c>
      <c r="X434" s="4" t="str">
        <f t="shared" si="71"/>
        <v>Old Adult</v>
      </c>
      <c r="Y434" s="4" t="s">
        <v>3561</v>
      </c>
      <c r="AB434" s="4" t="str">
        <f t="shared" si="72"/>
        <v/>
      </c>
      <c r="AC434" s="4" t="str">
        <f t="shared" si="73"/>
        <v>Unknown</v>
      </c>
      <c r="AD434" s="4" t="s">
        <v>457</v>
      </c>
      <c r="AF434" s="4">
        <v>15</v>
      </c>
      <c r="AG434" s="4">
        <f t="shared" si="74"/>
        <v>15</v>
      </c>
      <c r="AK434" s="4" t="s">
        <v>3573</v>
      </c>
      <c r="AL434" s="4" t="str">
        <f t="shared" si="75"/>
        <v>Found</v>
      </c>
      <c r="AN434" s="6">
        <v>10.5</v>
      </c>
      <c r="AO434" s="4" t="str">
        <f t="shared" si="76"/>
        <v>Mid</v>
      </c>
    </row>
    <row r="435" spans="1:41">
      <c r="A435">
        <v>2</v>
      </c>
      <c r="B435" t="str">
        <f t="shared" si="66"/>
        <v>Second Class</v>
      </c>
      <c r="C435">
        <v>0</v>
      </c>
      <c r="E435" t="str">
        <f t="shared" si="67"/>
        <v>Died</v>
      </c>
      <c r="F435" t="s">
        <v>1057</v>
      </c>
      <c r="G435" t="s">
        <v>848</v>
      </c>
      <c r="H435" t="s">
        <v>970</v>
      </c>
      <c r="I435" t="str">
        <f t="shared" si="68"/>
        <v>Mr. Harris Walter</v>
      </c>
      <c r="J435" t="s">
        <v>20</v>
      </c>
      <c r="K435" t="str">
        <f t="shared" si="69"/>
        <v>Male</v>
      </c>
      <c r="L435">
        <v>30</v>
      </c>
      <c r="O435">
        <f t="shared" si="70"/>
        <v>30</v>
      </c>
      <c r="P435">
        <v>0</v>
      </c>
      <c r="R435" s="4">
        <v>0</v>
      </c>
      <c r="T435" s="5">
        <v>10.5</v>
      </c>
      <c r="W435" s="4">
        <v>30</v>
      </c>
      <c r="X435" s="4" t="str">
        <f t="shared" si="71"/>
        <v>Adult</v>
      </c>
      <c r="Y435" s="4" t="s">
        <v>3561</v>
      </c>
      <c r="AB435" s="4" t="str">
        <f t="shared" si="72"/>
        <v/>
      </c>
      <c r="AC435" s="4" t="str">
        <f t="shared" si="73"/>
        <v>Unknown</v>
      </c>
      <c r="AD435" s="4" t="s">
        <v>457</v>
      </c>
      <c r="AG435" s="4" t="str">
        <f t="shared" si="74"/>
        <v>Not Applicable</v>
      </c>
      <c r="AK435" s="4" t="s">
        <v>3573</v>
      </c>
      <c r="AL435" s="4" t="str">
        <f t="shared" si="75"/>
        <v>Found</v>
      </c>
      <c r="AN435" s="6">
        <v>10.5</v>
      </c>
      <c r="AO435" s="4" t="str">
        <f t="shared" si="76"/>
        <v>Mid</v>
      </c>
    </row>
    <row r="436" spans="1:41">
      <c r="A436">
        <v>2</v>
      </c>
      <c r="B436" t="str">
        <f t="shared" si="66"/>
        <v>Second Class</v>
      </c>
      <c r="C436">
        <v>1</v>
      </c>
      <c r="E436" t="str">
        <f t="shared" si="67"/>
        <v>Survived</v>
      </c>
      <c r="F436" t="s">
        <v>1372</v>
      </c>
      <c r="G436" t="s">
        <v>842</v>
      </c>
      <c r="H436" t="s">
        <v>1373</v>
      </c>
      <c r="I436" t="str">
        <f t="shared" si="68"/>
        <v>Miss. Hart Eva</v>
      </c>
      <c r="J436" t="s">
        <v>47</v>
      </c>
      <c r="K436" t="str">
        <f t="shared" si="69"/>
        <v>Female</v>
      </c>
      <c r="L436">
        <v>7</v>
      </c>
      <c r="O436">
        <f t="shared" si="70"/>
        <v>7</v>
      </c>
      <c r="P436">
        <v>0</v>
      </c>
      <c r="R436" s="4">
        <v>2</v>
      </c>
      <c r="T436" s="5">
        <v>26.25</v>
      </c>
      <c r="W436" s="4">
        <v>7</v>
      </c>
      <c r="X436" s="4" t="str">
        <f t="shared" si="71"/>
        <v>Child</v>
      </c>
      <c r="Y436" s="4" t="s">
        <v>3561</v>
      </c>
      <c r="AB436" s="4" t="str">
        <f t="shared" si="72"/>
        <v/>
      </c>
      <c r="AC436" s="4" t="str">
        <f t="shared" si="73"/>
        <v>Unknown</v>
      </c>
      <c r="AD436" s="4" t="s">
        <v>457</v>
      </c>
      <c r="AF436" s="4">
        <v>14</v>
      </c>
      <c r="AG436" s="4">
        <f t="shared" si="74"/>
        <v>14</v>
      </c>
      <c r="AK436" s="4" t="s">
        <v>3573</v>
      </c>
      <c r="AL436" s="4" t="str">
        <f t="shared" si="75"/>
        <v>Found</v>
      </c>
      <c r="AN436" s="6">
        <v>26.25</v>
      </c>
      <c r="AO436" s="4" t="str">
        <f t="shared" si="76"/>
        <v>Mid</v>
      </c>
    </row>
    <row r="437" spans="1:41">
      <c r="A437">
        <v>2</v>
      </c>
      <c r="B437" t="str">
        <f t="shared" si="66"/>
        <v>Second Class</v>
      </c>
      <c r="C437">
        <v>0</v>
      </c>
      <c r="E437" t="str">
        <f t="shared" si="67"/>
        <v>Died</v>
      </c>
      <c r="F437" t="s">
        <v>1372</v>
      </c>
      <c r="G437" t="s">
        <v>848</v>
      </c>
      <c r="H437" t="s">
        <v>1019</v>
      </c>
      <c r="I437" t="str">
        <f t="shared" si="68"/>
        <v>Mr. Hart Benjamin</v>
      </c>
      <c r="J437" t="s">
        <v>20</v>
      </c>
      <c r="K437" t="str">
        <f t="shared" si="69"/>
        <v>Male</v>
      </c>
      <c r="L437">
        <v>43</v>
      </c>
      <c r="O437">
        <f t="shared" si="70"/>
        <v>43</v>
      </c>
      <c r="P437">
        <v>1</v>
      </c>
      <c r="R437" s="4">
        <v>1</v>
      </c>
      <c r="T437" s="5">
        <v>26.25</v>
      </c>
      <c r="W437" s="4">
        <v>43</v>
      </c>
      <c r="X437" s="4" t="str">
        <f t="shared" si="71"/>
        <v>Adult</v>
      </c>
      <c r="Y437" s="4" t="s">
        <v>3561</v>
      </c>
      <c r="AB437" s="4" t="str">
        <f t="shared" si="72"/>
        <v/>
      </c>
      <c r="AC437" s="4" t="str">
        <f t="shared" si="73"/>
        <v>Unknown</v>
      </c>
      <c r="AD437" s="4" t="s">
        <v>457</v>
      </c>
      <c r="AG437" s="4" t="str">
        <f t="shared" si="74"/>
        <v>Not Applicable</v>
      </c>
      <c r="AK437" s="4" t="s">
        <v>3573</v>
      </c>
      <c r="AL437" s="4" t="str">
        <f t="shared" si="75"/>
        <v>Found</v>
      </c>
      <c r="AN437" s="6">
        <v>26.25</v>
      </c>
      <c r="AO437" s="4" t="str">
        <f t="shared" si="76"/>
        <v>Mid</v>
      </c>
    </row>
    <row r="438" spans="1:41">
      <c r="A438">
        <v>2</v>
      </c>
      <c r="B438" t="str">
        <f t="shared" si="66"/>
        <v>Second Class</v>
      </c>
      <c r="C438">
        <v>1</v>
      </c>
      <c r="E438" t="str">
        <f t="shared" si="67"/>
        <v>Survived</v>
      </c>
      <c r="F438" t="s">
        <v>1372</v>
      </c>
      <c r="G438" t="s">
        <v>849</v>
      </c>
      <c r="H438" t="s">
        <v>1019</v>
      </c>
      <c r="I438" t="str">
        <f t="shared" si="68"/>
        <v>Mrs. Hart Benjamin</v>
      </c>
      <c r="J438" t="s">
        <v>47</v>
      </c>
      <c r="K438" t="str">
        <f t="shared" si="69"/>
        <v>Female</v>
      </c>
      <c r="L438">
        <v>45</v>
      </c>
      <c r="O438">
        <f t="shared" si="70"/>
        <v>45</v>
      </c>
      <c r="P438">
        <v>1</v>
      </c>
      <c r="R438" s="4">
        <v>1</v>
      </c>
      <c r="T438" s="5">
        <v>26.25</v>
      </c>
      <c r="W438" s="4">
        <v>45</v>
      </c>
      <c r="X438" s="4" t="str">
        <f t="shared" si="71"/>
        <v>Adult</v>
      </c>
      <c r="Y438" s="4" t="s">
        <v>3561</v>
      </c>
      <c r="AB438" s="4" t="str">
        <f t="shared" si="72"/>
        <v/>
      </c>
      <c r="AC438" s="4" t="str">
        <f t="shared" si="73"/>
        <v>Unknown</v>
      </c>
      <c r="AD438" s="4" t="s">
        <v>457</v>
      </c>
      <c r="AF438" s="4">
        <v>14</v>
      </c>
      <c r="AG438" s="4">
        <f t="shared" si="74"/>
        <v>14</v>
      </c>
      <c r="AK438" s="4" t="s">
        <v>3573</v>
      </c>
      <c r="AL438" s="4" t="str">
        <f t="shared" si="75"/>
        <v>Found</v>
      </c>
      <c r="AN438" s="6">
        <v>26.25</v>
      </c>
      <c r="AO438" s="4" t="str">
        <f t="shared" si="76"/>
        <v>Mid</v>
      </c>
    </row>
    <row r="439" spans="1:41">
      <c r="A439">
        <v>2</v>
      </c>
      <c r="B439" t="str">
        <f t="shared" si="66"/>
        <v>Second Class</v>
      </c>
      <c r="C439">
        <v>1</v>
      </c>
      <c r="E439" t="str">
        <f t="shared" si="67"/>
        <v>Survived</v>
      </c>
      <c r="F439" t="s">
        <v>1090</v>
      </c>
      <c r="G439" t="s">
        <v>842</v>
      </c>
      <c r="H439" t="s">
        <v>972</v>
      </c>
      <c r="I439" t="str">
        <f t="shared" si="68"/>
        <v>Miss. Herman Alice</v>
      </c>
      <c r="J439" t="s">
        <v>47</v>
      </c>
      <c r="K439" t="str">
        <f t="shared" si="69"/>
        <v>Female</v>
      </c>
      <c r="L439">
        <v>24</v>
      </c>
      <c r="O439">
        <f t="shared" si="70"/>
        <v>24</v>
      </c>
      <c r="P439">
        <v>1</v>
      </c>
      <c r="R439" s="4">
        <v>2</v>
      </c>
      <c r="T439" s="5">
        <v>65</v>
      </c>
      <c r="W439" s="4">
        <v>24</v>
      </c>
      <c r="X439" s="4" t="str">
        <f t="shared" si="71"/>
        <v>Young Adult</v>
      </c>
      <c r="Y439" s="4" t="s">
        <v>3561</v>
      </c>
      <c r="AB439" s="4" t="str">
        <f t="shared" si="72"/>
        <v/>
      </c>
      <c r="AC439" s="4" t="str">
        <f t="shared" si="73"/>
        <v>Unknown</v>
      </c>
      <c r="AD439" s="4" t="s">
        <v>457</v>
      </c>
      <c r="AF439" s="4">
        <v>9</v>
      </c>
      <c r="AG439" s="4">
        <f t="shared" si="74"/>
        <v>9</v>
      </c>
      <c r="AK439" s="4" t="s">
        <v>3573</v>
      </c>
      <c r="AL439" s="4" t="str">
        <f t="shared" si="75"/>
        <v>Found</v>
      </c>
      <c r="AN439" s="6">
        <v>65</v>
      </c>
      <c r="AO439" s="4" t="str">
        <f t="shared" si="76"/>
        <v>High</v>
      </c>
    </row>
    <row r="440" spans="1:41">
      <c r="A440">
        <v>2</v>
      </c>
      <c r="B440" t="str">
        <f t="shared" si="66"/>
        <v>Second Class</v>
      </c>
      <c r="C440">
        <v>1</v>
      </c>
      <c r="E440" t="str">
        <f t="shared" si="67"/>
        <v>Survived</v>
      </c>
      <c r="F440" t="s">
        <v>1090</v>
      </c>
      <c r="G440" t="s">
        <v>842</v>
      </c>
      <c r="H440" t="s">
        <v>1298</v>
      </c>
      <c r="I440" t="str">
        <f t="shared" si="68"/>
        <v>Miss. Herman Kate</v>
      </c>
      <c r="J440" t="s">
        <v>47</v>
      </c>
      <c r="K440" t="str">
        <f t="shared" si="69"/>
        <v>Female</v>
      </c>
      <c r="L440">
        <v>24</v>
      </c>
      <c r="O440">
        <f t="shared" si="70"/>
        <v>24</v>
      </c>
      <c r="P440">
        <v>1</v>
      </c>
      <c r="R440" s="4">
        <v>2</v>
      </c>
      <c r="T440" s="5">
        <v>65</v>
      </c>
      <c r="W440" s="4">
        <v>24</v>
      </c>
      <c r="X440" s="4" t="str">
        <f t="shared" si="71"/>
        <v>Young Adult</v>
      </c>
      <c r="Y440" s="4" t="s">
        <v>3561</v>
      </c>
      <c r="AB440" s="4" t="str">
        <f t="shared" si="72"/>
        <v/>
      </c>
      <c r="AC440" s="4" t="str">
        <f t="shared" si="73"/>
        <v>Unknown</v>
      </c>
      <c r="AD440" s="4" t="s">
        <v>457</v>
      </c>
      <c r="AF440" s="4">
        <v>9</v>
      </c>
      <c r="AG440" s="4">
        <f t="shared" si="74"/>
        <v>9</v>
      </c>
      <c r="AK440" s="4" t="s">
        <v>3573</v>
      </c>
      <c r="AL440" s="4" t="str">
        <f t="shared" si="75"/>
        <v>Found</v>
      </c>
      <c r="AN440" s="6">
        <v>65</v>
      </c>
      <c r="AO440" s="4" t="str">
        <f t="shared" si="76"/>
        <v>High</v>
      </c>
    </row>
    <row r="441" spans="1:41">
      <c r="A441">
        <v>2</v>
      </c>
      <c r="B441" t="str">
        <f t="shared" si="66"/>
        <v>Second Class</v>
      </c>
      <c r="C441">
        <v>0</v>
      </c>
      <c r="E441" t="str">
        <f t="shared" si="67"/>
        <v>Died</v>
      </c>
      <c r="F441" t="s">
        <v>1090</v>
      </c>
      <c r="G441" t="s">
        <v>848</v>
      </c>
      <c r="H441" t="s">
        <v>1046</v>
      </c>
      <c r="I441" t="str">
        <f t="shared" si="68"/>
        <v>Mr. Herman Samuel</v>
      </c>
      <c r="J441" t="s">
        <v>20</v>
      </c>
      <c r="K441" t="str">
        <f t="shared" si="69"/>
        <v>Male</v>
      </c>
      <c r="L441">
        <v>49</v>
      </c>
      <c r="O441">
        <f t="shared" si="70"/>
        <v>49</v>
      </c>
      <c r="P441">
        <v>1</v>
      </c>
      <c r="R441" s="4">
        <v>2</v>
      </c>
      <c r="T441" s="5">
        <v>65</v>
      </c>
      <c r="W441" s="4">
        <v>49</v>
      </c>
      <c r="X441" s="4" t="str">
        <f t="shared" si="71"/>
        <v>Adult</v>
      </c>
      <c r="Y441" s="4" t="s">
        <v>3561</v>
      </c>
      <c r="AB441" s="4" t="str">
        <f t="shared" si="72"/>
        <v/>
      </c>
      <c r="AC441" s="4" t="str">
        <f t="shared" si="73"/>
        <v>Unknown</v>
      </c>
      <c r="AD441" s="4" t="s">
        <v>457</v>
      </c>
      <c r="AG441" s="4" t="str">
        <f t="shared" si="74"/>
        <v>Not Applicable</v>
      </c>
      <c r="AK441" s="4" t="s">
        <v>3573</v>
      </c>
      <c r="AL441" s="4" t="str">
        <f t="shared" si="75"/>
        <v>Found</v>
      </c>
      <c r="AN441" s="6">
        <v>65</v>
      </c>
      <c r="AO441" s="4" t="str">
        <f t="shared" si="76"/>
        <v>High</v>
      </c>
    </row>
    <row r="442" spans="1:41">
      <c r="A442">
        <v>2</v>
      </c>
      <c r="B442" t="str">
        <f t="shared" si="66"/>
        <v>Second Class</v>
      </c>
      <c r="C442">
        <v>1</v>
      </c>
      <c r="E442" t="str">
        <f t="shared" si="67"/>
        <v>Survived</v>
      </c>
      <c r="F442" t="s">
        <v>1090</v>
      </c>
      <c r="G442" t="s">
        <v>849</v>
      </c>
      <c r="H442" t="s">
        <v>1046</v>
      </c>
      <c r="I442" t="str">
        <f t="shared" si="68"/>
        <v>Mrs. Herman Samuel</v>
      </c>
      <c r="J442" t="s">
        <v>47</v>
      </c>
      <c r="K442" t="str">
        <f t="shared" si="69"/>
        <v>Female</v>
      </c>
      <c r="L442">
        <v>48</v>
      </c>
      <c r="O442">
        <f t="shared" si="70"/>
        <v>48</v>
      </c>
      <c r="P442">
        <v>1</v>
      </c>
      <c r="R442" s="4">
        <v>2</v>
      </c>
      <c r="T442" s="5">
        <v>65</v>
      </c>
      <c r="W442" s="4">
        <v>48</v>
      </c>
      <c r="X442" s="4" t="str">
        <f t="shared" si="71"/>
        <v>Adult</v>
      </c>
      <c r="Y442" s="4" t="s">
        <v>3561</v>
      </c>
      <c r="AB442" s="4" t="str">
        <f t="shared" si="72"/>
        <v/>
      </c>
      <c r="AC442" s="4" t="str">
        <f t="shared" si="73"/>
        <v>Unknown</v>
      </c>
      <c r="AD442" s="4" t="s">
        <v>457</v>
      </c>
      <c r="AF442" s="4">
        <v>9</v>
      </c>
      <c r="AG442" s="4">
        <f t="shared" si="74"/>
        <v>9</v>
      </c>
      <c r="AK442" s="4" t="s">
        <v>3573</v>
      </c>
      <c r="AL442" s="4" t="str">
        <f t="shared" si="75"/>
        <v>Found</v>
      </c>
      <c r="AN442" s="6">
        <v>65</v>
      </c>
      <c r="AO442" s="4" t="str">
        <f t="shared" si="76"/>
        <v>High</v>
      </c>
    </row>
    <row r="443" spans="1:41">
      <c r="A443">
        <v>2</v>
      </c>
      <c r="B443" t="str">
        <f t="shared" si="66"/>
        <v>Second Class</v>
      </c>
      <c r="C443">
        <v>1</v>
      </c>
      <c r="E443" t="str">
        <f t="shared" si="67"/>
        <v>Survived</v>
      </c>
      <c r="F443" t="s">
        <v>1375</v>
      </c>
      <c r="G443" t="s">
        <v>849</v>
      </c>
      <c r="H443" t="s">
        <v>978</v>
      </c>
      <c r="I443" t="str">
        <f t="shared" si="68"/>
        <v>Mrs. Hewlett (Mary</v>
      </c>
      <c r="J443" t="s">
        <v>47</v>
      </c>
      <c r="K443" t="str">
        <f t="shared" si="69"/>
        <v>Female</v>
      </c>
      <c r="L443">
        <v>55</v>
      </c>
      <c r="O443">
        <f t="shared" si="70"/>
        <v>55</v>
      </c>
      <c r="P443">
        <v>0</v>
      </c>
      <c r="R443" s="4">
        <v>0</v>
      </c>
      <c r="T443" s="5">
        <v>16</v>
      </c>
      <c r="W443" s="4">
        <v>55</v>
      </c>
      <c r="X443" s="4" t="str">
        <f t="shared" si="71"/>
        <v>Adult</v>
      </c>
      <c r="Y443" s="4" t="s">
        <v>3561</v>
      </c>
      <c r="AB443" s="4" t="str">
        <f t="shared" si="72"/>
        <v/>
      </c>
      <c r="AC443" s="4" t="str">
        <f t="shared" si="73"/>
        <v>Unknown</v>
      </c>
      <c r="AD443" s="4" t="s">
        <v>457</v>
      </c>
      <c r="AF443" s="4">
        <v>13</v>
      </c>
      <c r="AG443" s="4">
        <f t="shared" si="74"/>
        <v>13</v>
      </c>
      <c r="AK443" s="4" t="s">
        <v>3573</v>
      </c>
      <c r="AL443" s="4" t="str">
        <f t="shared" si="75"/>
        <v>Found</v>
      </c>
      <c r="AN443" s="6">
        <v>16</v>
      </c>
      <c r="AO443" s="4" t="str">
        <f t="shared" si="76"/>
        <v>Mid</v>
      </c>
    </row>
    <row r="444" spans="1:41">
      <c r="A444">
        <v>2</v>
      </c>
      <c r="B444" t="str">
        <f t="shared" si="66"/>
        <v>Second Class</v>
      </c>
      <c r="C444">
        <v>0</v>
      </c>
      <c r="E444" t="str">
        <f t="shared" si="67"/>
        <v>Died</v>
      </c>
      <c r="F444" t="s">
        <v>1376</v>
      </c>
      <c r="G444" t="s">
        <v>848</v>
      </c>
      <c r="H444" t="s">
        <v>885</v>
      </c>
      <c r="I444" t="str">
        <f t="shared" si="68"/>
        <v>Mr. Hickman Leonard</v>
      </c>
      <c r="J444" t="s">
        <v>20</v>
      </c>
      <c r="K444" t="str">
        <f t="shared" si="69"/>
        <v>Male</v>
      </c>
      <c r="L444">
        <v>24</v>
      </c>
      <c r="O444">
        <f t="shared" si="70"/>
        <v>24</v>
      </c>
      <c r="P444">
        <v>2</v>
      </c>
      <c r="R444" s="4">
        <v>0</v>
      </c>
      <c r="T444" s="5">
        <v>73.5</v>
      </c>
      <c r="W444" s="4">
        <v>24</v>
      </c>
      <c r="X444" s="4" t="str">
        <f t="shared" si="71"/>
        <v>Young Adult</v>
      </c>
      <c r="Y444" s="4" t="s">
        <v>3561</v>
      </c>
      <c r="AB444" s="4" t="str">
        <f t="shared" si="72"/>
        <v/>
      </c>
      <c r="AC444" s="4" t="str">
        <f t="shared" si="73"/>
        <v>Unknown</v>
      </c>
      <c r="AD444" s="4" t="s">
        <v>457</v>
      </c>
      <c r="AG444" s="4" t="str">
        <f t="shared" si="74"/>
        <v>Not Applicable</v>
      </c>
      <c r="AK444" s="4" t="s">
        <v>3573</v>
      </c>
      <c r="AL444" s="4" t="str">
        <f t="shared" si="75"/>
        <v>Found</v>
      </c>
      <c r="AN444" s="6">
        <v>73.5</v>
      </c>
      <c r="AO444" s="4" t="str">
        <f t="shared" si="76"/>
        <v>High</v>
      </c>
    </row>
    <row r="445" spans="1:41">
      <c r="A445">
        <v>2</v>
      </c>
      <c r="B445" t="str">
        <f t="shared" si="66"/>
        <v>Second Class</v>
      </c>
      <c r="C445">
        <v>0</v>
      </c>
      <c r="E445" t="str">
        <f t="shared" si="67"/>
        <v>Died</v>
      </c>
      <c r="F445" t="s">
        <v>1376</v>
      </c>
      <c r="G445" t="s">
        <v>848</v>
      </c>
      <c r="H445" t="s">
        <v>1377</v>
      </c>
      <c r="I445" t="str">
        <f t="shared" si="68"/>
        <v>Mr. Hickman Lewis</v>
      </c>
      <c r="J445" t="s">
        <v>20</v>
      </c>
      <c r="K445" t="str">
        <f t="shared" si="69"/>
        <v>Male</v>
      </c>
      <c r="L445">
        <v>32</v>
      </c>
      <c r="O445">
        <f t="shared" si="70"/>
        <v>32</v>
      </c>
      <c r="P445">
        <v>2</v>
      </c>
      <c r="R445" s="4">
        <v>0</v>
      </c>
      <c r="T445" s="5">
        <v>73.5</v>
      </c>
      <c r="W445" s="4">
        <v>32</v>
      </c>
      <c r="X445" s="4" t="str">
        <f t="shared" si="71"/>
        <v>Adult</v>
      </c>
      <c r="Y445" s="4" t="s">
        <v>3561</v>
      </c>
      <c r="AB445" s="4" t="str">
        <f t="shared" si="72"/>
        <v/>
      </c>
      <c r="AC445" s="4" t="str">
        <f t="shared" si="73"/>
        <v>Unknown</v>
      </c>
      <c r="AD445" s="4" t="s">
        <v>457</v>
      </c>
      <c r="AG445" s="4" t="str">
        <f t="shared" si="74"/>
        <v>Not Applicable</v>
      </c>
      <c r="AH445" s="4">
        <v>256</v>
      </c>
      <c r="AK445" s="4">
        <v>256</v>
      </c>
      <c r="AL445" s="4" t="str">
        <f t="shared" si="75"/>
        <v>Found</v>
      </c>
      <c r="AN445" s="6">
        <v>73.5</v>
      </c>
      <c r="AO445" s="4" t="str">
        <f t="shared" si="76"/>
        <v>High</v>
      </c>
    </row>
    <row r="446" spans="1:41">
      <c r="A446">
        <v>2</v>
      </c>
      <c r="B446" t="str">
        <f t="shared" si="66"/>
        <v>Second Class</v>
      </c>
      <c r="C446">
        <v>0</v>
      </c>
      <c r="E446" t="str">
        <f t="shared" si="67"/>
        <v>Died</v>
      </c>
      <c r="F446" t="s">
        <v>1376</v>
      </c>
      <c r="G446" t="s">
        <v>848</v>
      </c>
      <c r="H446" t="s">
        <v>1350</v>
      </c>
      <c r="I446" t="str">
        <f t="shared" si="68"/>
        <v>Mr. Hickman Stanley</v>
      </c>
      <c r="J446" t="s">
        <v>20</v>
      </c>
      <c r="K446" t="str">
        <f t="shared" si="69"/>
        <v>Male</v>
      </c>
      <c r="L446">
        <v>21</v>
      </c>
      <c r="O446">
        <f t="shared" si="70"/>
        <v>21</v>
      </c>
      <c r="P446">
        <v>2</v>
      </c>
      <c r="R446" s="4">
        <v>0</v>
      </c>
      <c r="T446" s="5">
        <v>73.5</v>
      </c>
      <c r="W446" s="4">
        <v>21</v>
      </c>
      <c r="X446" s="4" t="str">
        <f t="shared" si="71"/>
        <v>Young Adult</v>
      </c>
      <c r="Y446" s="4" t="s">
        <v>3561</v>
      </c>
      <c r="AB446" s="4" t="str">
        <f t="shared" si="72"/>
        <v/>
      </c>
      <c r="AC446" s="4" t="str">
        <f t="shared" si="73"/>
        <v>Unknown</v>
      </c>
      <c r="AD446" s="4" t="s">
        <v>457</v>
      </c>
      <c r="AG446" s="4" t="str">
        <f t="shared" si="74"/>
        <v>Not Applicable</v>
      </c>
      <c r="AK446" s="4" t="s">
        <v>3573</v>
      </c>
      <c r="AL446" s="4" t="str">
        <f t="shared" si="75"/>
        <v>Found</v>
      </c>
      <c r="AN446" s="6">
        <v>73.5</v>
      </c>
      <c r="AO446" s="4" t="str">
        <f t="shared" si="76"/>
        <v>High</v>
      </c>
    </row>
    <row r="447" spans="1:41">
      <c r="A447">
        <v>2</v>
      </c>
      <c r="B447" t="str">
        <f t="shared" si="66"/>
        <v>Second Class</v>
      </c>
      <c r="C447">
        <v>0</v>
      </c>
      <c r="E447" t="str">
        <f t="shared" si="67"/>
        <v>Died</v>
      </c>
      <c r="F447" t="s">
        <v>1378</v>
      </c>
      <c r="G447" t="s">
        <v>842</v>
      </c>
      <c r="H447" t="s">
        <v>1379</v>
      </c>
      <c r="I447" t="str">
        <f t="shared" si="68"/>
        <v>Miss. Hiltunen Marta</v>
      </c>
      <c r="J447" t="s">
        <v>47</v>
      </c>
      <c r="K447" t="str">
        <f t="shared" si="69"/>
        <v>Female</v>
      </c>
      <c r="L447">
        <v>18</v>
      </c>
      <c r="O447">
        <f t="shared" si="70"/>
        <v>18</v>
      </c>
      <c r="P447">
        <v>1</v>
      </c>
      <c r="R447" s="4">
        <v>1</v>
      </c>
      <c r="T447" s="5">
        <v>13</v>
      </c>
      <c r="W447" s="4">
        <v>18</v>
      </c>
      <c r="X447" s="4" t="str">
        <f t="shared" si="71"/>
        <v>Young Adult</v>
      </c>
      <c r="Y447" s="4" t="s">
        <v>3561</v>
      </c>
      <c r="AB447" s="4" t="str">
        <f t="shared" si="72"/>
        <v/>
      </c>
      <c r="AC447" s="4" t="str">
        <f t="shared" si="73"/>
        <v>Unknown</v>
      </c>
      <c r="AD447" s="4" t="s">
        <v>457</v>
      </c>
      <c r="AG447" s="4" t="str">
        <f t="shared" si="74"/>
        <v>Not Applicable</v>
      </c>
      <c r="AK447" s="4" t="s">
        <v>3573</v>
      </c>
      <c r="AL447" s="4" t="str">
        <f t="shared" si="75"/>
        <v>Found</v>
      </c>
      <c r="AN447" s="6">
        <v>13</v>
      </c>
      <c r="AO447" s="4" t="str">
        <f t="shared" si="76"/>
        <v>Mid</v>
      </c>
    </row>
    <row r="448" spans="1:41">
      <c r="A448">
        <v>2</v>
      </c>
      <c r="B448" t="str">
        <f t="shared" si="66"/>
        <v>Second Class</v>
      </c>
      <c r="C448">
        <v>1</v>
      </c>
      <c r="E448" t="str">
        <f t="shared" si="67"/>
        <v>Survived</v>
      </c>
      <c r="F448" t="s">
        <v>1380</v>
      </c>
      <c r="G448" t="s">
        <v>842</v>
      </c>
      <c r="H448" t="s">
        <v>868</v>
      </c>
      <c r="I448" t="str">
        <f t="shared" si="68"/>
        <v>Miss. Hocking Ellen</v>
      </c>
      <c r="J448" t="s">
        <v>47</v>
      </c>
      <c r="K448" t="str">
        <f t="shared" si="69"/>
        <v>Female</v>
      </c>
      <c r="L448">
        <v>20</v>
      </c>
      <c r="O448">
        <f t="shared" si="70"/>
        <v>20</v>
      </c>
      <c r="P448">
        <v>2</v>
      </c>
      <c r="R448" s="4">
        <v>1</v>
      </c>
      <c r="T448" s="5">
        <v>23</v>
      </c>
      <c r="W448" s="4">
        <v>20</v>
      </c>
      <c r="X448" s="4" t="str">
        <f t="shared" si="71"/>
        <v>Young Adult</v>
      </c>
      <c r="Y448" s="4" t="s">
        <v>3561</v>
      </c>
      <c r="AB448" s="4" t="str">
        <f t="shared" si="72"/>
        <v/>
      </c>
      <c r="AC448" s="4" t="str">
        <f t="shared" si="73"/>
        <v>Unknown</v>
      </c>
      <c r="AD448" s="4" t="s">
        <v>457</v>
      </c>
      <c r="AF448" s="4">
        <v>4</v>
      </c>
      <c r="AG448" s="4">
        <f t="shared" si="74"/>
        <v>4</v>
      </c>
      <c r="AK448" s="4" t="s">
        <v>3573</v>
      </c>
      <c r="AL448" s="4" t="str">
        <f t="shared" si="75"/>
        <v>Found</v>
      </c>
      <c r="AN448" s="6">
        <v>23</v>
      </c>
      <c r="AO448" s="4" t="str">
        <f t="shared" si="76"/>
        <v>Mid</v>
      </c>
    </row>
    <row r="449" spans="1:41">
      <c r="A449">
        <v>2</v>
      </c>
      <c r="B449" t="str">
        <f t="shared" si="66"/>
        <v>Second Class</v>
      </c>
      <c r="C449">
        <v>0</v>
      </c>
      <c r="E449" t="str">
        <f t="shared" si="67"/>
        <v>Died</v>
      </c>
      <c r="F449" t="s">
        <v>1380</v>
      </c>
      <c r="G449" t="s">
        <v>848</v>
      </c>
      <c r="H449" t="s">
        <v>884</v>
      </c>
      <c r="I449" t="str">
        <f t="shared" si="68"/>
        <v>Mr. Hocking Richard</v>
      </c>
      <c r="J449" t="s">
        <v>20</v>
      </c>
      <c r="K449" t="str">
        <f t="shared" si="69"/>
        <v>Male</v>
      </c>
      <c r="L449">
        <v>23</v>
      </c>
      <c r="O449">
        <f t="shared" si="70"/>
        <v>23</v>
      </c>
      <c r="P449">
        <v>2</v>
      </c>
      <c r="R449" s="4">
        <v>1</v>
      </c>
      <c r="T449" s="5">
        <v>11.5</v>
      </c>
      <c r="W449" s="4">
        <v>23</v>
      </c>
      <c r="X449" s="4" t="str">
        <f t="shared" si="71"/>
        <v>Young Adult</v>
      </c>
      <c r="Y449" s="4" t="s">
        <v>3561</v>
      </c>
      <c r="AB449" s="4" t="str">
        <f t="shared" si="72"/>
        <v/>
      </c>
      <c r="AC449" s="4" t="str">
        <f t="shared" si="73"/>
        <v>Unknown</v>
      </c>
      <c r="AD449" s="4" t="s">
        <v>457</v>
      </c>
      <c r="AG449" s="4" t="str">
        <f t="shared" si="74"/>
        <v>Not Applicable</v>
      </c>
      <c r="AK449" s="4" t="s">
        <v>3573</v>
      </c>
      <c r="AL449" s="4" t="str">
        <f t="shared" si="75"/>
        <v>Found</v>
      </c>
      <c r="AN449" s="6">
        <v>11.5</v>
      </c>
      <c r="AO449" s="4" t="str">
        <f t="shared" si="76"/>
        <v>Mid</v>
      </c>
    </row>
    <row r="450" spans="1:41">
      <c r="A450">
        <v>2</v>
      </c>
      <c r="B450" t="str">
        <f t="shared" si="66"/>
        <v>Second Class</v>
      </c>
      <c r="C450">
        <v>0</v>
      </c>
      <c r="E450" t="str">
        <f t="shared" si="67"/>
        <v>Died</v>
      </c>
      <c r="F450" t="s">
        <v>1380</v>
      </c>
      <c r="G450" t="s">
        <v>848</v>
      </c>
      <c r="H450" t="s">
        <v>1046</v>
      </c>
      <c r="I450" t="str">
        <f t="shared" si="68"/>
        <v>Mr. Hocking Samuel</v>
      </c>
      <c r="J450" t="s">
        <v>20</v>
      </c>
      <c r="K450" t="str">
        <f t="shared" si="69"/>
        <v>Male</v>
      </c>
      <c r="L450">
        <v>36</v>
      </c>
      <c r="O450">
        <f t="shared" si="70"/>
        <v>36</v>
      </c>
      <c r="P450">
        <v>0</v>
      </c>
      <c r="R450" s="4">
        <v>0</v>
      </c>
      <c r="T450" s="5">
        <v>13</v>
      </c>
      <c r="W450" s="4">
        <v>36</v>
      </c>
      <c r="X450" s="4" t="str">
        <f t="shared" si="71"/>
        <v>Adult</v>
      </c>
      <c r="Y450" s="4" t="s">
        <v>3561</v>
      </c>
      <c r="AB450" s="4" t="str">
        <f t="shared" si="72"/>
        <v/>
      </c>
      <c r="AC450" s="4" t="str">
        <f t="shared" si="73"/>
        <v>Unknown</v>
      </c>
      <c r="AD450" s="4" t="s">
        <v>457</v>
      </c>
      <c r="AG450" s="4" t="str">
        <f t="shared" si="74"/>
        <v>Not Applicable</v>
      </c>
      <c r="AK450" s="4" t="s">
        <v>3573</v>
      </c>
      <c r="AL450" s="4" t="str">
        <f t="shared" si="75"/>
        <v>Found</v>
      </c>
      <c r="AN450" s="6">
        <v>13</v>
      </c>
      <c r="AO450" s="4" t="str">
        <f t="shared" si="76"/>
        <v>Mid</v>
      </c>
    </row>
    <row r="451" spans="1:41">
      <c r="A451">
        <v>2</v>
      </c>
      <c r="B451" t="str">
        <f t="shared" ref="B451:B514" si="77">IF(A451=1,"First Class",IF(A451=2,"Second Class",IF(A451=3,"Third Class"," ")))</f>
        <v>Second Class</v>
      </c>
      <c r="C451">
        <v>1</v>
      </c>
      <c r="E451" t="str">
        <f t="shared" ref="E451:E514" si="78">IF(C451=1,"Survived",IF(C451=0,"Died"))</f>
        <v>Survived</v>
      </c>
      <c r="F451" t="s">
        <v>1380</v>
      </c>
      <c r="G451" t="s">
        <v>849</v>
      </c>
      <c r="H451" t="s">
        <v>904</v>
      </c>
      <c r="I451" t="str">
        <f t="shared" ref="I451:I514" si="79">_xlfn.CONCAT(G451," ",F451," ",H451)</f>
        <v>Mrs. Hocking Elizabeth</v>
      </c>
      <c r="J451" t="s">
        <v>47</v>
      </c>
      <c r="K451" t="str">
        <f t="shared" ref="K451:K514" si="80">PROPER(J451)</f>
        <v>Female</v>
      </c>
      <c r="L451">
        <v>54</v>
      </c>
      <c r="O451">
        <f t="shared" ref="O451:O514" si="81">IF(L451&lt;1,1,ROUND(L451,0))</f>
        <v>54</v>
      </c>
      <c r="P451">
        <v>1</v>
      </c>
      <c r="R451" s="4">
        <v>3</v>
      </c>
      <c r="T451" s="5">
        <v>23</v>
      </c>
      <c r="W451" s="4">
        <v>54</v>
      </c>
      <c r="X451" s="4" t="str">
        <f t="shared" ref="X451:X514" si="82">IF(W451&lt;10,"Child",IF(W451&lt;18,"Teenager",IF(W451&lt;30,"Young Adult",IF(W451&lt;60,"Adult","Old Adult"))))</f>
        <v>Adult</v>
      </c>
      <c r="Y451" s="4" t="s">
        <v>3561</v>
      </c>
      <c r="AB451" s="4" t="str">
        <f t="shared" ref="AB451:AB514" si="83">LEFT(AA451,1)</f>
        <v/>
      </c>
      <c r="AC451" s="4" t="str">
        <f t="shared" ref="AC451:AC514" si="84">IF(AB451="","Unknown",LEFT(AB451,1))</f>
        <v>Unknown</v>
      </c>
      <c r="AD451" s="4" t="s">
        <v>457</v>
      </c>
      <c r="AF451" s="4">
        <v>4</v>
      </c>
      <c r="AG451" s="4">
        <f t="shared" ref="AG451:AG514" si="85">IF(AF451="",IF(E451=1,"Unknown","Not Applicable"),AF451)</f>
        <v>4</v>
      </c>
      <c r="AK451" s="4" t="s">
        <v>3573</v>
      </c>
      <c r="AL451" s="4" t="str">
        <f t="shared" ref="AL451:AL514" si="86">IF(AK451="","Not Found","Found")</f>
        <v>Found</v>
      </c>
      <c r="AN451" s="6">
        <v>23</v>
      </c>
      <c r="AO451" s="4" t="str">
        <f t="shared" ref="AO451:AO514" si="87">IF(AN451&lt;=10,"Low",IF(AN451&lt;=50,"Mid","High"))</f>
        <v>Mid</v>
      </c>
    </row>
    <row r="452" spans="1:41">
      <c r="A452">
        <v>2</v>
      </c>
      <c r="B452" t="str">
        <f t="shared" si="77"/>
        <v>Second Class</v>
      </c>
      <c r="C452">
        <v>0</v>
      </c>
      <c r="E452" t="str">
        <f t="shared" si="78"/>
        <v>Died</v>
      </c>
      <c r="F452" t="s">
        <v>1381</v>
      </c>
      <c r="G452" t="s">
        <v>848</v>
      </c>
      <c r="H452" t="s">
        <v>872</v>
      </c>
      <c r="I452" t="str">
        <f t="shared" si="79"/>
        <v>Mr. Hodges Henry</v>
      </c>
      <c r="J452" t="s">
        <v>20</v>
      </c>
      <c r="K452" t="str">
        <f t="shared" si="80"/>
        <v>Male</v>
      </c>
      <c r="L452">
        <v>50</v>
      </c>
      <c r="O452">
        <f t="shared" si="81"/>
        <v>50</v>
      </c>
      <c r="P452">
        <v>0</v>
      </c>
      <c r="R452" s="4">
        <v>0</v>
      </c>
      <c r="T452" s="5">
        <v>13</v>
      </c>
      <c r="W452" s="4">
        <v>50</v>
      </c>
      <c r="X452" s="4" t="str">
        <f t="shared" si="82"/>
        <v>Adult</v>
      </c>
      <c r="Y452" s="4" t="s">
        <v>3561</v>
      </c>
      <c r="AB452" s="4" t="str">
        <f t="shared" si="83"/>
        <v/>
      </c>
      <c r="AC452" s="4" t="str">
        <f t="shared" si="84"/>
        <v>Unknown</v>
      </c>
      <c r="AD452" s="4" t="s">
        <v>457</v>
      </c>
      <c r="AG452" s="4" t="str">
        <f t="shared" si="85"/>
        <v>Not Applicable</v>
      </c>
      <c r="AH452" s="4">
        <v>149</v>
      </c>
      <c r="AK452" s="4">
        <v>149</v>
      </c>
      <c r="AL452" s="4" t="str">
        <f t="shared" si="86"/>
        <v>Found</v>
      </c>
      <c r="AN452" s="6">
        <v>13</v>
      </c>
      <c r="AO452" s="4" t="str">
        <f t="shared" si="87"/>
        <v>Mid</v>
      </c>
    </row>
    <row r="453" spans="1:41">
      <c r="A453">
        <v>2</v>
      </c>
      <c r="B453" t="str">
        <f t="shared" si="77"/>
        <v>Second Class</v>
      </c>
      <c r="C453">
        <v>0</v>
      </c>
      <c r="E453" t="str">
        <f t="shared" si="78"/>
        <v>Died</v>
      </c>
      <c r="F453" t="s">
        <v>1382</v>
      </c>
      <c r="G453" t="s">
        <v>848</v>
      </c>
      <c r="H453" t="s">
        <v>900</v>
      </c>
      <c r="I453" t="str">
        <f t="shared" si="79"/>
        <v>Mr. Hold Stephen</v>
      </c>
      <c r="J453" t="s">
        <v>20</v>
      </c>
      <c r="K453" t="str">
        <f t="shared" si="80"/>
        <v>Male</v>
      </c>
      <c r="L453">
        <v>44</v>
      </c>
      <c r="O453">
        <f t="shared" si="81"/>
        <v>44</v>
      </c>
      <c r="P453">
        <v>1</v>
      </c>
      <c r="R453" s="4">
        <v>0</v>
      </c>
      <c r="T453" s="5">
        <v>26</v>
      </c>
      <c r="W453" s="4">
        <v>44</v>
      </c>
      <c r="X453" s="4" t="str">
        <f t="shared" si="82"/>
        <v>Adult</v>
      </c>
      <c r="Y453" s="4" t="s">
        <v>3561</v>
      </c>
      <c r="AB453" s="4" t="str">
        <f t="shared" si="83"/>
        <v/>
      </c>
      <c r="AC453" s="4" t="str">
        <f t="shared" si="84"/>
        <v>Unknown</v>
      </c>
      <c r="AD453" s="4" t="s">
        <v>457</v>
      </c>
      <c r="AG453" s="4" t="str">
        <f t="shared" si="85"/>
        <v>Not Applicable</v>
      </c>
      <c r="AK453" s="4" t="s">
        <v>3573</v>
      </c>
      <c r="AL453" s="4" t="str">
        <f t="shared" si="86"/>
        <v>Found</v>
      </c>
      <c r="AN453" s="6">
        <v>26</v>
      </c>
      <c r="AO453" s="4" t="str">
        <f t="shared" si="87"/>
        <v>Mid</v>
      </c>
    </row>
    <row r="454" spans="1:41">
      <c r="A454">
        <v>2</v>
      </c>
      <c r="B454" t="str">
        <f t="shared" si="77"/>
        <v>Second Class</v>
      </c>
      <c r="C454">
        <v>1</v>
      </c>
      <c r="E454" t="str">
        <f t="shared" si="78"/>
        <v>Survived</v>
      </c>
      <c r="F454" t="s">
        <v>1382</v>
      </c>
      <c r="G454" t="s">
        <v>849</v>
      </c>
      <c r="H454" t="s">
        <v>900</v>
      </c>
      <c r="I454" t="str">
        <f t="shared" si="79"/>
        <v>Mrs. Hold Stephen</v>
      </c>
      <c r="J454" t="s">
        <v>47</v>
      </c>
      <c r="K454" t="str">
        <f t="shared" si="80"/>
        <v>Female</v>
      </c>
      <c r="L454">
        <v>29</v>
      </c>
      <c r="O454">
        <f t="shared" si="81"/>
        <v>29</v>
      </c>
      <c r="P454">
        <v>1</v>
      </c>
      <c r="R454" s="4">
        <v>0</v>
      </c>
      <c r="T454" s="5">
        <v>26</v>
      </c>
      <c r="W454" s="4">
        <v>29</v>
      </c>
      <c r="X454" s="4" t="str">
        <f t="shared" si="82"/>
        <v>Young Adult</v>
      </c>
      <c r="Y454" s="4" t="s">
        <v>3561</v>
      </c>
      <c r="AB454" s="4" t="str">
        <f t="shared" si="83"/>
        <v/>
      </c>
      <c r="AC454" s="4" t="str">
        <f t="shared" si="84"/>
        <v>Unknown</v>
      </c>
      <c r="AD454" s="4" t="s">
        <v>457</v>
      </c>
      <c r="AF454" s="4">
        <v>10</v>
      </c>
      <c r="AG454" s="4">
        <f t="shared" si="85"/>
        <v>10</v>
      </c>
      <c r="AK454" s="4" t="s">
        <v>3573</v>
      </c>
      <c r="AL454" s="4" t="str">
        <f t="shared" si="86"/>
        <v>Found</v>
      </c>
      <c r="AN454" s="6">
        <v>26</v>
      </c>
      <c r="AO454" s="4" t="str">
        <f t="shared" si="87"/>
        <v>Mid</v>
      </c>
    </row>
    <row r="455" spans="1:41">
      <c r="A455">
        <v>2</v>
      </c>
      <c r="B455" t="str">
        <f t="shared" si="77"/>
        <v>Second Class</v>
      </c>
      <c r="C455">
        <v>0</v>
      </c>
      <c r="E455" t="str">
        <f t="shared" si="78"/>
        <v>Died</v>
      </c>
      <c r="F455" t="s">
        <v>1383</v>
      </c>
      <c r="G455" t="s">
        <v>848</v>
      </c>
      <c r="H455" t="s">
        <v>1384</v>
      </c>
      <c r="I455" t="str">
        <f t="shared" si="79"/>
        <v>Mr. Hood Ambrose</v>
      </c>
      <c r="J455" t="s">
        <v>20</v>
      </c>
      <c r="K455" t="str">
        <f t="shared" si="80"/>
        <v>Male</v>
      </c>
      <c r="L455">
        <v>21</v>
      </c>
      <c r="O455">
        <f t="shared" si="81"/>
        <v>21</v>
      </c>
      <c r="P455">
        <v>0</v>
      </c>
      <c r="R455" s="4">
        <v>0</v>
      </c>
      <c r="T455" s="5">
        <v>73.5</v>
      </c>
      <c r="W455" s="4">
        <v>21</v>
      </c>
      <c r="X455" s="4" t="str">
        <f t="shared" si="82"/>
        <v>Young Adult</v>
      </c>
      <c r="Y455" s="4" t="s">
        <v>3561</v>
      </c>
      <c r="AB455" s="4" t="str">
        <f t="shared" si="83"/>
        <v/>
      </c>
      <c r="AC455" s="4" t="str">
        <f t="shared" si="84"/>
        <v>Unknown</v>
      </c>
      <c r="AD455" s="4" t="s">
        <v>457</v>
      </c>
      <c r="AG455" s="4" t="str">
        <f t="shared" si="85"/>
        <v>Not Applicable</v>
      </c>
      <c r="AK455" s="4" t="s">
        <v>3573</v>
      </c>
      <c r="AL455" s="4" t="str">
        <f t="shared" si="86"/>
        <v>Found</v>
      </c>
      <c r="AN455" s="6">
        <v>73.5</v>
      </c>
      <c r="AO455" s="4" t="str">
        <f t="shared" si="87"/>
        <v>High</v>
      </c>
    </row>
    <row r="456" spans="1:41">
      <c r="A456">
        <v>2</v>
      </c>
      <c r="B456" t="str">
        <f t="shared" si="77"/>
        <v>Second Class</v>
      </c>
      <c r="C456">
        <v>1</v>
      </c>
      <c r="E456" t="str">
        <f t="shared" si="78"/>
        <v>Survived</v>
      </c>
      <c r="F456" t="s">
        <v>1385</v>
      </c>
      <c r="G456" t="s">
        <v>848</v>
      </c>
      <c r="H456" t="s">
        <v>1386</v>
      </c>
      <c r="I456" t="str">
        <f t="shared" si="79"/>
        <v>Mr. Hosono Masabumi</v>
      </c>
      <c r="J456" t="s">
        <v>20</v>
      </c>
      <c r="K456" t="str">
        <f t="shared" si="80"/>
        <v>Male</v>
      </c>
      <c r="L456">
        <v>42</v>
      </c>
      <c r="O456">
        <f t="shared" si="81"/>
        <v>42</v>
      </c>
      <c r="P456">
        <v>0</v>
      </c>
      <c r="R456" s="4">
        <v>0</v>
      </c>
      <c r="T456" s="5">
        <v>13</v>
      </c>
      <c r="W456" s="4">
        <v>42</v>
      </c>
      <c r="X456" s="4" t="str">
        <f t="shared" si="82"/>
        <v>Adult</v>
      </c>
      <c r="Y456" s="4" t="s">
        <v>3561</v>
      </c>
      <c r="AB456" s="4" t="str">
        <f t="shared" si="83"/>
        <v/>
      </c>
      <c r="AC456" s="4" t="str">
        <f t="shared" si="84"/>
        <v>Unknown</v>
      </c>
      <c r="AD456" s="4" t="s">
        <v>457</v>
      </c>
      <c r="AF456" s="4">
        <v>10</v>
      </c>
      <c r="AG456" s="4">
        <f t="shared" si="85"/>
        <v>10</v>
      </c>
      <c r="AK456" s="4" t="s">
        <v>3573</v>
      </c>
      <c r="AL456" s="4" t="str">
        <f t="shared" si="86"/>
        <v>Found</v>
      </c>
      <c r="AN456" s="6">
        <v>13</v>
      </c>
      <c r="AO456" s="4" t="str">
        <f t="shared" si="87"/>
        <v>Mid</v>
      </c>
    </row>
    <row r="457" spans="1:41">
      <c r="A457">
        <v>2</v>
      </c>
      <c r="B457" t="str">
        <f t="shared" si="77"/>
        <v>Second Class</v>
      </c>
      <c r="C457">
        <v>0</v>
      </c>
      <c r="E457" t="str">
        <f t="shared" si="78"/>
        <v>Died</v>
      </c>
      <c r="F457" t="s">
        <v>947</v>
      </c>
      <c r="G457" t="s">
        <v>848</v>
      </c>
      <c r="H457" t="s">
        <v>1019</v>
      </c>
      <c r="I457" t="str">
        <f t="shared" si="79"/>
        <v>Mr. Howard Benjamin</v>
      </c>
      <c r="J457" t="s">
        <v>20</v>
      </c>
      <c r="K457" t="str">
        <f t="shared" si="80"/>
        <v>Male</v>
      </c>
      <c r="L457">
        <v>63</v>
      </c>
      <c r="O457">
        <f t="shared" si="81"/>
        <v>63</v>
      </c>
      <c r="P457">
        <v>1</v>
      </c>
      <c r="R457" s="4">
        <v>0</v>
      </c>
      <c r="T457" s="5">
        <v>26</v>
      </c>
      <c r="W457" s="4">
        <v>63</v>
      </c>
      <c r="X457" s="4" t="str">
        <f t="shared" si="82"/>
        <v>Old Adult</v>
      </c>
      <c r="Y457" s="4" t="s">
        <v>3561</v>
      </c>
      <c r="AB457" s="4" t="str">
        <f t="shared" si="83"/>
        <v/>
      </c>
      <c r="AC457" s="4" t="str">
        <f t="shared" si="84"/>
        <v>Unknown</v>
      </c>
      <c r="AD457" s="4" t="s">
        <v>457</v>
      </c>
      <c r="AG457" s="4" t="str">
        <f t="shared" si="85"/>
        <v>Not Applicable</v>
      </c>
      <c r="AK457" s="4" t="s">
        <v>3573</v>
      </c>
      <c r="AL457" s="4" t="str">
        <f t="shared" si="86"/>
        <v>Found</v>
      </c>
      <c r="AN457" s="6">
        <v>26</v>
      </c>
      <c r="AO457" s="4" t="str">
        <f t="shared" si="87"/>
        <v>Mid</v>
      </c>
    </row>
    <row r="458" spans="1:41">
      <c r="A458">
        <v>2</v>
      </c>
      <c r="B458" t="str">
        <f t="shared" si="77"/>
        <v>Second Class</v>
      </c>
      <c r="C458">
        <v>0</v>
      </c>
      <c r="E458" t="str">
        <f t="shared" si="78"/>
        <v>Died</v>
      </c>
      <c r="F458" t="s">
        <v>947</v>
      </c>
      <c r="G458" t="s">
        <v>849</v>
      </c>
      <c r="H458" t="s">
        <v>1019</v>
      </c>
      <c r="I458" t="str">
        <f t="shared" si="79"/>
        <v>Mrs. Howard Benjamin</v>
      </c>
      <c r="J458" t="s">
        <v>47</v>
      </c>
      <c r="K458" t="str">
        <f t="shared" si="80"/>
        <v>Female</v>
      </c>
      <c r="L458">
        <v>60</v>
      </c>
      <c r="O458">
        <f t="shared" si="81"/>
        <v>60</v>
      </c>
      <c r="P458">
        <v>1</v>
      </c>
      <c r="R458" s="4">
        <v>0</v>
      </c>
      <c r="T458" s="5">
        <v>26</v>
      </c>
      <c r="W458" s="4">
        <v>60</v>
      </c>
      <c r="X458" s="4" t="str">
        <f t="shared" si="82"/>
        <v>Old Adult</v>
      </c>
      <c r="Y458" s="4" t="s">
        <v>3561</v>
      </c>
      <c r="AB458" s="4" t="str">
        <f t="shared" si="83"/>
        <v/>
      </c>
      <c r="AC458" s="4" t="str">
        <f t="shared" si="84"/>
        <v>Unknown</v>
      </c>
      <c r="AD458" s="4" t="s">
        <v>457</v>
      </c>
      <c r="AG458" s="4" t="str">
        <f t="shared" si="85"/>
        <v>Not Applicable</v>
      </c>
      <c r="AK458" s="4" t="s">
        <v>3573</v>
      </c>
      <c r="AL458" s="4" t="str">
        <f t="shared" si="86"/>
        <v>Found</v>
      </c>
      <c r="AN458" s="6">
        <v>26</v>
      </c>
      <c r="AO458" s="4" t="str">
        <f t="shared" si="87"/>
        <v>Mid</v>
      </c>
    </row>
    <row r="459" spans="1:41">
      <c r="A459">
        <v>2</v>
      </c>
      <c r="B459" t="str">
        <f t="shared" si="77"/>
        <v>Second Class</v>
      </c>
      <c r="C459">
        <v>0</v>
      </c>
      <c r="E459" t="str">
        <f t="shared" si="78"/>
        <v>Died</v>
      </c>
      <c r="F459" t="s">
        <v>1387</v>
      </c>
      <c r="G459" t="s">
        <v>848</v>
      </c>
      <c r="H459" t="s">
        <v>912</v>
      </c>
      <c r="I459" t="str">
        <f t="shared" si="79"/>
        <v>Mr. Hunt George</v>
      </c>
      <c r="J459" t="s">
        <v>20</v>
      </c>
      <c r="K459" t="str">
        <f t="shared" si="80"/>
        <v>Male</v>
      </c>
      <c r="L459">
        <v>33</v>
      </c>
      <c r="O459">
        <f t="shared" si="81"/>
        <v>33</v>
      </c>
      <c r="P459">
        <v>0</v>
      </c>
      <c r="R459" s="4">
        <v>0</v>
      </c>
      <c r="T459" s="5">
        <v>12.275</v>
      </c>
      <c r="W459" s="4">
        <v>33</v>
      </c>
      <c r="X459" s="4" t="str">
        <f t="shared" si="82"/>
        <v>Adult</v>
      </c>
      <c r="Y459" s="4" t="s">
        <v>3561</v>
      </c>
      <c r="AB459" s="4" t="str">
        <f t="shared" si="83"/>
        <v/>
      </c>
      <c r="AC459" s="4" t="str">
        <f t="shared" si="84"/>
        <v>Unknown</v>
      </c>
      <c r="AD459" s="4" t="s">
        <v>457</v>
      </c>
      <c r="AG459" s="4" t="str">
        <f t="shared" si="85"/>
        <v>Not Applicable</v>
      </c>
      <c r="AK459" s="4" t="s">
        <v>3573</v>
      </c>
      <c r="AL459" s="4" t="str">
        <f t="shared" si="86"/>
        <v>Found</v>
      </c>
      <c r="AN459" s="6">
        <v>12.275</v>
      </c>
      <c r="AO459" s="4" t="str">
        <f t="shared" si="87"/>
        <v>Mid</v>
      </c>
    </row>
    <row r="460" spans="1:41">
      <c r="A460">
        <v>2</v>
      </c>
      <c r="B460" t="str">
        <f t="shared" si="77"/>
        <v>Second Class</v>
      </c>
      <c r="C460">
        <v>1</v>
      </c>
      <c r="E460" t="str">
        <f t="shared" si="78"/>
        <v>Survived</v>
      </c>
      <c r="F460" t="s">
        <v>1388</v>
      </c>
      <c r="G460" t="s">
        <v>842</v>
      </c>
      <c r="H460" t="s">
        <v>1095</v>
      </c>
      <c r="I460" t="str">
        <f t="shared" si="79"/>
        <v>Miss. Ilett Bertha</v>
      </c>
      <c r="J460" t="s">
        <v>47</v>
      </c>
      <c r="K460" t="str">
        <f t="shared" si="80"/>
        <v>Female</v>
      </c>
      <c r="L460">
        <v>17</v>
      </c>
      <c r="O460">
        <f t="shared" si="81"/>
        <v>17</v>
      </c>
      <c r="P460">
        <v>0</v>
      </c>
      <c r="R460" s="4">
        <v>0</v>
      </c>
      <c r="T460" s="5">
        <v>10.5</v>
      </c>
      <c r="W460" s="4">
        <v>17</v>
      </c>
      <c r="X460" s="4" t="str">
        <f t="shared" si="82"/>
        <v>Teenager</v>
      </c>
      <c r="Y460" s="4" t="s">
        <v>3561</v>
      </c>
      <c r="AB460" s="4" t="str">
        <f t="shared" si="83"/>
        <v/>
      </c>
      <c r="AC460" s="4" t="str">
        <f t="shared" si="84"/>
        <v>Unknown</v>
      </c>
      <c r="AD460" s="4" t="s">
        <v>457</v>
      </c>
      <c r="AG460" s="4" t="str">
        <f t="shared" si="85"/>
        <v>Not Applicable</v>
      </c>
      <c r="AK460" s="4" t="s">
        <v>3573</v>
      </c>
      <c r="AL460" s="4" t="str">
        <f t="shared" si="86"/>
        <v>Found</v>
      </c>
      <c r="AN460" s="6">
        <v>10.5</v>
      </c>
      <c r="AO460" s="4" t="str">
        <f t="shared" si="87"/>
        <v>Mid</v>
      </c>
    </row>
    <row r="461" spans="1:41">
      <c r="A461">
        <v>2</v>
      </c>
      <c r="B461" t="str">
        <f t="shared" si="77"/>
        <v>Second Class</v>
      </c>
      <c r="C461">
        <v>0</v>
      </c>
      <c r="E461" t="str">
        <f t="shared" si="78"/>
        <v>Died</v>
      </c>
      <c r="F461" t="s">
        <v>1389</v>
      </c>
      <c r="G461" t="s">
        <v>848</v>
      </c>
      <c r="H461" t="s">
        <v>1317</v>
      </c>
      <c r="I461" t="str">
        <f t="shared" si="79"/>
        <v>Mr. Jacobsohn Sidney</v>
      </c>
      <c r="J461" t="s">
        <v>20</v>
      </c>
      <c r="K461" t="str">
        <f t="shared" si="80"/>
        <v>Male</v>
      </c>
      <c r="L461">
        <v>42</v>
      </c>
      <c r="O461">
        <f t="shared" si="81"/>
        <v>42</v>
      </c>
      <c r="P461">
        <v>1</v>
      </c>
      <c r="R461" s="4">
        <v>0</v>
      </c>
      <c r="T461" s="5">
        <v>27</v>
      </c>
      <c r="W461" s="4">
        <v>42</v>
      </c>
      <c r="X461" s="4" t="str">
        <f t="shared" si="82"/>
        <v>Adult</v>
      </c>
      <c r="Y461" s="4" t="s">
        <v>3561</v>
      </c>
      <c r="AB461" s="4" t="str">
        <f t="shared" si="83"/>
        <v/>
      </c>
      <c r="AC461" s="4" t="str">
        <f t="shared" si="84"/>
        <v>Unknown</v>
      </c>
      <c r="AD461" s="4" t="s">
        <v>457</v>
      </c>
      <c r="AG461" s="4" t="str">
        <f t="shared" si="85"/>
        <v>Not Applicable</v>
      </c>
      <c r="AK461" s="4" t="s">
        <v>3573</v>
      </c>
      <c r="AL461" s="4" t="str">
        <f t="shared" si="86"/>
        <v>Found</v>
      </c>
      <c r="AN461" s="6">
        <v>27</v>
      </c>
      <c r="AO461" s="4" t="str">
        <f t="shared" si="87"/>
        <v>Mid</v>
      </c>
    </row>
    <row r="462" spans="1:41">
      <c r="A462">
        <v>2</v>
      </c>
      <c r="B462" t="str">
        <f t="shared" si="77"/>
        <v>Second Class</v>
      </c>
      <c r="C462">
        <v>1</v>
      </c>
      <c r="E462" t="str">
        <f t="shared" si="78"/>
        <v>Survived</v>
      </c>
      <c r="F462" t="s">
        <v>1389</v>
      </c>
      <c r="G462" t="s">
        <v>849</v>
      </c>
      <c r="H462" t="s">
        <v>1317</v>
      </c>
      <c r="I462" t="str">
        <f t="shared" si="79"/>
        <v>Mrs. Jacobsohn Sidney</v>
      </c>
      <c r="J462" t="s">
        <v>47</v>
      </c>
      <c r="K462" t="str">
        <f t="shared" si="80"/>
        <v>Female</v>
      </c>
      <c r="L462">
        <v>24</v>
      </c>
      <c r="O462">
        <f t="shared" si="81"/>
        <v>24</v>
      </c>
      <c r="P462">
        <v>2</v>
      </c>
      <c r="R462" s="4">
        <v>1</v>
      </c>
      <c r="T462" s="5">
        <v>27</v>
      </c>
      <c r="W462" s="4">
        <v>24</v>
      </c>
      <c r="X462" s="4" t="str">
        <f t="shared" si="82"/>
        <v>Young Adult</v>
      </c>
      <c r="Y462" s="4" t="s">
        <v>3561</v>
      </c>
      <c r="AB462" s="4" t="str">
        <f t="shared" si="83"/>
        <v/>
      </c>
      <c r="AC462" s="4" t="str">
        <f t="shared" si="84"/>
        <v>Unknown</v>
      </c>
      <c r="AD462" s="4" t="s">
        <v>457</v>
      </c>
      <c r="AF462" s="4">
        <v>12</v>
      </c>
      <c r="AG462" s="4">
        <f t="shared" si="85"/>
        <v>12</v>
      </c>
      <c r="AK462" s="4" t="s">
        <v>3573</v>
      </c>
      <c r="AL462" s="4" t="str">
        <f t="shared" si="86"/>
        <v>Found</v>
      </c>
      <c r="AN462" s="6">
        <v>27</v>
      </c>
      <c r="AO462" s="4" t="str">
        <f t="shared" si="87"/>
        <v>Mid</v>
      </c>
    </row>
    <row r="463" spans="1:41">
      <c r="A463">
        <v>2</v>
      </c>
      <c r="B463" t="str">
        <f t="shared" si="77"/>
        <v>Second Class</v>
      </c>
      <c r="C463">
        <v>0</v>
      </c>
      <c r="E463" t="str">
        <f t="shared" si="78"/>
        <v>Died</v>
      </c>
      <c r="F463" t="s">
        <v>1390</v>
      </c>
      <c r="G463" t="s">
        <v>848</v>
      </c>
      <c r="H463" t="s">
        <v>862</v>
      </c>
      <c r="I463" t="str">
        <f t="shared" si="79"/>
        <v>Mr. Jarvis John</v>
      </c>
      <c r="J463" t="s">
        <v>20</v>
      </c>
      <c r="K463" t="str">
        <f t="shared" si="80"/>
        <v>Male</v>
      </c>
      <c r="L463">
        <v>47</v>
      </c>
      <c r="O463">
        <f t="shared" si="81"/>
        <v>47</v>
      </c>
      <c r="P463">
        <v>0</v>
      </c>
      <c r="R463" s="4">
        <v>0</v>
      </c>
      <c r="T463" s="5">
        <v>15</v>
      </c>
      <c r="W463" s="4">
        <v>47</v>
      </c>
      <c r="X463" s="4" t="str">
        <f t="shared" si="82"/>
        <v>Adult</v>
      </c>
      <c r="Y463" s="4" t="s">
        <v>3561</v>
      </c>
      <c r="AB463" s="4" t="str">
        <f t="shared" si="83"/>
        <v/>
      </c>
      <c r="AC463" s="4" t="str">
        <f t="shared" si="84"/>
        <v>Unknown</v>
      </c>
      <c r="AD463" s="4" t="s">
        <v>457</v>
      </c>
      <c r="AG463" s="4" t="str">
        <f t="shared" si="85"/>
        <v>Not Applicable</v>
      </c>
      <c r="AK463" s="4" t="s">
        <v>3573</v>
      </c>
      <c r="AL463" s="4" t="str">
        <f t="shared" si="86"/>
        <v>Found</v>
      </c>
      <c r="AN463" s="6">
        <v>15</v>
      </c>
      <c r="AO463" s="4" t="str">
        <f t="shared" si="87"/>
        <v>Mid</v>
      </c>
    </row>
    <row r="464" spans="1:41">
      <c r="A464">
        <v>2</v>
      </c>
      <c r="B464" t="str">
        <f t="shared" si="77"/>
        <v>Second Class</v>
      </c>
      <c r="C464">
        <v>0</v>
      </c>
      <c r="E464" t="str">
        <f t="shared" si="78"/>
        <v>Died</v>
      </c>
      <c r="F464" t="s">
        <v>1391</v>
      </c>
      <c r="G464" t="s">
        <v>848</v>
      </c>
      <c r="H464" t="s">
        <v>973</v>
      </c>
      <c r="I464" t="str">
        <f t="shared" si="79"/>
        <v>Mr. Jefferys Clifford</v>
      </c>
      <c r="J464" t="s">
        <v>20</v>
      </c>
      <c r="K464" t="str">
        <f t="shared" si="80"/>
        <v>Male</v>
      </c>
      <c r="L464">
        <v>24</v>
      </c>
      <c r="O464">
        <f t="shared" si="81"/>
        <v>24</v>
      </c>
      <c r="P464">
        <v>2</v>
      </c>
      <c r="R464" s="4">
        <v>0</v>
      </c>
      <c r="T464" s="5">
        <v>31.5</v>
      </c>
      <c r="W464" s="4">
        <v>24</v>
      </c>
      <c r="X464" s="4" t="str">
        <f t="shared" si="82"/>
        <v>Young Adult</v>
      </c>
      <c r="Y464" s="4" t="s">
        <v>3561</v>
      </c>
      <c r="AB464" s="4" t="str">
        <f t="shared" si="83"/>
        <v/>
      </c>
      <c r="AC464" s="4" t="str">
        <f t="shared" si="84"/>
        <v>Unknown</v>
      </c>
      <c r="AD464" s="4" t="s">
        <v>457</v>
      </c>
      <c r="AG464" s="4" t="str">
        <f t="shared" si="85"/>
        <v>Not Applicable</v>
      </c>
      <c r="AK464" s="4" t="s">
        <v>3573</v>
      </c>
      <c r="AL464" s="4" t="str">
        <f t="shared" si="86"/>
        <v>Found</v>
      </c>
      <c r="AN464" s="6">
        <v>31.5</v>
      </c>
      <c r="AO464" s="4" t="str">
        <f t="shared" si="87"/>
        <v>Mid</v>
      </c>
    </row>
    <row r="465" spans="1:41">
      <c r="A465">
        <v>2</v>
      </c>
      <c r="B465" t="str">
        <f t="shared" si="77"/>
        <v>Second Class</v>
      </c>
      <c r="C465">
        <v>0</v>
      </c>
      <c r="E465" t="str">
        <f t="shared" si="78"/>
        <v>Died</v>
      </c>
      <c r="F465" t="s">
        <v>1391</v>
      </c>
      <c r="G465" t="s">
        <v>848</v>
      </c>
      <c r="H465" t="s">
        <v>945</v>
      </c>
      <c r="I465" t="str">
        <f t="shared" si="79"/>
        <v>Mr. Jefferys Ernest</v>
      </c>
      <c r="J465" t="s">
        <v>20</v>
      </c>
      <c r="K465" t="str">
        <f t="shared" si="80"/>
        <v>Male</v>
      </c>
      <c r="L465">
        <v>22</v>
      </c>
      <c r="O465">
        <f t="shared" si="81"/>
        <v>22</v>
      </c>
      <c r="P465">
        <v>2</v>
      </c>
      <c r="R465" s="4">
        <v>0</v>
      </c>
      <c r="T465" s="5">
        <v>31.5</v>
      </c>
      <c r="W465" s="4">
        <v>22</v>
      </c>
      <c r="X465" s="4" t="str">
        <f t="shared" si="82"/>
        <v>Young Adult</v>
      </c>
      <c r="Y465" s="4" t="s">
        <v>3561</v>
      </c>
      <c r="AB465" s="4" t="str">
        <f t="shared" si="83"/>
        <v/>
      </c>
      <c r="AC465" s="4" t="str">
        <f t="shared" si="84"/>
        <v>Unknown</v>
      </c>
      <c r="AD465" s="4" t="s">
        <v>457</v>
      </c>
      <c r="AG465" s="4" t="str">
        <f t="shared" si="85"/>
        <v>Not Applicable</v>
      </c>
      <c r="AK465" s="4" t="s">
        <v>3573</v>
      </c>
      <c r="AL465" s="4" t="str">
        <f t="shared" si="86"/>
        <v>Found</v>
      </c>
      <c r="AN465" s="6">
        <v>31.5</v>
      </c>
      <c r="AO465" s="4" t="str">
        <f t="shared" si="87"/>
        <v>Mid</v>
      </c>
    </row>
    <row r="466" spans="1:41">
      <c r="A466">
        <v>2</v>
      </c>
      <c r="B466" t="str">
        <f t="shared" si="77"/>
        <v>Second Class</v>
      </c>
      <c r="C466">
        <v>0</v>
      </c>
      <c r="E466" t="str">
        <f t="shared" si="78"/>
        <v>Died</v>
      </c>
      <c r="F466" t="s">
        <v>1392</v>
      </c>
      <c r="G466" t="s">
        <v>848</v>
      </c>
      <c r="H466" t="s">
        <v>900</v>
      </c>
      <c r="I466" t="str">
        <f t="shared" si="79"/>
        <v>Mr. Jenkin Stephen</v>
      </c>
      <c r="J466" t="s">
        <v>20</v>
      </c>
      <c r="K466" t="str">
        <f t="shared" si="80"/>
        <v>Male</v>
      </c>
      <c r="L466">
        <v>32</v>
      </c>
      <c r="O466">
        <f t="shared" si="81"/>
        <v>32</v>
      </c>
      <c r="P466">
        <v>0</v>
      </c>
      <c r="R466" s="4">
        <v>0</v>
      </c>
      <c r="T466" s="5">
        <v>10.5</v>
      </c>
      <c r="W466" s="4">
        <v>32</v>
      </c>
      <c r="X466" s="4" t="str">
        <f t="shared" si="82"/>
        <v>Adult</v>
      </c>
      <c r="Y466" s="4" t="s">
        <v>3561</v>
      </c>
      <c r="AB466" s="4" t="str">
        <f t="shared" si="83"/>
        <v/>
      </c>
      <c r="AC466" s="4" t="str">
        <f t="shared" si="84"/>
        <v>Unknown</v>
      </c>
      <c r="AD466" s="4" t="s">
        <v>457</v>
      </c>
      <c r="AG466" s="4" t="str">
        <f t="shared" si="85"/>
        <v>Not Applicable</v>
      </c>
      <c r="AK466" s="4" t="s">
        <v>3573</v>
      </c>
      <c r="AL466" s="4" t="str">
        <f t="shared" si="86"/>
        <v>Found</v>
      </c>
      <c r="AN466" s="6">
        <v>10.5</v>
      </c>
      <c r="AO466" s="4" t="str">
        <f t="shared" si="87"/>
        <v>Mid</v>
      </c>
    </row>
    <row r="467" spans="1:41">
      <c r="A467">
        <v>2</v>
      </c>
      <c r="B467" t="str">
        <f t="shared" si="77"/>
        <v>Second Class</v>
      </c>
      <c r="C467">
        <v>1</v>
      </c>
      <c r="E467" t="str">
        <f t="shared" si="78"/>
        <v>Survived</v>
      </c>
      <c r="F467" t="s">
        <v>1393</v>
      </c>
      <c r="G467" t="s">
        <v>849</v>
      </c>
      <c r="H467" t="s">
        <v>1394</v>
      </c>
      <c r="I467" t="str">
        <f t="shared" si="79"/>
        <v>Mrs. Jerwan Amin</v>
      </c>
      <c r="J467" t="s">
        <v>47</v>
      </c>
      <c r="K467" t="str">
        <f t="shared" si="80"/>
        <v>Female</v>
      </c>
      <c r="L467">
        <v>23</v>
      </c>
      <c r="O467">
        <f t="shared" si="81"/>
        <v>23</v>
      </c>
      <c r="P467">
        <v>0</v>
      </c>
      <c r="R467" s="4">
        <v>0</v>
      </c>
      <c r="T467" s="5">
        <v>13.791700000000001</v>
      </c>
      <c r="W467" s="4">
        <v>23</v>
      </c>
      <c r="X467" s="4" t="str">
        <f t="shared" si="82"/>
        <v>Young Adult</v>
      </c>
      <c r="Y467" s="4" t="s">
        <v>59</v>
      </c>
      <c r="AA467" s="4" t="s">
        <v>59</v>
      </c>
      <c r="AB467" s="4" t="str">
        <f t="shared" si="83"/>
        <v>D</v>
      </c>
      <c r="AC467" s="4" t="str">
        <f t="shared" si="84"/>
        <v>D</v>
      </c>
      <c r="AD467" s="4" t="s">
        <v>3566</v>
      </c>
      <c r="AF467" s="4">
        <v>11</v>
      </c>
      <c r="AG467" s="4">
        <f t="shared" si="85"/>
        <v>11</v>
      </c>
      <c r="AK467" s="4" t="s">
        <v>3573</v>
      </c>
      <c r="AL467" s="4" t="str">
        <f t="shared" si="86"/>
        <v>Found</v>
      </c>
      <c r="AN467" s="6">
        <v>13.791700000000001</v>
      </c>
      <c r="AO467" s="4" t="str">
        <f t="shared" si="87"/>
        <v>Mid</v>
      </c>
    </row>
    <row r="468" spans="1:41">
      <c r="A468">
        <v>2</v>
      </c>
      <c r="B468" t="str">
        <f t="shared" si="77"/>
        <v>Second Class</v>
      </c>
      <c r="C468">
        <v>0</v>
      </c>
      <c r="E468" t="str">
        <f t="shared" si="78"/>
        <v>Died</v>
      </c>
      <c r="F468" t="s">
        <v>1395</v>
      </c>
      <c r="G468" t="s">
        <v>848</v>
      </c>
      <c r="H468" t="s">
        <v>1396</v>
      </c>
      <c r="I468" t="str">
        <f t="shared" si="79"/>
        <v>Mr. Kantor Sinai</v>
      </c>
      <c r="J468" t="s">
        <v>20</v>
      </c>
      <c r="K468" t="str">
        <f t="shared" si="80"/>
        <v>Male</v>
      </c>
      <c r="L468">
        <v>34</v>
      </c>
      <c r="O468">
        <f t="shared" si="81"/>
        <v>34</v>
      </c>
      <c r="P468">
        <v>1</v>
      </c>
      <c r="R468" s="4">
        <v>0</v>
      </c>
      <c r="T468" s="5">
        <v>26</v>
      </c>
      <c r="W468" s="4">
        <v>34</v>
      </c>
      <c r="X468" s="4" t="str">
        <f t="shared" si="82"/>
        <v>Adult</v>
      </c>
      <c r="Y468" s="4" t="s">
        <v>3561</v>
      </c>
      <c r="AB468" s="4" t="str">
        <f t="shared" si="83"/>
        <v/>
      </c>
      <c r="AC468" s="4" t="str">
        <f t="shared" si="84"/>
        <v>Unknown</v>
      </c>
      <c r="AD468" s="4" t="s">
        <v>457</v>
      </c>
      <c r="AG468" s="4" t="str">
        <f t="shared" si="85"/>
        <v>Not Applicable</v>
      </c>
      <c r="AH468" s="4">
        <v>283</v>
      </c>
      <c r="AK468" s="4">
        <v>283</v>
      </c>
      <c r="AL468" s="4" t="str">
        <f t="shared" si="86"/>
        <v>Found</v>
      </c>
      <c r="AN468" s="6">
        <v>26</v>
      </c>
      <c r="AO468" s="4" t="str">
        <f t="shared" si="87"/>
        <v>Mid</v>
      </c>
    </row>
    <row r="469" spans="1:41">
      <c r="A469">
        <v>2</v>
      </c>
      <c r="B469" t="str">
        <f t="shared" si="77"/>
        <v>Second Class</v>
      </c>
      <c r="C469">
        <v>1</v>
      </c>
      <c r="E469" t="str">
        <f t="shared" si="78"/>
        <v>Survived</v>
      </c>
      <c r="F469" t="s">
        <v>1395</v>
      </c>
      <c r="G469" t="s">
        <v>849</v>
      </c>
      <c r="H469" t="s">
        <v>1396</v>
      </c>
      <c r="I469" t="str">
        <f t="shared" si="79"/>
        <v>Mrs. Kantor Sinai</v>
      </c>
      <c r="J469" t="s">
        <v>47</v>
      </c>
      <c r="K469" t="str">
        <f t="shared" si="80"/>
        <v>Female</v>
      </c>
      <c r="L469">
        <v>24</v>
      </c>
      <c r="O469">
        <f t="shared" si="81"/>
        <v>24</v>
      </c>
      <c r="P469">
        <v>1</v>
      </c>
      <c r="R469" s="4">
        <v>0</v>
      </c>
      <c r="T469" s="5">
        <v>26</v>
      </c>
      <c r="W469" s="4">
        <v>24</v>
      </c>
      <c r="X469" s="4" t="str">
        <f t="shared" si="82"/>
        <v>Young Adult</v>
      </c>
      <c r="Y469" s="4" t="s">
        <v>3561</v>
      </c>
      <c r="AB469" s="4" t="str">
        <f t="shared" si="83"/>
        <v/>
      </c>
      <c r="AC469" s="4" t="str">
        <f t="shared" si="84"/>
        <v>Unknown</v>
      </c>
      <c r="AD469" s="4" t="s">
        <v>457</v>
      </c>
      <c r="AF469" s="4">
        <v>12</v>
      </c>
      <c r="AG469" s="4">
        <f t="shared" si="85"/>
        <v>12</v>
      </c>
      <c r="AK469" s="4" t="s">
        <v>3573</v>
      </c>
      <c r="AL469" s="4" t="str">
        <f t="shared" si="86"/>
        <v>Found</v>
      </c>
      <c r="AN469" s="6">
        <v>26</v>
      </c>
      <c r="AO469" s="4" t="str">
        <f t="shared" si="87"/>
        <v>Mid</v>
      </c>
    </row>
    <row r="470" spans="1:41">
      <c r="A470">
        <v>2</v>
      </c>
      <c r="B470" t="str">
        <f t="shared" si="77"/>
        <v>Second Class</v>
      </c>
      <c r="C470">
        <v>0</v>
      </c>
      <c r="E470" t="str">
        <f t="shared" si="78"/>
        <v>Died</v>
      </c>
      <c r="F470" t="s">
        <v>1397</v>
      </c>
      <c r="G470" t="s">
        <v>849</v>
      </c>
      <c r="H470" t="s">
        <v>850</v>
      </c>
      <c r="I470" t="str">
        <f t="shared" si="79"/>
        <v>Mrs. Karnes J</v>
      </c>
      <c r="J470" t="s">
        <v>47</v>
      </c>
      <c r="K470" t="str">
        <f t="shared" si="80"/>
        <v>Female</v>
      </c>
      <c r="L470">
        <v>22</v>
      </c>
      <c r="O470">
        <f t="shared" si="81"/>
        <v>22</v>
      </c>
      <c r="P470">
        <v>0</v>
      </c>
      <c r="R470" s="4">
        <v>0</v>
      </c>
      <c r="T470" s="5">
        <v>21</v>
      </c>
      <c r="W470" s="4">
        <v>22</v>
      </c>
      <c r="X470" s="4" t="str">
        <f t="shared" si="82"/>
        <v>Young Adult</v>
      </c>
      <c r="Y470" s="4" t="s">
        <v>3561</v>
      </c>
      <c r="AB470" s="4" t="str">
        <f t="shared" si="83"/>
        <v/>
      </c>
      <c r="AC470" s="4" t="str">
        <f t="shared" si="84"/>
        <v>Unknown</v>
      </c>
      <c r="AD470" s="4" t="s">
        <v>457</v>
      </c>
      <c r="AG470" s="4" t="str">
        <f t="shared" si="85"/>
        <v>Not Applicable</v>
      </c>
      <c r="AK470" s="4" t="s">
        <v>3573</v>
      </c>
      <c r="AL470" s="4" t="str">
        <f t="shared" si="86"/>
        <v>Found</v>
      </c>
      <c r="AN470" s="6">
        <v>21</v>
      </c>
      <c r="AO470" s="4" t="str">
        <f t="shared" si="87"/>
        <v>Mid</v>
      </c>
    </row>
    <row r="471" spans="1:41">
      <c r="A471">
        <v>2</v>
      </c>
      <c r="B471" t="str">
        <f t="shared" si="77"/>
        <v>Second Class</v>
      </c>
      <c r="C471">
        <v>1</v>
      </c>
      <c r="E471" t="str">
        <f t="shared" si="78"/>
        <v>Survived</v>
      </c>
      <c r="F471" t="s">
        <v>1398</v>
      </c>
      <c r="G471" t="s">
        <v>842</v>
      </c>
      <c r="H471" t="s">
        <v>1399</v>
      </c>
      <c r="I471" t="str">
        <f t="shared" si="79"/>
        <v>Miss. Keane Nora</v>
      </c>
      <c r="J471" t="s">
        <v>47</v>
      </c>
      <c r="K471" t="str">
        <f t="shared" si="80"/>
        <v>Female</v>
      </c>
      <c r="L471">
        <v>28</v>
      </c>
      <c r="O471">
        <f t="shared" si="81"/>
        <v>28</v>
      </c>
      <c r="P471">
        <v>0</v>
      </c>
      <c r="R471" s="4">
        <v>0</v>
      </c>
      <c r="T471" s="5">
        <v>12.35</v>
      </c>
      <c r="W471" s="4">
        <v>28</v>
      </c>
      <c r="X471" s="4" t="str">
        <f t="shared" si="82"/>
        <v>Young Adult</v>
      </c>
      <c r="Y471" s="4" t="s">
        <v>503</v>
      </c>
      <c r="AA471" s="4" t="s">
        <v>503</v>
      </c>
      <c r="AB471" s="4" t="str">
        <f t="shared" si="83"/>
        <v>E</v>
      </c>
      <c r="AC471" s="4" t="str">
        <f t="shared" si="84"/>
        <v>E</v>
      </c>
      <c r="AD471" s="4" t="s">
        <v>3567</v>
      </c>
      <c r="AF471" s="4">
        <v>10</v>
      </c>
      <c r="AG471" s="4">
        <f t="shared" si="85"/>
        <v>10</v>
      </c>
      <c r="AK471" s="4" t="s">
        <v>3573</v>
      </c>
      <c r="AL471" s="4" t="str">
        <f t="shared" si="86"/>
        <v>Found</v>
      </c>
      <c r="AN471" s="6">
        <v>12.35</v>
      </c>
      <c r="AO471" s="4" t="str">
        <f t="shared" si="87"/>
        <v>Mid</v>
      </c>
    </row>
    <row r="472" spans="1:41">
      <c r="A472">
        <v>2</v>
      </c>
      <c r="B472" t="str">
        <f t="shared" si="77"/>
        <v>Second Class</v>
      </c>
      <c r="C472">
        <v>0</v>
      </c>
      <c r="E472" t="str">
        <f t="shared" si="78"/>
        <v>Died</v>
      </c>
      <c r="F472" t="s">
        <v>1398</v>
      </c>
      <c r="G472" t="s">
        <v>848</v>
      </c>
      <c r="H472" t="s">
        <v>989</v>
      </c>
      <c r="I472" t="str">
        <f t="shared" si="79"/>
        <v>Mr. Keane Daniel</v>
      </c>
      <c r="J472" t="s">
        <v>20</v>
      </c>
      <c r="K472" t="str">
        <f t="shared" si="80"/>
        <v>Male</v>
      </c>
      <c r="L472">
        <v>35</v>
      </c>
      <c r="O472">
        <f t="shared" si="81"/>
        <v>35</v>
      </c>
      <c r="P472">
        <v>0</v>
      </c>
      <c r="R472" s="4">
        <v>0</v>
      </c>
      <c r="T472" s="5">
        <v>12.35</v>
      </c>
      <c r="W472" s="4">
        <v>35</v>
      </c>
      <c r="X472" s="4" t="str">
        <f t="shared" si="82"/>
        <v>Adult</v>
      </c>
      <c r="Y472" s="4" t="s">
        <v>3561</v>
      </c>
      <c r="AB472" s="4" t="str">
        <f t="shared" si="83"/>
        <v/>
      </c>
      <c r="AC472" s="4" t="str">
        <f t="shared" si="84"/>
        <v>Unknown</v>
      </c>
      <c r="AD472" s="4" t="s">
        <v>3567</v>
      </c>
      <c r="AG472" s="4" t="str">
        <f t="shared" si="85"/>
        <v>Not Applicable</v>
      </c>
      <c r="AK472" s="4" t="s">
        <v>3573</v>
      </c>
      <c r="AL472" s="4" t="str">
        <f t="shared" si="86"/>
        <v>Found</v>
      </c>
      <c r="AN472" s="6">
        <v>12.35</v>
      </c>
      <c r="AO472" s="4" t="str">
        <f t="shared" si="87"/>
        <v>Mid</v>
      </c>
    </row>
    <row r="473" spans="1:41">
      <c r="A473">
        <v>2</v>
      </c>
      <c r="B473" t="str">
        <f t="shared" si="77"/>
        <v>Second Class</v>
      </c>
      <c r="C473">
        <v>1</v>
      </c>
      <c r="E473" t="str">
        <f t="shared" si="78"/>
        <v>Survived</v>
      </c>
      <c r="F473" t="s">
        <v>1400</v>
      </c>
      <c r="G473" t="s">
        <v>849</v>
      </c>
      <c r="H473" t="s">
        <v>951</v>
      </c>
      <c r="I473" t="str">
        <f t="shared" si="79"/>
        <v>Mrs. Kelly Florence</v>
      </c>
      <c r="J473" t="s">
        <v>47</v>
      </c>
      <c r="K473" t="str">
        <f t="shared" si="80"/>
        <v>Female</v>
      </c>
      <c r="L473">
        <v>45</v>
      </c>
      <c r="O473">
        <f t="shared" si="81"/>
        <v>45</v>
      </c>
      <c r="P473">
        <v>0</v>
      </c>
      <c r="R473" s="4">
        <v>0</v>
      </c>
      <c r="T473" s="5">
        <v>13.5</v>
      </c>
      <c r="W473" s="4">
        <v>45</v>
      </c>
      <c r="X473" s="4" t="str">
        <f t="shared" si="82"/>
        <v>Adult</v>
      </c>
      <c r="Y473" s="4" t="s">
        <v>3561</v>
      </c>
      <c r="AB473" s="4" t="str">
        <f t="shared" si="83"/>
        <v/>
      </c>
      <c r="AC473" s="4" t="str">
        <f t="shared" si="84"/>
        <v>Unknown</v>
      </c>
      <c r="AD473" s="4" t="s">
        <v>457</v>
      </c>
      <c r="AF473" s="4">
        <v>9</v>
      </c>
      <c r="AG473" s="4">
        <f t="shared" si="85"/>
        <v>9</v>
      </c>
      <c r="AK473" s="4" t="s">
        <v>3573</v>
      </c>
      <c r="AL473" s="4" t="str">
        <f t="shared" si="86"/>
        <v>Found</v>
      </c>
      <c r="AN473" s="6">
        <v>13.5</v>
      </c>
      <c r="AO473" s="4" t="str">
        <f t="shared" si="87"/>
        <v>Mid</v>
      </c>
    </row>
    <row r="474" spans="1:41">
      <c r="A474">
        <v>2</v>
      </c>
      <c r="B474" t="str">
        <f t="shared" si="77"/>
        <v>Second Class</v>
      </c>
      <c r="C474">
        <v>0</v>
      </c>
      <c r="E474" t="str">
        <f t="shared" si="78"/>
        <v>Died</v>
      </c>
      <c r="F474" t="s">
        <v>1401</v>
      </c>
      <c r="G474" t="s">
        <v>1277</v>
      </c>
      <c r="H474" t="s">
        <v>1000</v>
      </c>
      <c r="I474" t="str">
        <f t="shared" si="79"/>
        <v>Rev. Kirkland Charles</v>
      </c>
      <c r="J474" t="s">
        <v>20</v>
      </c>
      <c r="K474" t="str">
        <f t="shared" si="80"/>
        <v>Male</v>
      </c>
      <c r="L474">
        <v>57</v>
      </c>
      <c r="O474">
        <f t="shared" si="81"/>
        <v>57</v>
      </c>
      <c r="P474">
        <v>0</v>
      </c>
      <c r="R474" s="4">
        <v>0</v>
      </c>
      <c r="T474" s="5">
        <v>12.35</v>
      </c>
      <c r="W474" s="4">
        <v>57</v>
      </c>
      <c r="X474" s="4" t="str">
        <f t="shared" si="82"/>
        <v>Adult</v>
      </c>
      <c r="Y474" s="4" t="s">
        <v>3561</v>
      </c>
      <c r="AB474" s="4" t="str">
        <f t="shared" si="83"/>
        <v/>
      </c>
      <c r="AC474" s="4" t="str">
        <f t="shared" si="84"/>
        <v>Unknown</v>
      </c>
      <c r="AD474" s="4" t="s">
        <v>3567</v>
      </c>
      <c r="AG474" s="4" t="str">
        <f t="shared" si="85"/>
        <v>Not Applicable</v>
      </c>
      <c r="AK474" s="4" t="s">
        <v>3573</v>
      </c>
      <c r="AL474" s="4" t="str">
        <f t="shared" si="86"/>
        <v>Found</v>
      </c>
      <c r="AN474" s="6">
        <v>12.35</v>
      </c>
      <c r="AO474" s="4" t="str">
        <f t="shared" si="87"/>
        <v>Mid</v>
      </c>
    </row>
    <row r="475" spans="1:41">
      <c r="A475">
        <v>2</v>
      </c>
      <c r="B475" t="str">
        <f t="shared" si="77"/>
        <v>Second Class</v>
      </c>
      <c r="C475">
        <v>0</v>
      </c>
      <c r="E475" t="str">
        <f t="shared" si="78"/>
        <v>Died</v>
      </c>
      <c r="F475" t="s">
        <v>1402</v>
      </c>
      <c r="G475" t="s">
        <v>848</v>
      </c>
      <c r="H475" t="s">
        <v>925</v>
      </c>
      <c r="I475" t="str">
        <f t="shared" si="79"/>
        <v>Mr. Knight Robert</v>
      </c>
      <c r="J475" t="s">
        <v>20</v>
      </c>
      <c r="K475" t="str">
        <f t="shared" si="80"/>
        <v>Male</v>
      </c>
      <c r="L475">
        <v>28</v>
      </c>
      <c r="O475">
        <f t="shared" si="81"/>
        <v>28</v>
      </c>
      <c r="P475">
        <v>0</v>
      </c>
      <c r="R475" s="4">
        <v>0</v>
      </c>
      <c r="T475" s="5">
        <v>0</v>
      </c>
      <c r="W475" s="4">
        <v>28</v>
      </c>
      <c r="X475" s="4" t="str">
        <f t="shared" si="82"/>
        <v>Young Adult</v>
      </c>
      <c r="Y475" s="4" t="s">
        <v>3561</v>
      </c>
      <c r="AB475" s="4" t="str">
        <f t="shared" si="83"/>
        <v/>
      </c>
      <c r="AC475" s="4" t="str">
        <f t="shared" si="84"/>
        <v>Unknown</v>
      </c>
      <c r="AD475" s="4" t="s">
        <v>457</v>
      </c>
      <c r="AG475" s="4" t="str">
        <f t="shared" si="85"/>
        <v>Not Applicable</v>
      </c>
      <c r="AK475" s="4" t="s">
        <v>3573</v>
      </c>
      <c r="AL475" s="4" t="str">
        <f t="shared" si="86"/>
        <v>Found</v>
      </c>
      <c r="AN475" s="6">
        <v>0</v>
      </c>
      <c r="AO475" s="4" t="str">
        <f t="shared" si="87"/>
        <v>Low</v>
      </c>
    </row>
    <row r="476" spans="1:41">
      <c r="A476">
        <v>2</v>
      </c>
      <c r="B476" t="str">
        <f t="shared" si="77"/>
        <v>Second Class</v>
      </c>
      <c r="C476">
        <v>0</v>
      </c>
      <c r="E476" t="str">
        <f t="shared" si="78"/>
        <v>Died</v>
      </c>
      <c r="F476" t="s">
        <v>1403</v>
      </c>
      <c r="G476" t="s">
        <v>848</v>
      </c>
      <c r="H476" t="s">
        <v>1105</v>
      </c>
      <c r="I476" t="str">
        <f t="shared" si="79"/>
        <v>Mr. Kvillner Johan</v>
      </c>
      <c r="J476" t="s">
        <v>20</v>
      </c>
      <c r="K476" t="str">
        <f t="shared" si="80"/>
        <v>Male</v>
      </c>
      <c r="L476">
        <v>31</v>
      </c>
      <c r="O476">
        <f t="shared" si="81"/>
        <v>31</v>
      </c>
      <c r="P476">
        <v>0</v>
      </c>
      <c r="R476" s="4">
        <v>0</v>
      </c>
      <c r="T476" s="5">
        <v>10.5</v>
      </c>
      <c r="W476" s="4">
        <v>31</v>
      </c>
      <c r="X476" s="4" t="str">
        <f t="shared" si="82"/>
        <v>Adult</v>
      </c>
      <c r="Y476" s="4" t="s">
        <v>3561</v>
      </c>
      <c r="AB476" s="4" t="str">
        <f t="shared" si="83"/>
        <v/>
      </c>
      <c r="AC476" s="4" t="str">
        <f t="shared" si="84"/>
        <v>Unknown</v>
      </c>
      <c r="AD476" s="4" t="s">
        <v>457</v>
      </c>
      <c r="AG476" s="4" t="str">
        <f t="shared" si="85"/>
        <v>Not Applicable</v>
      </c>
      <c r="AH476" s="4">
        <v>165</v>
      </c>
      <c r="AK476" s="4">
        <v>165</v>
      </c>
      <c r="AL476" s="4" t="str">
        <f t="shared" si="86"/>
        <v>Found</v>
      </c>
      <c r="AN476" s="6">
        <v>10.5</v>
      </c>
      <c r="AO476" s="4" t="str">
        <f t="shared" si="87"/>
        <v>Mid</v>
      </c>
    </row>
    <row r="477" spans="1:41">
      <c r="A477">
        <v>2</v>
      </c>
      <c r="B477" t="str">
        <f t="shared" si="77"/>
        <v>Second Class</v>
      </c>
      <c r="C477">
        <v>0</v>
      </c>
      <c r="E477" t="str">
        <f t="shared" si="78"/>
        <v>Died</v>
      </c>
      <c r="F477" t="s">
        <v>1405</v>
      </c>
      <c r="G477" t="s">
        <v>849</v>
      </c>
      <c r="H477" t="s">
        <v>924</v>
      </c>
      <c r="I477" t="str">
        <f t="shared" si="79"/>
        <v>Mrs. Lahtinen William</v>
      </c>
      <c r="J477" t="s">
        <v>47</v>
      </c>
      <c r="K477" t="str">
        <f t="shared" si="80"/>
        <v>Female</v>
      </c>
      <c r="L477">
        <v>26</v>
      </c>
      <c r="O477">
        <f t="shared" si="81"/>
        <v>26</v>
      </c>
      <c r="P477">
        <v>1</v>
      </c>
      <c r="R477" s="4">
        <v>1</v>
      </c>
      <c r="T477" s="5">
        <v>26</v>
      </c>
      <c r="W477" s="4">
        <v>26</v>
      </c>
      <c r="X477" s="4" t="str">
        <f t="shared" si="82"/>
        <v>Young Adult</v>
      </c>
      <c r="Y477" s="4" t="s">
        <v>3561</v>
      </c>
      <c r="AB477" s="4" t="str">
        <f t="shared" si="83"/>
        <v/>
      </c>
      <c r="AC477" s="4" t="str">
        <f t="shared" si="84"/>
        <v>Unknown</v>
      </c>
      <c r="AD477" s="4" t="s">
        <v>457</v>
      </c>
      <c r="AG477" s="4" t="str">
        <f t="shared" si="85"/>
        <v>Not Applicable</v>
      </c>
      <c r="AK477" s="4" t="s">
        <v>3573</v>
      </c>
      <c r="AL477" s="4" t="str">
        <f t="shared" si="86"/>
        <v>Found</v>
      </c>
      <c r="AN477" s="6">
        <v>26</v>
      </c>
      <c r="AO477" s="4" t="str">
        <f t="shared" si="87"/>
        <v>Mid</v>
      </c>
    </row>
    <row r="478" spans="1:41">
      <c r="A478">
        <v>2</v>
      </c>
      <c r="B478" t="str">
        <f t="shared" si="77"/>
        <v>Second Class</v>
      </c>
      <c r="C478">
        <v>0</v>
      </c>
      <c r="E478" t="str">
        <f t="shared" si="78"/>
        <v>Died</v>
      </c>
      <c r="F478" t="s">
        <v>1405</v>
      </c>
      <c r="G478" t="s">
        <v>1277</v>
      </c>
      <c r="H478" t="s">
        <v>924</v>
      </c>
      <c r="I478" t="str">
        <f t="shared" si="79"/>
        <v>Rev. Lahtinen William</v>
      </c>
      <c r="J478" t="s">
        <v>20</v>
      </c>
      <c r="K478" t="str">
        <f t="shared" si="80"/>
        <v>Male</v>
      </c>
      <c r="L478">
        <v>30</v>
      </c>
      <c r="O478">
        <f t="shared" si="81"/>
        <v>30</v>
      </c>
      <c r="P478">
        <v>1</v>
      </c>
      <c r="R478" s="4">
        <v>1</v>
      </c>
      <c r="T478" s="5">
        <v>26</v>
      </c>
      <c r="W478" s="4">
        <v>30</v>
      </c>
      <c r="X478" s="4" t="str">
        <f t="shared" si="82"/>
        <v>Adult</v>
      </c>
      <c r="Y478" s="4" t="s">
        <v>3561</v>
      </c>
      <c r="AB478" s="4" t="str">
        <f t="shared" si="83"/>
        <v/>
      </c>
      <c r="AC478" s="4" t="str">
        <f t="shared" si="84"/>
        <v>Unknown</v>
      </c>
      <c r="AD478" s="4" t="s">
        <v>457</v>
      </c>
      <c r="AG478" s="4" t="str">
        <f t="shared" si="85"/>
        <v>Not Applicable</v>
      </c>
      <c r="AK478" s="4" t="s">
        <v>3573</v>
      </c>
      <c r="AL478" s="4" t="str">
        <f t="shared" si="86"/>
        <v>Found</v>
      </c>
      <c r="AN478" s="6">
        <v>26</v>
      </c>
      <c r="AO478" s="4" t="str">
        <f t="shared" si="87"/>
        <v>Mid</v>
      </c>
    </row>
    <row r="479" spans="1:41">
      <c r="A479">
        <v>2</v>
      </c>
      <c r="B479" t="str">
        <f t="shared" si="77"/>
        <v>Second Class</v>
      </c>
      <c r="C479">
        <v>0</v>
      </c>
      <c r="E479" t="str">
        <f t="shared" si="78"/>
        <v>Died</v>
      </c>
      <c r="F479" t="s">
        <v>1406</v>
      </c>
      <c r="G479" t="s">
        <v>848</v>
      </c>
      <c r="H479" t="s">
        <v>862</v>
      </c>
      <c r="I479" t="str">
        <f t="shared" si="79"/>
        <v>Mr. Lamb John</v>
      </c>
      <c r="J479" t="s">
        <v>20</v>
      </c>
      <c r="K479" t="str">
        <f t="shared" si="80"/>
        <v>Male</v>
      </c>
      <c r="L479">
        <v>28</v>
      </c>
      <c r="O479">
        <f t="shared" si="81"/>
        <v>28</v>
      </c>
      <c r="P479">
        <v>0</v>
      </c>
      <c r="R479" s="4">
        <v>0</v>
      </c>
      <c r="T479" s="5">
        <v>10.708299999999999</v>
      </c>
      <c r="W479" s="4">
        <v>28</v>
      </c>
      <c r="X479" s="4" t="str">
        <f t="shared" si="82"/>
        <v>Young Adult</v>
      </c>
      <c r="Y479" s="4" t="s">
        <v>3561</v>
      </c>
      <c r="AB479" s="4" t="str">
        <f t="shared" si="83"/>
        <v/>
      </c>
      <c r="AC479" s="4" t="str">
        <f t="shared" si="84"/>
        <v>Unknown</v>
      </c>
      <c r="AD479" s="4" t="s">
        <v>3567</v>
      </c>
      <c r="AG479" s="4" t="str">
        <f t="shared" si="85"/>
        <v>Not Applicable</v>
      </c>
      <c r="AK479" s="4" t="s">
        <v>3573</v>
      </c>
      <c r="AL479" s="4" t="str">
        <f t="shared" si="86"/>
        <v>Found</v>
      </c>
      <c r="AN479" s="6">
        <v>10.708299999999999</v>
      </c>
      <c r="AO479" s="4" t="str">
        <f t="shared" si="87"/>
        <v>Mid</v>
      </c>
    </row>
    <row r="480" spans="1:41">
      <c r="A480">
        <v>2</v>
      </c>
      <c r="B480" t="str">
        <f t="shared" si="77"/>
        <v>Second Class</v>
      </c>
      <c r="C480">
        <v>1</v>
      </c>
      <c r="E480" t="str">
        <f t="shared" si="78"/>
        <v>Survived</v>
      </c>
      <c r="F480" t="s">
        <v>1407</v>
      </c>
      <c r="G480" t="s">
        <v>842</v>
      </c>
      <c r="H480" t="s">
        <v>1010</v>
      </c>
      <c r="I480" t="str">
        <f t="shared" si="79"/>
        <v>Miss. Laroche Louise</v>
      </c>
      <c r="J480" t="s">
        <v>47</v>
      </c>
      <c r="K480" t="str">
        <f t="shared" si="80"/>
        <v>Female</v>
      </c>
      <c r="L480">
        <v>1</v>
      </c>
      <c r="O480">
        <f t="shared" si="81"/>
        <v>1</v>
      </c>
      <c r="P480">
        <v>1</v>
      </c>
      <c r="R480" s="4">
        <v>2</v>
      </c>
      <c r="T480" s="5">
        <v>41.5792</v>
      </c>
      <c r="W480" s="4">
        <v>1</v>
      </c>
      <c r="X480" s="4" t="str">
        <f t="shared" si="82"/>
        <v>Child</v>
      </c>
      <c r="Y480" s="4" t="s">
        <v>3561</v>
      </c>
      <c r="AB480" s="4" t="str">
        <f t="shared" si="83"/>
        <v/>
      </c>
      <c r="AC480" s="4" t="str">
        <f t="shared" si="84"/>
        <v>Unknown</v>
      </c>
      <c r="AD480" s="4" t="s">
        <v>3566</v>
      </c>
      <c r="AF480" s="4">
        <v>14</v>
      </c>
      <c r="AG480" s="4">
        <f t="shared" si="85"/>
        <v>14</v>
      </c>
      <c r="AK480" s="4" t="s">
        <v>3573</v>
      </c>
      <c r="AL480" s="4" t="str">
        <f t="shared" si="86"/>
        <v>Found</v>
      </c>
      <c r="AN480" s="6">
        <v>41.5792</v>
      </c>
      <c r="AO480" s="4" t="str">
        <f t="shared" si="87"/>
        <v>Mid</v>
      </c>
    </row>
    <row r="481" spans="1:41">
      <c r="A481">
        <v>2</v>
      </c>
      <c r="B481" t="str">
        <f t="shared" si="77"/>
        <v>Second Class</v>
      </c>
      <c r="C481">
        <v>1</v>
      </c>
      <c r="E481" t="str">
        <f t="shared" si="78"/>
        <v>Survived</v>
      </c>
      <c r="F481" t="s">
        <v>1407</v>
      </c>
      <c r="G481" t="s">
        <v>842</v>
      </c>
      <c r="H481" t="s">
        <v>1408</v>
      </c>
      <c r="I481" t="str">
        <f t="shared" si="79"/>
        <v>Miss. Laroche Simonne</v>
      </c>
      <c r="J481" t="s">
        <v>47</v>
      </c>
      <c r="K481" t="str">
        <f t="shared" si="80"/>
        <v>Female</v>
      </c>
      <c r="L481">
        <v>3</v>
      </c>
      <c r="O481">
        <f t="shared" si="81"/>
        <v>3</v>
      </c>
      <c r="P481">
        <v>1</v>
      </c>
      <c r="R481" s="4">
        <v>2</v>
      </c>
      <c r="T481" s="5">
        <v>41.5792</v>
      </c>
      <c r="W481" s="4">
        <v>3</v>
      </c>
      <c r="X481" s="4" t="str">
        <f t="shared" si="82"/>
        <v>Child</v>
      </c>
      <c r="Y481" s="4" t="s">
        <v>3561</v>
      </c>
      <c r="AB481" s="4" t="str">
        <f t="shared" si="83"/>
        <v/>
      </c>
      <c r="AC481" s="4" t="str">
        <f t="shared" si="84"/>
        <v>Unknown</v>
      </c>
      <c r="AD481" s="4" t="s">
        <v>3566</v>
      </c>
      <c r="AF481" s="4">
        <v>14</v>
      </c>
      <c r="AG481" s="4">
        <f t="shared" si="85"/>
        <v>14</v>
      </c>
      <c r="AK481" s="4" t="s">
        <v>3573</v>
      </c>
      <c r="AL481" s="4" t="str">
        <f t="shared" si="86"/>
        <v>Found</v>
      </c>
      <c r="AN481" s="6">
        <v>41.5792</v>
      </c>
      <c r="AO481" s="4" t="str">
        <f t="shared" si="87"/>
        <v>Mid</v>
      </c>
    </row>
    <row r="482" spans="1:41">
      <c r="A482">
        <v>2</v>
      </c>
      <c r="B482" t="str">
        <f t="shared" si="77"/>
        <v>Second Class</v>
      </c>
      <c r="C482">
        <v>0</v>
      </c>
      <c r="E482" t="str">
        <f t="shared" si="78"/>
        <v>Died</v>
      </c>
      <c r="F482" t="s">
        <v>1407</v>
      </c>
      <c r="G482" t="s">
        <v>848</v>
      </c>
      <c r="H482" t="s">
        <v>921</v>
      </c>
      <c r="I482" t="str">
        <f t="shared" si="79"/>
        <v>Mr. Laroche Joseph</v>
      </c>
      <c r="J482" t="s">
        <v>20</v>
      </c>
      <c r="K482" t="str">
        <f t="shared" si="80"/>
        <v>Male</v>
      </c>
      <c r="L482">
        <v>25</v>
      </c>
      <c r="O482">
        <f t="shared" si="81"/>
        <v>25</v>
      </c>
      <c r="P482">
        <v>1</v>
      </c>
      <c r="R482" s="4">
        <v>2</v>
      </c>
      <c r="T482" s="5">
        <v>41.5792</v>
      </c>
      <c r="W482" s="4">
        <v>25</v>
      </c>
      <c r="X482" s="4" t="str">
        <f t="shared" si="82"/>
        <v>Young Adult</v>
      </c>
      <c r="Y482" s="4" t="s">
        <v>3561</v>
      </c>
      <c r="AB482" s="4" t="str">
        <f t="shared" si="83"/>
        <v/>
      </c>
      <c r="AC482" s="4" t="str">
        <f t="shared" si="84"/>
        <v>Unknown</v>
      </c>
      <c r="AD482" s="4" t="s">
        <v>3566</v>
      </c>
      <c r="AG482" s="4" t="str">
        <f t="shared" si="85"/>
        <v>Not Applicable</v>
      </c>
      <c r="AK482" s="4" t="s">
        <v>3573</v>
      </c>
      <c r="AL482" s="4" t="str">
        <f t="shared" si="86"/>
        <v>Found</v>
      </c>
      <c r="AN482" s="6">
        <v>41.5792</v>
      </c>
      <c r="AO482" s="4" t="str">
        <f t="shared" si="87"/>
        <v>Mid</v>
      </c>
    </row>
    <row r="483" spans="1:41">
      <c r="A483">
        <v>2</v>
      </c>
      <c r="B483" t="str">
        <f t="shared" si="77"/>
        <v>Second Class</v>
      </c>
      <c r="C483">
        <v>1</v>
      </c>
      <c r="E483" t="str">
        <f t="shared" si="78"/>
        <v>Survived</v>
      </c>
      <c r="F483" t="s">
        <v>1407</v>
      </c>
      <c r="G483" t="s">
        <v>849</v>
      </c>
      <c r="H483" t="s">
        <v>921</v>
      </c>
      <c r="I483" t="str">
        <f t="shared" si="79"/>
        <v>Mrs. Laroche Joseph</v>
      </c>
      <c r="J483" t="s">
        <v>47</v>
      </c>
      <c r="K483" t="str">
        <f t="shared" si="80"/>
        <v>Female</v>
      </c>
      <c r="L483">
        <v>22</v>
      </c>
      <c r="O483">
        <f t="shared" si="81"/>
        <v>22</v>
      </c>
      <c r="P483">
        <v>1</v>
      </c>
      <c r="R483" s="4">
        <v>2</v>
      </c>
      <c r="T483" s="5">
        <v>41.5792</v>
      </c>
      <c r="W483" s="4">
        <v>22</v>
      </c>
      <c r="X483" s="4" t="str">
        <f t="shared" si="82"/>
        <v>Young Adult</v>
      </c>
      <c r="Y483" s="4" t="s">
        <v>3561</v>
      </c>
      <c r="AB483" s="4" t="str">
        <f t="shared" si="83"/>
        <v/>
      </c>
      <c r="AC483" s="4" t="str">
        <f t="shared" si="84"/>
        <v>Unknown</v>
      </c>
      <c r="AD483" s="4" t="s">
        <v>3566</v>
      </c>
      <c r="AF483" s="4">
        <v>14</v>
      </c>
      <c r="AG483" s="4">
        <f t="shared" si="85"/>
        <v>14</v>
      </c>
      <c r="AK483" s="4" t="s">
        <v>3573</v>
      </c>
      <c r="AL483" s="4" t="str">
        <f t="shared" si="86"/>
        <v>Found</v>
      </c>
      <c r="AN483" s="6">
        <v>41.5792</v>
      </c>
      <c r="AO483" s="4" t="str">
        <f t="shared" si="87"/>
        <v>Mid</v>
      </c>
    </row>
    <row r="484" spans="1:41">
      <c r="A484">
        <v>2</v>
      </c>
      <c r="B484" t="str">
        <f t="shared" si="77"/>
        <v>Second Class</v>
      </c>
      <c r="C484">
        <v>1</v>
      </c>
      <c r="E484" t="str">
        <f t="shared" si="78"/>
        <v>Survived</v>
      </c>
      <c r="F484" t="s">
        <v>1409</v>
      </c>
      <c r="G484" t="s">
        <v>842</v>
      </c>
      <c r="H484" t="s">
        <v>1095</v>
      </c>
      <c r="I484" t="str">
        <f t="shared" si="79"/>
        <v>Miss. Lehmann Bertha</v>
      </c>
      <c r="J484" t="s">
        <v>47</v>
      </c>
      <c r="K484" t="str">
        <f t="shared" si="80"/>
        <v>Female</v>
      </c>
      <c r="L484">
        <v>17</v>
      </c>
      <c r="O484">
        <f t="shared" si="81"/>
        <v>17</v>
      </c>
      <c r="P484">
        <v>0</v>
      </c>
      <c r="R484" s="4">
        <v>0</v>
      </c>
      <c r="T484" s="5">
        <v>12</v>
      </c>
      <c r="W484" s="4">
        <v>17</v>
      </c>
      <c r="X484" s="4" t="str">
        <f t="shared" si="82"/>
        <v>Teenager</v>
      </c>
      <c r="Y484" s="4" t="s">
        <v>3561</v>
      </c>
      <c r="AB484" s="4" t="str">
        <f t="shared" si="83"/>
        <v/>
      </c>
      <c r="AC484" s="4" t="str">
        <f t="shared" si="84"/>
        <v>Unknown</v>
      </c>
      <c r="AD484" s="4" t="s">
        <v>3566</v>
      </c>
      <c r="AF484" s="4">
        <v>12</v>
      </c>
      <c r="AG484" s="4">
        <f t="shared" si="85"/>
        <v>12</v>
      </c>
      <c r="AK484" s="4" t="s">
        <v>3573</v>
      </c>
      <c r="AL484" s="4" t="str">
        <f t="shared" si="86"/>
        <v>Found</v>
      </c>
      <c r="AN484" s="6">
        <v>12</v>
      </c>
      <c r="AO484" s="4" t="str">
        <f t="shared" si="87"/>
        <v>Mid</v>
      </c>
    </row>
    <row r="485" spans="1:41">
      <c r="A485">
        <v>2</v>
      </c>
      <c r="B485" t="str">
        <f t="shared" si="77"/>
        <v>Second Class</v>
      </c>
      <c r="C485">
        <v>1</v>
      </c>
      <c r="E485" t="str">
        <f t="shared" si="78"/>
        <v>Survived</v>
      </c>
      <c r="F485" t="s">
        <v>1410</v>
      </c>
      <c r="G485" t="s">
        <v>842</v>
      </c>
      <c r="H485" t="s">
        <v>1371</v>
      </c>
      <c r="I485" t="str">
        <f t="shared" si="79"/>
        <v>Miss. Leitch Jessie</v>
      </c>
      <c r="J485" t="s">
        <v>47</v>
      </c>
      <c r="K485" t="str">
        <f t="shared" si="80"/>
        <v>Female</v>
      </c>
      <c r="L485">
        <v>28</v>
      </c>
      <c r="O485">
        <f t="shared" si="81"/>
        <v>28</v>
      </c>
      <c r="P485">
        <v>0</v>
      </c>
      <c r="R485" s="4">
        <v>0</v>
      </c>
      <c r="T485" s="5">
        <v>33</v>
      </c>
      <c r="W485" s="4">
        <v>28</v>
      </c>
      <c r="X485" s="4" t="str">
        <f t="shared" si="82"/>
        <v>Young Adult</v>
      </c>
      <c r="Y485" s="4" t="s">
        <v>3561</v>
      </c>
      <c r="AB485" s="4" t="str">
        <f t="shared" si="83"/>
        <v/>
      </c>
      <c r="AC485" s="4" t="str">
        <f t="shared" si="84"/>
        <v>Unknown</v>
      </c>
      <c r="AD485" s="4" t="s">
        <v>457</v>
      </c>
      <c r="AF485" s="4">
        <v>11</v>
      </c>
      <c r="AG485" s="4">
        <f t="shared" si="85"/>
        <v>11</v>
      </c>
      <c r="AK485" s="4" t="s">
        <v>3573</v>
      </c>
      <c r="AL485" s="4" t="str">
        <f t="shared" si="86"/>
        <v>Found</v>
      </c>
      <c r="AN485" s="6">
        <v>33</v>
      </c>
      <c r="AO485" s="4" t="str">
        <f t="shared" si="87"/>
        <v>Mid</v>
      </c>
    </row>
    <row r="486" spans="1:41">
      <c r="A486">
        <v>2</v>
      </c>
      <c r="B486" t="str">
        <f t="shared" si="77"/>
        <v>Second Class</v>
      </c>
      <c r="C486">
        <v>1</v>
      </c>
      <c r="E486" t="str">
        <f t="shared" si="78"/>
        <v>Survived</v>
      </c>
      <c r="F486" t="s">
        <v>1411</v>
      </c>
      <c r="G486" t="s">
        <v>849</v>
      </c>
      <c r="H486" t="s">
        <v>1412</v>
      </c>
      <c r="I486" t="str">
        <f t="shared" si="79"/>
        <v>Mrs. Lemore (Amelia</v>
      </c>
      <c r="J486" t="s">
        <v>47</v>
      </c>
      <c r="K486" t="str">
        <f t="shared" si="80"/>
        <v>Female</v>
      </c>
      <c r="L486">
        <v>34</v>
      </c>
      <c r="O486">
        <f t="shared" si="81"/>
        <v>34</v>
      </c>
      <c r="P486">
        <v>0</v>
      </c>
      <c r="R486" s="4">
        <v>0</v>
      </c>
      <c r="T486" s="5">
        <v>10.5</v>
      </c>
      <c r="W486" s="4">
        <v>34</v>
      </c>
      <c r="X486" s="4" t="str">
        <f t="shared" si="82"/>
        <v>Adult</v>
      </c>
      <c r="Y486" s="4" t="s">
        <v>422</v>
      </c>
      <c r="AA486" s="4" t="s">
        <v>422</v>
      </c>
      <c r="AB486" s="4" t="str">
        <f t="shared" si="83"/>
        <v>F</v>
      </c>
      <c r="AC486" s="4" t="str">
        <f t="shared" si="84"/>
        <v>F</v>
      </c>
      <c r="AD486" s="4" t="s">
        <v>457</v>
      </c>
      <c r="AF486" s="4">
        <v>14</v>
      </c>
      <c r="AG486" s="4">
        <f t="shared" si="85"/>
        <v>14</v>
      </c>
      <c r="AK486" s="4" t="s">
        <v>3573</v>
      </c>
      <c r="AL486" s="4" t="str">
        <f t="shared" si="86"/>
        <v>Found</v>
      </c>
      <c r="AN486" s="6">
        <v>10.5</v>
      </c>
      <c r="AO486" s="4" t="str">
        <f t="shared" si="87"/>
        <v>Mid</v>
      </c>
    </row>
    <row r="487" spans="1:41">
      <c r="A487">
        <v>2</v>
      </c>
      <c r="B487" t="str">
        <f t="shared" si="77"/>
        <v>Second Class</v>
      </c>
      <c r="C487">
        <v>0</v>
      </c>
      <c r="E487" t="str">
        <f t="shared" si="78"/>
        <v>Died</v>
      </c>
      <c r="F487" t="s">
        <v>1413</v>
      </c>
      <c r="G487" t="s">
        <v>848</v>
      </c>
      <c r="H487" t="s">
        <v>1414</v>
      </c>
      <c r="I487" t="str">
        <f t="shared" si="79"/>
        <v>Mr. Levy Rene</v>
      </c>
      <c r="J487" t="s">
        <v>20</v>
      </c>
      <c r="K487" t="str">
        <f t="shared" si="80"/>
        <v>Male</v>
      </c>
      <c r="L487">
        <v>36</v>
      </c>
      <c r="O487">
        <f t="shared" si="81"/>
        <v>36</v>
      </c>
      <c r="P487">
        <v>0</v>
      </c>
      <c r="R487" s="4">
        <v>0</v>
      </c>
      <c r="T487" s="5">
        <v>12.875</v>
      </c>
      <c r="W487" s="4">
        <v>36</v>
      </c>
      <c r="X487" s="4" t="str">
        <f t="shared" si="82"/>
        <v>Adult</v>
      </c>
      <c r="Y487" s="4" t="s">
        <v>59</v>
      </c>
      <c r="AA487" s="4" t="s">
        <v>59</v>
      </c>
      <c r="AB487" s="4" t="str">
        <f t="shared" si="83"/>
        <v>D</v>
      </c>
      <c r="AC487" s="4" t="str">
        <f t="shared" si="84"/>
        <v>D</v>
      </c>
      <c r="AD487" s="4" t="s">
        <v>3566</v>
      </c>
      <c r="AG487" s="4" t="str">
        <f t="shared" si="85"/>
        <v>Not Applicable</v>
      </c>
      <c r="AK487" s="4" t="s">
        <v>3573</v>
      </c>
      <c r="AL487" s="4" t="str">
        <f t="shared" si="86"/>
        <v>Found</v>
      </c>
      <c r="AN487" s="6">
        <v>12.875</v>
      </c>
      <c r="AO487" s="4" t="str">
        <f t="shared" si="87"/>
        <v>Mid</v>
      </c>
    </row>
    <row r="488" spans="1:41">
      <c r="A488">
        <v>2</v>
      </c>
      <c r="B488" t="str">
        <f t="shared" si="77"/>
        <v>Second Class</v>
      </c>
      <c r="C488">
        <v>0</v>
      </c>
      <c r="E488" t="str">
        <f t="shared" si="78"/>
        <v>Died</v>
      </c>
      <c r="F488" t="s">
        <v>1415</v>
      </c>
      <c r="G488" t="s">
        <v>848</v>
      </c>
      <c r="H488" t="s">
        <v>925</v>
      </c>
      <c r="I488" t="str">
        <f t="shared" si="79"/>
        <v>Mr. Leyson Robert</v>
      </c>
      <c r="J488" t="s">
        <v>20</v>
      </c>
      <c r="K488" t="str">
        <f t="shared" si="80"/>
        <v>Male</v>
      </c>
      <c r="L488">
        <v>24</v>
      </c>
      <c r="O488">
        <f t="shared" si="81"/>
        <v>24</v>
      </c>
      <c r="P488">
        <v>0</v>
      </c>
      <c r="R488" s="4">
        <v>0</v>
      </c>
      <c r="T488" s="5">
        <v>10.5</v>
      </c>
      <c r="W488" s="4">
        <v>24</v>
      </c>
      <c r="X488" s="4" t="str">
        <f t="shared" si="82"/>
        <v>Young Adult</v>
      </c>
      <c r="Y488" s="4" t="s">
        <v>3561</v>
      </c>
      <c r="AB488" s="4" t="str">
        <f t="shared" si="83"/>
        <v/>
      </c>
      <c r="AC488" s="4" t="str">
        <f t="shared" si="84"/>
        <v>Unknown</v>
      </c>
      <c r="AD488" s="4" t="s">
        <v>457</v>
      </c>
      <c r="AG488" s="4" t="str">
        <f t="shared" si="85"/>
        <v>Not Applicable</v>
      </c>
      <c r="AH488" s="4">
        <v>108</v>
      </c>
      <c r="AK488" s="4">
        <v>108</v>
      </c>
      <c r="AL488" s="4" t="str">
        <f t="shared" si="86"/>
        <v>Found</v>
      </c>
      <c r="AN488" s="6">
        <v>10.5</v>
      </c>
      <c r="AO488" s="4" t="str">
        <f t="shared" si="87"/>
        <v>Mid</v>
      </c>
    </row>
    <row r="489" spans="1:41">
      <c r="A489">
        <v>2</v>
      </c>
      <c r="B489" t="str">
        <f t="shared" si="77"/>
        <v>Second Class</v>
      </c>
      <c r="C489">
        <v>0</v>
      </c>
      <c r="E489" t="str">
        <f t="shared" si="78"/>
        <v>Died</v>
      </c>
      <c r="F489" t="s">
        <v>1416</v>
      </c>
      <c r="G489" t="s">
        <v>848</v>
      </c>
      <c r="H489" t="s">
        <v>862</v>
      </c>
      <c r="I489" t="str">
        <f t="shared" si="79"/>
        <v>Mr. Lingane John</v>
      </c>
      <c r="J489" t="s">
        <v>20</v>
      </c>
      <c r="K489" t="str">
        <f t="shared" si="80"/>
        <v>Male</v>
      </c>
      <c r="L489">
        <v>61</v>
      </c>
      <c r="O489">
        <f t="shared" si="81"/>
        <v>61</v>
      </c>
      <c r="P489">
        <v>0</v>
      </c>
      <c r="R489" s="4">
        <v>0</v>
      </c>
      <c r="T489" s="5">
        <v>12.35</v>
      </c>
      <c r="W489" s="4">
        <v>61</v>
      </c>
      <c r="X489" s="4" t="str">
        <f t="shared" si="82"/>
        <v>Old Adult</v>
      </c>
      <c r="Y489" s="4" t="s">
        <v>3561</v>
      </c>
      <c r="AB489" s="4" t="str">
        <f t="shared" si="83"/>
        <v/>
      </c>
      <c r="AC489" s="4" t="str">
        <f t="shared" si="84"/>
        <v>Unknown</v>
      </c>
      <c r="AD489" s="4" t="s">
        <v>3567</v>
      </c>
      <c r="AG489" s="4" t="str">
        <f t="shared" si="85"/>
        <v>Not Applicable</v>
      </c>
      <c r="AK489" s="4" t="s">
        <v>3573</v>
      </c>
      <c r="AL489" s="4" t="str">
        <f t="shared" si="86"/>
        <v>Found</v>
      </c>
      <c r="AN489" s="6">
        <v>12.35</v>
      </c>
      <c r="AO489" s="4" t="str">
        <f t="shared" si="87"/>
        <v>Mid</v>
      </c>
    </row>
    <row r="490" spans="1:41">
      <c r="A490">
        <v>2</v>
      </c>
      <c r="B490" t="str">
        <f t="shared" si="77"/>
        <v>Second Class</v>
      </c>
      <c r="C490">
        <v>0</v>
      </c>
      <c r="E490" t="str">
        <f t="shared" si="78"/>
        <v>Died</v>
      </c>
      <c r="F490" t="s">
        <v>1417</v>
      </c>
      <c r="G490" t="s">
        <v>848</v>
      </c>
      <c r="H490" t="s">
        <v>1000</v>
      </c>
      <c r="I490" t="str">
        <f t="shared" si="79"/>
        <v>Mr. Louch Charles</v>
      </c>
      <c r="J490" t="s">
        <v>20</v>
      </c>
      <c r="K490" t="str">
        <f t="shared" si="80"/>
        <v>Male</v>
      </c>
      <c r="L490">
        <v>50</v>
      </c>
      <c r="O490">
        <f t="shared" si="81"/>
        <v>50</v>
      </c>
      <c r="P490">
        <v>1</v>
      </c>
      <c r="R490" s="4">
        <v>0</v>
      </c>
      <c r="T490" s="5">
        <v>26</v>
      </c>
      <c r="W490" s="4">
        <v>50</v>
      </c>
      <c r="X490" s="4" t="str">
        <f t="shared" si="82"/>
        <v>Adult</v>
      </c>
      <c r="Y490" s="4" t="s">
        <v>3561</v>
      </c>
      <c r="AB490" s="4" t="str">
        <f t="shared" si="83"/>
        <v/>
      </c>
      <c r="AC490" s="4" t="str">
        <f t="shared" si="84"/>
        <v>Unknown</v>
      </c>
      <c r="AD490" s="4" t="s">
        <v>457</v>
      </c>
      <c r="AG490" s="4" t="str">
        <f t="shared" si="85"/>
        <v>Not Applicable</v>
      </c>
      <c r="AH490" s="4">
        <v>121</v>
      </c>
      <c r="AK490" s="4">
        <v>121</v>
      </c>
      <c r="AL490" s="4" t="str">
        <f t="shared" si="86"/>
        <v>Found</v>
      </c>
      <c r="AN490" s="6">
        <v>26</v>
      </c>
      <c r="AO490" s="4" t="str">
        <f t="shared" si="87"/>
        <v>Mid</v>
      </c>
    </row>
    <row r="491" spans="1:41">
      <c r="A491">
        <v>2</v>
      </c>
      <c r="B491" t="str">
        <f t="shared" si="77"/>
        <v>Second Class</v>
      </c>
      <c r="C491">
        <v>1</v>
      </c>
      <c r="E491" t="str">
        <f t="shared" si="78"/>
        <v>Survived</v>
      </c>
      <c r="F491" t="s">
        <v>1417</v>
      </c>
      <c r="G491" t="s">
        <v>849</v>
      </c>
      <c r="H491" t="s">
        <v>1000</v>
      </c>
      <c r="I491" t="str">
        <f t="shared" si="79"/>
        <v>Mrs. Louch Charles</v>
      </c>
      <c r="J491" t="s">
        <v>47</v>
      </c>
      <c r="K491" t="str">
        <f t="shared" si="80"/>
        <v>Female</v>
      </c>
      <c r="L491">
        <v>42</v>
      </c>
      <c r="O491">
        <f t="shared" si="81"/>
        <v>42</v>
      </c>
      <c r="P491">
        <v>1</v>
      </c>
      <c r="R491" s="4">
        <v>0</v>
      </c>
      <c r="T491" s="5">
        <v>26</v>
      </c>
      <c r="W491" s="4">
        <v>42</v>
      </c>
      <c r="X491" s="4" t="str">
        <f t="shared" si="82"/>
        <v>Adult</v>
      </c>
      <c r="Y491" s="4" t="s">
        <v>3561</v>
      </c>
      <c r="AB491" s="4" t="str">
        <f t="shared" si="83"/>
        <v/>
      </c>
      <c r="AC491" s="4" t="str">
        <f t="shared" si="84"/>
        <v>Unknown</v>
      </c>
      <c r="AD491" s="4" t="s">
        <v>457</v>
      </c>
      <c r="AG491" s="4" t="str">
        <f t="shared" si="85"/>
        <v>Not Applicable</v>
      </c>
      <c r="AK491" s="4" t="s">
        <v>3573</v>
      </c>
      <c r="AL491" s="4" t="str">
        <f t="shared" si="86"/>
        <v>Found</v>
      </c>
      <c r="AN491" s="6">
        <v>26</v>
      </c>
      <c r="AO491" s="4" t="str">
        <f t="shared" si="87"/>
        <v>Mid</v>
      </c>
    </row>
    <row r="492" spans="1:41">
      <c r="A492">
        <v>2</v>
      </c>
      <c r="B492" t="str">
        <f t="shared" si="77"/>
        <v>Second Class</v>
      </c>
      <c r="C492">
        <v>0</v>
      </c>
      <c r="E492" t="str">
        <f t="shared" si="78"/>
        <v>Died</v>
      </c>
      <c r="F492" t="s">
        <v>1418</v>
      </c>
      <c r="G492" t="s">
        <v>849</v>
      </c>
      <c r="H492" t="s">
        <v>1419</v>
      </c>
      <c r="I492" t="str">
        <f t="shared" si="79"/>
        <v>Mrs. Mack (Mary)</v>
      </c>
      <c r="J492" t="s">
        <v>47</v>
      </c>
      <c r="K492" t="str">
        <f t="shared" si="80"/>
        <v>Female</v>
      </c>
      <c r="L492">
        <v>57</v>
      </c>
      <c r="O492">
        <f t="shared" si="81"/>
        <v>57</v>
      </c>
      <c r="P492">
        <v>0</v>
      </c>
      <c r="R492" s="4">
        <v>0</v>
      </c>
      <c r="T492" s="5">
        <v>10.5</v>
      </c>
      <c r="W492" s="4">
        <v>57</v>
      </c>
      <c r="X492" s="4" t="str">
        <f t="shared" si="82"/>
        <v>Adult</v>
      </c>
      <c r="Y492" s="4" t="s">
        <v>519</v>
      </c>
      <c r="AA492" s="4" t="s">
        <v>519</v>
      </c>
      <c r="AB492" s="4" t="str">
        <f t="shared" si="83"/>
        <v>E</v>
      </c>
      <c r="AC492" s="4" t="str">
        <f t="shared" si="84"/>
        <v>E</v>
      </c>
      <c r="AD492" s="4" t="s">
        <v>457</v>
      </c>
      <c r="AG492" s="4" t="str">
        <f t="shared" si="85"/>
        <v>Not Applicable</v>
      </c>
      <c r="AH492" s="4">
        <v>52</v>
      </c>
      <c r="AK492" s="4">
        <v>52</v>
      </c>
      <c r="AL492" s="4" t="str">
        <f t="shared" si="86"/>
        <v>Found</v>
      </c>
      <c r="AN492" s="6">
        <v>10.5</v>
      </c>
      <c r="AO492" s="4" t="str">
        <f t="shared" si="87"/>
        <v>Mid</v>
      </c>
    </row>
    <row r="493" spans="1:41">
      <c r="A493">
        <v>2</v>
      </c>
      <c r="B493" t="str">
        <f t="shared" si="77"/>
        <v>Second Class</v>
      </c>
      <c r="C493">
        <v>0</v>
      </c>
      <c r="E493" t="str">
        <f t="shared" si="78"/>
        <v>Died</v>
      </c>
      <c r="F493" t="s">
        <v>1420</v>
      </c>
      <c r="G493" t="s">
        <v>848</v>
      </c>
      <c r="H493" t="s">
        <v>1187</v>
      </c>
      <c r="I493" t="str">
        <f t="shared" si="79"/>
        <v>Mr. Malachard Noel</v>
      </c>
      <c r="J493" t="s">
        <v>20</v>
      </c>
      <c r="K493" t="str">
        <f t="shared" si="80"/>
        <v>Male</v>
      </c>
      <c r="L493">
        <v>28</v>
      </c>
      <c r="O493">
        <f t="shared" si="81"/>
        <v>28</v>
      </c>
      <c r="P493">
        <v>0</v>
      </c>
      <c r="R493" s="4">
        <v>0</v>
      </c>
      <c r="T493" s="5">
        <v>15.0458</v>
      </c>
      <c r="W493" s="4">
        <v>28</v>
      </c>
      <c r="X493" s="4" t="str">
        <f t="shared" si="82"/>
        <v>Young Adult</v>
      </c>
      <c r="Y493" s="4" t="s">
        <v>59</v>
      </c>
      <c r="AA493" s="4" t="s">
        <v>59</v>
      </c>
      <c r="AB493" s="4" t="str">
        <f t="shared" si="83"/>
        <v>D</v>
      </c>
      <c r="AC493" s="4" t="str">
        <f t="shared" si="84"/>
        <v>D</v>
      </c>
      <c r="AD493" s="4" t="s">
        <v>3566</v>
      </c>
      <c r="AG493" s="4" t="str">
        <f t="shared" si="85"/>
        <v>Not Applicable</v>
      </c>
      <c r="AK493" s="4" t="s">
        <v>3573</v>
      </c>
      <c r="AL493" s="4" t="str">
        <f t="shared" si="86"/>
        <v>Found</v>
      </c>
      <c r="AN493" s="6">
        <v>15.0458</v>
      </c>
      <c r="AO493" s="4" t="str">
        <f t="shared" si="87"/>
        <v>Mid</v>
      </c>
    </row>
    <row r="494" spans="1:41">
      <c r="A494">
        <v>2</v>
      </c>
      <c r="B494" t="str">
        <f t="shared" si="77"/>
        <v>Second Class</v>
      </c>
      <c r="C494">
        <v>1</v>
      </c>
      <c r="E494" t="str">
        <f t="shared" si="78"/>
        <v>Survived</v>
      </c>
      <c r="F494" t="s">
        <v>1421</v>
      </c>
      <c r="G494" t="s">
        <v>845</v>
      </c>
      <c r="H494" t="s">
        <v>1422</v>
      </c>
      <c r="I494" t="str">
        <f t="shared" si="79"/>
        <v>Master. Mallet Andre</v>
      </c>
      <c r="J494" t="s">
        <v>20</v>
      </c>
      <c r="K494" t="str">
        <f t="shared" si="80"/>
        <v>Male</v>
      </c>
      <c r="L494">
        <v>1</v>
      </c>
      <c r="O494">
        <f t="shared" si="81"/>
        <v>1</v>
      </c>
      <c r="P494">
        <v>0</v>
      </c>
      <c r="R494" s="4">
        <v>2</v>
      </c>
      <c r="T494" s="5">
        <v>37.004199999999997</v>
      </c>
      <c r="W494" s="4">
        <v>1</v>
      </c>
      <c r="X494" s="4" t="str">
        <f t="shared" si="82"/>
        <v>Child</v>
      </c>
      <c r="Y494" s="4" t="s">
        <v>3561</v>
      </c>
      <c r="AB494" s="4" t="str">
        <f t="shared" si="83"/>
        <v/>
      </c>
      <c r="AC494" s="4" t="str">
        <f t="shared" si="84"/>
        <v>Unknown</v>
      </c>
      <c r="AD494" s="4" t="s">
        <v>3566</v>
      </c>
      <c r="AF494" s="4">
        <v>10</v>
      </c>
      <c r="AG494" s="4">
        <f t="shared" si="85"/>
        <v>10</v>
      </c>
      <c r="AK494" s="4" t="s">
        <v>3573</v>
      </c>
      <c r="AL494" s="4" t="str">
        <f t="shared" si="86"/>
        <v>Found</v>
      </c>
      <c r="AN494" s="6">
        <v>37.004199999999997</v>
      </c>
      <c r="AO494" s="4" t="str">
        <f t="shared" si="87"/>
        <v>Mid</v>
      </c>
    </row>
    <row r="495" spans="1:41">
      <c r="A495">
        <v>2</v>
      </c>
      <c r="B495" t="str">
        <f t="shared" si="77"/>
        <v>Second Class</v>
      </c>
      <c r="C495">
        <v>0</v>
      </c>
      <c r="E495" t="str">
        <f t="shared" si="78"/>
        <v>Died</v>
      </c>
      <c r="F495" t="s">
        <v>1421</v>
      </c>
      <c r="G495" t="s">
        <v>848</v>
      </c>
      <c r="H495" t="s">
        <v>995</v>
      </c>
      <c r="I495" t="str">
        <f t="shared" si="79"/>
        <v>Mr. Mallet Albert</v>
      </c>
      <c r="J495" t="s">
        <v>20</v>
      </c>
      <c r="K495" t="str">
        <f t="shared" si="80"/>
        <v>Male</v>
      </c>
      <c r="L495">
        <v>31</v>
      </c>
      <c r="O495">
        <f t="shared" si="81"/>
        <v>31</v>
      </c>
      <c r="P495">
        <v>1</v>
      </c>
      <c r="R495" s="4">
        <v>1</v>
      </c>
      <c r="T495" s="5">
        <v>37.004199999999997</v>
      </c>
      <c r="W495" s="4">
        <v>31</v>
      </c>
      <c r="X495" s="4" t="str">
        <f t="shared" si="82"/>
        <v>Adult</v>
      </c>
      <c r="Y495" s="4" t="s">
        <v>3561</v>
      </c>
      <c r="AB495" s="4" t="str">
        <f t="shared" si="83"/>
        <v/>
      </c>
      <c r="AC495" s="4" t="str">
        <f t="shared" si="84"/>
        <v>Unknown</v>
      </c>
      <c r="AD495" s="4" t="s">
        <v>3566</v>
      </c>
      <c r="AG495" s="4" t="str">
        <f t="shared" si="85"/>
        <v>Not Applicable</v>
      </c>
      <c r="AK495" s="4" t="s">
        <v>3573</v>
      </c>
      <c r="AL495" s="4" t="str">
        <f t="shared" si="86"/>
        <v>Found</v>
      </c>
      <c r="AN495" s="6">
        <v>37.004199999999997</v>
      </c>
      <c r="AO495" s="4" t="str">
        <f t="shared" si="87"/>
        <v>Mid</v>
      </c>
    </row>
    <row r="496" spans="1:41">
      <c r="A496">
        <v>2</v>
      </c>
      <c r="B496" t="str">
        <f t="shared" si="77"/>
        <v>Second Class</v>
      </c>
      <c r="C496">
        <v>1</v>
      </c>
      <c r="E496" t="str">
        <f t="shared" si="78"/>
        <v>Survived</v>
      </c>
      <c r="F496" t="s">
        <v>1421</v>
      </c>
      <c r="G496" t="s">
        <v>849</v>
      </c>
      <c r="H496" t="s">
        <v>995</v>
      </c>
      <c r="I496" t="str">
        <f t="shared" si="79"/>
        <v>Mrs. Mallet Albert</v>
      </c>
      <c r="J496" t="s">
        <v>47</v>
      </c>
      <c r="K496" t="str">
        <f t="shared" si="80"/>
        <v>Female</v>
      </c>
      <c r="L496">
        <v>24</v>
      </c>
      <c r="O496">
        <f t="shared" si="81"/>
        <v>24</v>
      </c>
      <c r="P496">
        <v>1</v>
      </c>
      <c r="R496" s="4">
        <v>1</v>
      </c>
      <c r="T496" s="5">
        <v>37.004199999999997</v>
      </c>
      <c r="W496" s="4">
        <v>24</v>
      </c>
      <c r="X496" s="4" t="str">
        <f t="shared" si="82"/>
        <v>Young Adult</v>
      </c>
      <c r="Y496" s="4" t="s">
        <v>3561</v>
      </c>
      <c r="AB496" s="4" t="str">
        <f t="shared" si="83"/>
        <v/>
      </c>
      <c r="AC496" s="4" t="str">
        <f t="shared" si="84"/>
        <v>Unknown</v>
      </c>
      <c r="AD496" s="4" t="s">
        <v>3566</v>
      </c>
      <c r="AF496" s="4">
        <v>10</v>
      </c>
      <c r="AG496" s="4">
        <f t="shared" si="85"/>
        <v>10</v>
      </c>
      <c r="AK496" s="4" t="s">
        <v>3573</v>
      </c>
      <c r="AL496" s="4" t="str">
        <f t="shared" si="86"/>
        <v>Found</v>
      </c>
      <c r="AN496" s="6">
        <v>37.004199999999997</v>
      </c>
      <c r="AO496" s="4" t="str">
        <f t="shared" si="87"/>
        <v>Mid</v>
      </c>
    </row>
    <row r="497" spans="1:41">
      <c r="A497">
        <v>2</v>
      </c>
      <c r="B497" t="str">
        <f t="shared" si="77"/>
        <v>Second Class</v>
      </c>
      <c r="C497">
        <v>0</v>
      </c>
      <c r="E497" t="str">
        <f t="shared" si="78"/>
        <v>Died</v>
      </c>
      <c r="F497" t="s">
        <v>1423</v>
      </c>
      <c r="G497" t="s">
        <v>848</v>
      </c>
      <c r="H497" t="s">
        <v>1424</v>
      </c>
      <c r="I497" t="str">
        <f t="shared" si="79"/>
        <v>Mr. Mangiavacchi Serafino</v>
      </c>
      <c r="J497" t="s">
        <v>20</v>
      </c>
      <c r="K497" t="str">
        <f t="shared" si="80"/>
        <v>Male</v>
      </c>
      <c r="L497">
        <v>28</v>
      </c>
      <c r="O497">
        <f t="shared" si="81"/>
        <v>28</v>
      </c>
      <c r="P497">
        <v>0</v>
      </c>
      <c r="R497" s="4">
        <v>0</v>
      </c>
      <c r="T497" s="5">
        <v>15.5792</v>
      </c>
      <c r="W497" s="4">
        <v>28</v>
      </c>
      <c r="X497" s="4" t="str">
        <f t="shared" si="82"/>
        <v>Young Adult</v>
      </c>
      <c r="Y497" s="4" t="s">
        <v>3561</v>
      </c>
      <c r="AB497" s="4" t="str">
        <f t="shared" si="83"/>
        <v/>
      </c>
      <c r="AC497" s="4" t="str">
        <f t="shared" si="84"/>
        <v>Unknown</v>
      </c>
      <c r="AD497" s="4" t="s">
        <v>3566</v>
      </c>
      <c r="AG497" s="4" t="str">
        <f t="shared" si="85"/>
        <v>Not Applicable</v>
      </c>
      <c r="AK497" s="4" t="s">
        <v>3573</v>
      </c>
      <c r="AL497" s="4" t="str">
        <f t="shared" si="86"/>
        <v>Found</v>
      </c>
      <c r="AN497" s="6">
        <v>15.5792</v>
      </c>
      <c r="AO497" s="4" t="str">
        <f t="shared" si="87"/>
        <v>Mid</v>
      </c>
    </row>
    <row r="498" spans="1:41">
      <c r="A498">
        <v>2</v>
      </c>
      <c r="B498" t="str">
        <f t="shared" si="77"/>
        <v>Second Class</v>
      </c>
      <c r="C498">
        <v>0</v>
      </c>
      <c r="E498" t="str">
        <f t="shared" si="78"/>
        <v>Died</v>
      </c>
      <c r="F498" t="s">
        <v>1426</v>
      </c>
      <c r="G498" t="s">
        <v>848</v>
      </c>
      <c r="H498" t="s">
        <v>924</v>
      </c>
      <c r="I498" t="str">
        <f t="shared" si="79"/>
        <v>Mr. Matthews William</v>
      </c>
      <c r="J498" t="s">
        <v>20</v>
      </c>
      <c r="K498" t="str">
        <f t="shared" si="80"/>
        <v>Male</v>
      </c>
      <c r="L498">
        <v>30</v>
      </c>
      <c r="O498">
        <f t="shared" si="81"/>
        <v>30</v>
      </c>
      <c r="P498">
        <v>0</v>
      </c>
      <c r="R498" s="4">
        <v>0</v>
      </c>
      <c r="T498" s="5">
        <v>13</v>
      </c>
      <c r="W498" s="4">
        <v>30</v>
      </c>
      <c r="X498" s="4" t="str">
        <f t="shared" si="82"/>
        <v>Adult</v>
      </c>
      <c r="Y498" s="4" t="s">
        <v>3561</v>
      </c>
      <c r="AB498" s="4" t="str">
        <f t="shared" si="83"/>
        <v/>
      </c>
      <c r="AC498" s="4" t="str">
        <f t="shared" si="84"/>
        <v>Unknown</v>
      </c>
      <c r="AD498" s="4" t="s">
        <v>457</v>
      </c>
      <c r="AG498" s="4" t="str">
        <f t="shared" si="85"/>
        <v>Not Applicable</v>
      </c>
      <c r="AK498" s="4" t="s">
        <v>3573</v>
      </c>
      <c r="AL498" s="4" t="str">
        <f t="shared" si="86"/>
        <v>Found</v>
      </c>
      <c r="AN498" s="6">
        <v>13</v>
      </c>
      <c r="AO498" s="4" t="str">
        <f t="shared" si="87"/>
        <v>Mid</v>
      </c>
    </row>
    <row r="499" spans="1:41">
      <c r="A499">
        <v>2</v>
      </c>
      <c r="B499" t="str">
        <f t="shared" si="77"/>
        <v>Second Class</v>
      </c>
      <c r="C499">
        <v>0</v>
      </c>
      <c r="E499" t="str">
        <f t="shared" si="78"/>
        <v>Died</v>
      </c>
      <c r="F499" t="s">
        <v>1427</v>
      </c>
      <c r="G499" t="s">
        <v>848</v>
      </c>
      <c r="H499" t="s">
        <v>1249</v>
      </c>
      <c r="I499" t="str">
        <f t="shared" si="79"/>
        <v>Mr. Maybery Frank</v>
      </c>
      <c r="J499" t="s">
        <v>20</v>
      </c>
      <c r="K499" t="str">
        <f t="shared" si="80"/>
        <v>Male</v>
      </c>
      <c r="L499">
        <v>40</v>
      </c>
      <c r="O499">
        <f t="shared" si="81"/>
        <v>40</v>
      </c>
      <c r="P499">
        <v>0</v>
      </c>
      <c r="R499" s="4">
        <v>0</v>
      </c>
      <c r="T499" s="5">
        <v>16</v>
      </c>
      <c r="W499" s="4">
        <v>40</v>
      </c>
      <c r="X499" s="4" t="str">
        <f t="shared" si="82"/>
        <v>Adult</v>
      </c>
      <c r="Y499" s="4" t="s">
        <v>3561</v>
      </c>
      <c r="AB499" s="4" t="str">
        <f t="shared" si="83"/>
        <v/>
      </c>
      <c r="AC499" s="4" t="str">
        <f t="shared" si="84"/>
        <v>Unknown</v>
      </c>
      <c r="AD499" s="4" t="s">
        <v>457</v>
      </c>
      <c r="AG499" s="4" t="str">
        <f t="shared" si="85"/>
        <v>Not Applicable</v>
      </c>
      <c r="AK499" s="4" t="s">
        <v>3573</v>
      </c>
      <c r="AL499" s="4" t="str">
        <f t="shared" si="86"/>
        <v>Found</v>
      </c>
      <c r="AN499" s="6">
        <v>16</v>
      </c>
      <c r="AO499" s="4" t="str">
        <f t="shared" si="87"/>
        <v>Mid</v>
      </c>
    </row>
    <row r="500" spans="1:41">
      <c r="A500">
        <v>2</v>
      </c>
      <c r="B500" t="str">
        <f t="shared" si="77"/>
        <v>Second Class</v>
      </c>
      <c r="C500">
        <v>0</v>
      </c>
      <c r="E500" t="str">
        <f t="shared" si="78"/>
        <v>Died</v>
      </c>
      <c r="F500" t="s">
        <v>1428</v>
      </c>
      <c r="G500" t="s">
        <v>848</v>
      </c>
      <c r="H500" t="s">
        <v>913</v>
      </c>
      <c r="I500" t="str">
        <f t="shared" si="79"/>
        <v>Mr. McCrae Arthur</v>
      </c>
      <c r="J500" t="s">
        <v>20</v>
      </c>
      <c r="K500" t="str">
        <f t="shared" si="80"/>
        <v>Male</v>
      </c>
      <c r="L500">
        <v>32</v>
      </c>
      <c r="O500">
        <f t="shared" si="81"/>
        <v>32</v>
      </c>
      <c r="P500">
        <v>0</v>
      </c>
      <c r="R500" s="4">
        <v>0</v>
      </c>
      <c r="T500" s="5">
        <v>13.5</v>
      </c>
      <c r="W500" s="4">
        <v>32</v>
      </c>
      <c r="X500" s="4" t="str">
        <f t="shared" si="82"/>
        <v>Adult</v>
      </c>
      <c r="Y500" s="4" t="s">
        <v>3561</v>
      </c>
      <c r="AB500" s="4" t="str">
        <f t="shared" si="83"/>
        <v/>
      </c>
      <c r="AC500" s="4" t="str">
        <f t="shared" si="84"/>
        <v>Unknown</v>
      </c>
      <c r="AD500" s="4" t="s">
        <v>457</v>
      </c>
      <c r="AG500" s="4" t="str">
        <f t="shared" si="85"/>
        <v>Not Applicable</v>
      </c>
      <c r="AH500" s="4">
        <v>209</v>
      </c>
      <c r="AK500" s="4">
        <v>209</v>
      </c>
      <c r="AL500" s="4" t="str">
        <f t="shared" si="86"/>
        <v>Found</v>
      </c>
      <c r="AN500" s="6">
        <v>13.5</v>
      </c>
      <c r="AO500" s="4" t="str">
        <f t="shared" si="87"/>
        <v>Mid</v>
      </c>
    </row>
    <row r="501" spans="1:41">
      <c r="A501">
        <v>2</v>
      </c>
      <c r="B501" t="str">
        <f t="shared" si="77"/>
        <v>Second Class</v>
      </c>
      <c r="C501">
        <v>0</v>
      </c>
      <c r="E501" t="str">
        <f t="shared" si="78"/>
        <v>Died</v>
      </c>
      <c r="F501" t="s">
        <v>1429</v>
      </c>
      <c r="G501" t="s">
        <v>848</v>
      </c>
      <c r="H501" t="s">
        <v>878</v>
      </c>
      <c r="I501" t="str">
        <f t="shared" si="79"/>
        <v>Mr. McCrie James</v>
      </c>
      <c r="J501" t="s">
        <v>20</v>
      </c>
      <c r="K501" t="str">
        <f t="shared" si="80"/>
        <v>Male</v>
      </c>
      <c r="L501">
        <v>30</v>
      </c>
      <c r="O501">
        <f t="shared" si="81"/>
        <v>30</v>
      </c>
      <c r="P501">
        <v>0</v>
      </c>
      <c r="R501" s="4">
        <v>0</v>
      </c>
      <c r="T501" s="5">
        <v>13</v>
      </c>
      <c r="W501" s="4">
        <v>30</v>
      </c>
      <c r="X501" s="4" t="str">
        <f t="shared" si="82"/>
        <v>Adult</v>
      </c>
      <c r="Y501" s="4" t="s">
        <v>3561</v>
      </c>
      <c r="AB501" s="4" t="str">
        <f t="shared" si="83"/>
        <v/>
      </c>
      <c r="AC501" s="4" t="str">
        <f t="shared" si="84"/>
        <v>Unknown</v>
      </c>
      <c r="AD501" s="4" t="s">
        <v>457</v>
      </c>
      <c r="AG501" s="4" t="str">
        <f t="shared" si="85"/>
        <v>Not Applicable</v>
      </c>
      <c r="AK501" s="4" t="s">
        <v>3573</v>
      </c>
      <c r="AL501" s="4" t="str">
        <f t="shared" si="86"/>
        <v>Found</v>
      </c>
      <c r="AN501" s="6">
        <v>13</v>
      </c>
      <c r="AO501" s="4" t="str">
        <f t="shared" si="87"/>
        <v>Mid</v>
      </c>
    </row>
    <row r="502" spans="1:41">
      <c r="A502">
        <v>2</v>
      </c>
      <c r="B502" t="str">
        <f t="shared" si="77"/>
        <v>Second Class</v>
      </c>
      <c r="C502">
        <v>0</v>
      </c>
      <c r="E502" t="str">
        <f t="shared" si="78"/>
        <v>Died</v>
      </c>
      <c r="F502" t="s">
        <v>1431</v>
      </c>
      <c r="G502" t="s">
        <v>848</v>
      </c>
      <c r="H502" t="s">
        <v>987</v>
      </c>
      <c r="I502" t="str">
        <f t="shared" si="79"/>
        <v>Mr. McKane Peter</v>
      </c>
      <c r="J502" t="s">
        <v>20</v>
      </c>
      <c r="K502" t="str">
        <f t="shared" si="80"/>
        <v>Male</v>
      </c>
      <c r="L502">
        <v>46</v>
      </c>
      <c r="O502">
        <f t="shared" si="81"/>
        <v>46</v>
      </c>
      <c r="P502">
        <v>0</v>
      </c>
      <c r="R502" s="4">
        <v>0</v>
      </c>
      <c r="T502" s="5">
        <v>26</v>
      </c>
      <c r="W502" s="4">
        <v>46</v>
      </c>
      <c r="X502" s="4" t="str">
        <f t="shared" si="82"/>
        <v>Adult</v>
      </c>
      <c r="Y502" s="4" t="s">
        <v>3561</v>
      </c>
      <c r="AB502" s="4" t="str">
        <f t="shared" si="83"/>
        <v/>
      </c>
      <c r="AC502" s="4" t="str">
        <f t="shared" si="84"/>
        <v>Unknown</v>
      </c>
      <c r="AD502" s="4" t="s">
        <v>457</v>
      </c>
      <c r="AG502" s="4" t="str">
        <f t="shared" si="85"/>
        <v>Not Applicable</v>
      </c>
      <c r="AK502" s="4" t="s">
        <v>3573</v>
      </c>
      <c r="AL502" s="4" t="str">
        <f t="shared" si="86"/>
        <v>Found</v>
      </c>
      <c r="AN502" s="6">
        <v>26</v>
      </c>
      <c r="AO502" s="4" t="str">
        <f t="shared" si="87"/>
        <v>Mid</v>
      </c>
    </row>
    <row r="503" spans="1:41">
      <c r="A503">
        <v>2</v>
      </c>
      <c r="B503" t="str">
        <f t="shared" si="77"/>
        <v>Second Class</v>
      </c>
      <c r="C503">
        <v>1</v>
      </c>
      <c r="E503" t="str">
        <f t="shared" si="78"/>
        <v>Survived</v>
      </c>
      <c r="F503" t="s">
        <v>1432</v>
      </c>
      <c r="G503" t="s">
        <v>842</v>
      </c>
      <c r="H503" t="s">
        <v>1146</v>
      </c>
      <c r="I503" t="str">
        <f t="shared" si="79"/>
        <v>Miss. Mellinger Madeleine</v>
      </c>
      <c r="J503" t="s">
        <v>47</v>
      </c>
      <c r="K503" t="str">
        <f t="shared" si="80"/>
        <v>Female</v>
      </c>
      <c r="L503">
        <v>13</v>
      </c>
      <c r="O503">
        <f t="shared" si="81"/>
        <v>13</v>
      </c>
      <c r="P503">
        <v>0</v>
      </c>
      <c r="R503" s="4">
        <v>1</v>
      </c>
      <c r="T503" s="5">
        <v>19.5</v>
      </c>
      <c r="W503" s="4">
        <v>13</v>
      </c>
      <c r="X503" s="4" t="str">
        <f t="shared" si="82"/>
        <v>Teenager</v>
      </c>
      <c r="Y503" s="4" t="s">
        <v>3561</v>
      </c>
      <c r="AB503" s="4" t="str">
        <f t="shared" si="83"/>
        <v/>
      </c>
      <c r="AC503" s="4" t="str">
        <f t="shared" si="84"/>
        <v>Unknown</v>
      </c>
      <c r="AD503" s="4" t="s">
        <v>457</v>
      </c>
      <c r="AF503" s="4">
        <v>14</v>
      </c>
      <c r="AG503" s="4">
        <f t="shared" si="85"/>
        <v>14</v>
      </c>
      <c r="AK503" s="4" t="s">
        <v>3573</v>
      </c>
      <c r="AL503" s="4" t="str">
        <f t="shared" si="86"/>
        <v>Found</v>
      </c>
      <c r="AN503" s="6">
        <v>19.5</v>
      </c>
      <c r="AO503" s="4" t="str">
        <f t="shared" si="87"/>
        <v>Mid</v>
      </c>
    </row>
    <row r="504" spans="1:41">
      <c r="A504">
        <v>2</v>
      </c>
      <c r="B504" t="str">
        <f t="shared" si="77"/>
        <v>Second Class</v>
      </c>
      <c r="C504">
        <v>1</v>
      </c>
      <c r="E504" t="str">
        <f t="shared" si="78"/>
        <v>Survived</v>
      </c>
      <c r="F504" t="s">
        <v>1432</v>
      </c>
      <c r="G504" t="s">
        <v>849</v>
      </c>
      <c r="H504" t="s">
        <v>1108</v>
      </c>
      <c r="I504" t="str">
        <f t="shared" si="79"/>
        <v>Mrs. Mellinger (Elizabeth</v>
      </c>
      <c r="J504" t="s">
        <v>47</v>
      </c>
      <c r="K504" t="str">
        <f t="shared" si="80"/>
        <v>Female</v>
      </c>
      <c r="L504">
        <v>41</v>
      </c>
      <c r="O504">
        <f t="shared" si="81"/>
        <v>41</v>
      </c>
      <c r="P504">
        <v>0</v>
      </c>
      <c r="R504" s="4">
        <v>1</v>
      </c>
      <c r="T504" s="5">
        <v>19.5</v>
      </c>
      <c r="W504" s="4">
        <v>41</v>
      </c>
      <c r="X504" s="4" t="str">
        <f t="shared" si="82"/>
        <v>Adult</v>
      </c>
      <c r="Y504" s="4" t="s">
        <v>3561</v>
      </c>
      <c r="AB504" s="4" t="str">
        <f t="shared" si="83"/>
        <v/>
      </c>
      <c r="AC504" s="4" t="str">
        <f t="shared" si="84"/>
        <v>Unknown</v>
      </c>
      <c r="AD504" s="4" t="s">
        <v>457</v>
      </c>
      <c r="AF504" s="4">
        <v>14</v>
      </c>
      <c r="AG504" s="4">
        <f t="shared" si="85"/>
        <v>14</v>
      </c>
      <c r="AK504" s="4" t="s">
        <v>3573</v>
      </c>
      <c r="AL504" s="4" t="str">
        <f t="shared" si="86"/>
        <v>Found</v>
      </c>
      <c r="AN504" s="6">
        <v>19.5</v>
      </c>
      <c r="AO504" s="4" t="str">
        <f t="shared" si="87"/>
        <v>Mid</v>
      </c>
    </row>
    <row r="505" spans="1:41">
      <c r="A505">
        <v>2</v>
      </c>
      <c r="B505" t="str">
        <f t="shared" si="77"/>
        <v>Second Class</v>
      </c>
      <c r="C505">
        <v>1</v>
      </c>
      <c r="E505" t="str">
        <f t="shared" si="78"/>
        <v>Survived</v>
      </c>
      <c r="F505" t="s">
        <v>1433</v>
      </c>
      <c r="G505" t="s">
        <v>848</v>
      </c>
      <c r="H505" t="s">
        <v>924</v>
      </c>
      <c r="I505" t="str">
        <f t="shared" si="79"/>
        <v>Mr. Mellors William</v>
      </c>
      <c r="J505" t="s">
        <v>20</v>
      </c>
      <c r="K505" t="str">
        <f t="shared" si="80"/>
        <v>Male</v>
      </c>
      <c r="L505">
        <v>19</v>
      </c>
      <c r="O505">
        <f t="shared" si="81"/>
        <v>19</v>
      </c>
      <c r="P505">
        <v>0</v>
      </c>
      <c r="R505" s="4">
        <v>0</v>
      </c>
      <c r="T505" s="5">
        <v>10.5</v>
      </c>
      <c r="W505" s="4">
        <v>19</v>
      </c>
      <c r="X505" s="4" t="str">
        <f t="shared" si="82"/>
        <v>Young Adult</v>
      </c>
      <c r="Y505" s="4" t="s">
        <v>3561</v>
      </c>
      <c r="AB505" s="4" t="str">
        <f t="shared" si="83"/>
        <v/>
      </c>
      <c r="AC505" s="4" t="str">
        <f t="shared" si="84"/>
        <v>Unknown</v>
      </c>
      <c r="AD505" s="4" t="s">
        <v>457</v>
      </c>
      <c r="AF505" s="4" t="s">
        <v>70</v>
      </c>
      <c r="AG505" s="4" t="str">
        <f t="shared" si="85"/>
        <v>B</v>
      </c>
      <c r="AK505" s="4" t="s">
        <v>3573</v>
      </c>
      <c r="AL505" s="4" t="str">
        <f t="shared" si="86"/>
        <v>Found</v>
      </c>
      <c r="AN505" s="6">
        <v>10.5</v>
      </c>
      <c r="AO505" s="4" t="str">
        <f t="shared" si="87"/>
        <v>Mid</v>
      </c>
    </row>
    <row r="506" spans="1:41">
      <c r="A506">
        <v>2</v>
      </c>
      <c r="B506" t="str">
        <f t="shared" si="77"/>
        <v>Second Class</v>
      </c>
      <c r="C506">
        <v>0</v>
      </c>
      <c r="E506" t="str">
        <f t="shared" si="78"/>
        <v>Died</v>
      </c>
      <c r="F506" t="s">
        <v>1133</v>
      </c>
      <c r="G506" t="s">
        <v>848</v>
      </c>
      <c r="H506" t="s">
        <v>1434</v>
      </c>
      <c r="I506" t="str">
        <f t="shared" si="79"/>
        <v>Mr. Meyer August</v>
      </c>
      <c r="J506" t="s">
        <v>20</v>
      </c>
      <c r="K506" t="str">
        <f t="shared" si="80"/>
        <v>Male</v>
      </c>
      <c r="L506">
        <v>39</v>
      </c>
      <c r="O506">
        <f t="shared" si="81"/>
        <v>39</v>
      </c>
      <c r="P506">
        <v>0</v>
      </c>
      <c r="R506" s="4">
        <v>0</v>
      </c>
      <c r="T506" s="5">
        <v>13</v>
      </c>
      <c r="W506" s="4">
        <v>39</v>
      </c>
      <c r="X506" s="4" t="str">
        <f t="shared" si="82"/>
        <v>Adult</v>
      </c>
      <c r="Y506" s="4" t="s">
        <v>3561</v>
      </c>
      <c r="AB506" s="4" t="str">
        <f t="shared" si="83"/>
        <v/>
      </c>
      <c r="AC506" s="4" t="str">
        <f t="shared" si="84"/>
        <v>Unknown</v>
      </c>
      <c r="AD506" s="4" t="s">
        <v>457</v>
      </c>
      <c r="AG506" s="4" t="str">
        <f t="shared" si="85"/>
        <v>Not Applicable</v>
      </c>
      <c r="AK506" s="4" t="s">
        <v>3573</v>
      </c>
      <c r="AL506" s="4" t="str">
        <f t="shared" si="86"/>
        <v>Found</v>
      </c>
      <c r="AN506" s="6">
        <v>13</v>
      </c>
      <c r="AO506" s="4" t="str">
        <f t="shared" si="87"/>
        <v>Mid</v>
      </c>
    </row>
    <row r="507" spans="1:41">
      <c r="A507">
        <v>2</v>
      </c>
      <c r="B507" t="str">
        <f t="shared" si="77"/>
        <v>Second Class</v>
      </c>
      <c r="C507">
        <v>0</v>
      </c>
      <c r="E507" t="str">
        <f t="shared" si="78"/>
        <v>Died</v>
      </c>
      <c r="F507" t="s">
        <v>1435</v>
      </c>
      <c r="G507" t="s">
        <v>848</v>
      </c>
      <c r="H507" t="s">
        <v>863</v>
      </c>
      <c r="I507" t="str">
        <f t="shared" si="79"/>
        <v>Mr. Milling Jacob</v>
      </c>
      <c r="J507" t="s">
        <v>20</v>
      </c>
      <c r="K507" t="str">
        <f t="shared" si="80"/>
        <v>Male</v>
      </c>
      <c r="L507">
        <v>48</v>
      </c>
      <c r="O507">
        <f t="shared" si="81"/>
        <v>48</v>
      </c>
      <c r="P507">
        <v>0</v>
      </c>
      <c r="R507" s="4">
        <v>0</v>
      </c>
      <c r="T507" s="5">
        <v>13</v>
      </c>
      <c r="W507" s="4">
        <v>48</v>
      </c>
      <c r="X507" s="4" t="str">
        <f t="shared" si="82"/>
        <v>Adult</v>
      </c>
      <c r="Y507" s="4" t="s">
        <v>3561</v>
      </c>
      <c r="AB507" s="4" t="str">
        <f t="shared" si="83"/>
        <v/>
      </c>
      <c r="AC507" s="4" t="str">
        <f t="shared" si="84"/>
        <v>Unknown</v>
      </c>
      <c r="AD507" s="4" t="s">
        <v>457</v>
      </c>
      <c r="AG507" s="4" t="str">
        <f t="shared" si="85"/>
        <v>Not Applicable</v>
      </c>
      <c r="AH507" s="4">
        <v>271</v>
      </c>
      <c r="AK507" s="4">
        <v>271</v>
      </c>
      <c r="AL507" s="4" t="str">
        <f t="shared" si="86"/>
        <v>Found</v>
      </c>
      <c r="AN507" s="6">
        <v>13</v>
      </c>
      <c r="AO507" s="4" t="str">
        <f t="shared" si="87"/>
        <v>Mid</v>
      </c>
    </row>
    <row r="508" spans="1:41">
      <c r="A508">
        <v>2</v>
      </c>
      <c r="B508" t="str">
        <f t="shared" si="77"/>
        <v>Second Class</v>
      </c>
      <c r="C508">
        <v>0</v>
      </c>
      <c r="E508" t="str">
        <f t="shared" si="78"/>
        <v>Died</v>
      </c>
      <c r="F508" t="s">
        <v>1436</v>
      </c>
      <c r="G508" t="s">
        <v>848</v>
      </c>
      <c r="H508" t="s">
        <v>872</v>
      </c>
      <c r="I508" t="str">
        <f t="shared" si="79"/>
        <v>Mr. Mitchell Henry</v>
      </c>
      <c r="J508" t="s">
        <v>20</v>
      </c>
      <c r="K508" t="str">
        <f t="shared" si="80"/>
        <v>Male</v>
      </c>
      <c r="L508">
        <v>70</v>
      </c>
      <c r="O508">
        <f t="shared" si="81"/>
        <v>70</v>
      </c>
      <c r="P508">
        <v>0</v>
      </c>
      <c r="R508" s="4">
        <v>0</v>
      </c>
      <c r="T508" s="5">
        <v>10.5</v>
      </c>
      <c r="W508" s="4">
        <v>70</v>
      </c>
      <c r="X508" s="4" t="str">
        <f t="shared" si="82"/>
        <v>Old Adult</v>
      </c>
      <c r="Y508" s="4" t="s">
        <v>3561</v>
      </c>
      <c r="AB508" s="4" t="str">
        <f t="shared" si="83"/>
        <v/>
      </c>
      <c r="AC508" s="4" t="str">
        <f t="shared" si="84"/>
        <v>Unknown</v>
      </c>
      <c r="AD508" s="4" t="s">
        <v>457</v>
      </c>
      <c r="AG508" s="4" t="str">
        <f t="shared" si="85"/>
        <v>Not Applicable</v>
      </c>
      <c r="AK508" s="4" t="s">
        <v>3573</v>
      </c>
      <c r="AL508" s="4" t="str">
        <f t="shared" si="86"/>
        <v>Found</v>
      </c>
      <c r="AN508" s="6">
        <v>10.5</v>
      </c>
      <c r="AO508" s="4" t="str">
        <f t="shared" si="87"/>
        <v>Mid</v>
      </c>
    </row>
    <row r="509" spans="1:41">
      <c r="A509">
        <v>2</v>
      </c>
      <c r="B509" t="str">
        <f t="shared" si="77"/>
        <v>Second Class</v>
      </c>
      <c r="C509">
        <v>0</v>
      </c>
      <c r="E509" t="str">
        <f t="shared" si="78"/>
        <v>Died</v>
      </c>
      <c r="F509" t="s">
        <v>1438</v>
      </c>
      <c r="G509" t="s">
        <v>1277</v>
      </c>
      <c r="H509" t="s">
        <v>1439</v>
      </c>
      <c r="I509" t="str">
        <f t="shared" si="79"/>
        <v>Rev. Montvila Juozas</v>
      </c>
      <c r="J509" t="s">
        <v>20</v>
      </c>
      <c r="K509" t="str">
        <f t="shared" si="80"/>
        <v>Male</v>
      </c>
      <c r="L509">
        <v>27</v>
      </c>
      <c r="O509">
        <f t="shared" si="81"/>
        <v>27</v>
      </c>
      <c r="P509">
        <v>0</v>
      </c>
      <c r="R509" s="4">
        <v>0</v>
      </c>
      <c r="T509" s="5">
        <v>13</v>
      </c>
      <c r="W509" s="4">
        <v>27</v>
      </c>
      <c r="X509" s="4" t="str">
        <f t="shared" si="82"/>
        <v>Young Adult</v>
      </c>
      <c r="Y509" s="4" t="s">
        <v>3561</v>
      </c>
      <c r="AB509" s="4" t="str">
        <f t="shared" si="83"/>
        <v/>
      </c>
      <c r="AC509" s="4" t="str">
        <f t="shared" si="84"/>
        <v>Unknown</v>
      </c>
      <c r="AD509" s="4" t="s">
        <v>457</v>
      </c>
      <c r="AG509" s="4" t="str">
        <f t="shared" si="85"/>
        <v>Not Applicable</v>
      </c>
      <c r="AK509" s="4" t="s">
        <v>3573</v>
      </c>
      <c r="AL509" s="4" t="str">
        <f t="shared" si="86"/>
        <v>Found</v>
      </c>
      <c r="AN509" s="6">
        <v>13</v>
      </c>
      <c r="AO509" s="4" t="str">
        <f t="shared" si="87"/>
        <v>Mid</v>
      </c>
    </row>
    <row r="510" spans="1:41">
      <c r="A510">
        <v>2</v>
      </c>
      <c r="B510" t="str">
        <f t="shared" si="77"/>
        <v>Second Class</v>
      </c>
      <c r="C510">
        <v>0</v>
      </c>
      <c r="E510" t="str">
        <f t="shared" si="78"/>
        <v>Died</v>
      </c>
      <c r="F510" t="s">
        <v>1440</v>
      </c>
      <c r="G510" t="s">
        <v>919</v>
      </c>
      <c r="H510" t="s">
        <v>945</v>
      </c>
      <c r="I510" t="str">
        <f t="shared" si="79"/>
        <v>Dr. Moraweck Ernest</v>
      </c>
      <c r="J510" t="s">
        <v>20</v>
      </c>
      <c r="K510" t="str">
        <f t="shared" si="80"/>
        <v>Male</v>
      </c>
      <c r="L510">
        <v>54</v>
      </c>
      <c r="O510">
        <f t="shared" si="81"/>
        <v>54</v>
      </c>
      <c r="P510">
        <v>0</v>
      </c>
      <c r="R510" s="4">
        <v>0</v>
      </c>
      <c r="T510" s="5">
        <v>14</v>
      </c>
      <c r="W510" s="4">
        <v>54</v>
      </c>
      <c r="X510" s="4" t="str">
        <f t="shared" si="82"/>
        <v>Adult</v>
      </c>
      <c r="Y510" s="4" t="s">
        <v>3561</v>
      </c>
      <c r="AB510" s="4" t="str">
        <f t="shared" si="83"/>
        <v/>
      </c>
      <c r="AC510" s="4" t="str">
        <f t="shared" si="84"/>
        <v>Unknown</v>
      </c>
      <c r="AD510" s="4" t="s">
        <v>457</v>
      </c>
      <c r="AG510" s="4" t="str">
        <f t="shared" si="85"/>
        <v>Not Applicable</v>
      </c>
      <c r="AK510" s="4" t="s">
        <v>3573</v>
      </c>
      <c r="AL510" s="4" t="str">
        <f t="shared" si="86"/>
        <v>Found</v>
      </c>
      <c r="AN510" s="6">
        <v>14</v>
      </c>
      <c r="AO510" s="4" t="str">
        <f t="shared" si="87"/>
        <v>Mid</v>
      </c>
    </row>
    <row r="511" spans="1:41">
      <c r="A511">
        <v>2</v>
      </c>
      <c r="B511" t="str">
        <f t="shared" si="77"/>
        <v>Second Class</v>
      </c>
      <c r="C511">
        <v>0</v>
      </c>
      <c r="E511" t="str">
        <f t="shared" si="78"/>
        <v>Died</v>
      </c>
      <c r="F511" t="s">
        <v>1441</v>
      </c>
      <c r="G511" t="s">
        <v>848</v>
      </c>
      <c r="H511" t="s">
        <v>872</v>
      </c>
      <c r="I511" t="str">
        <f t="shared" si="79"/>
        <v>Mr. Morley Henry</v>
      </c>
      <c r="J511" t="s">
        <v>20</v>
      </c>
      <c r="K511" t="str">
        <f t="shared" si="80"/>
        <v>Male</v>
      </c>
      <c r="L511">
        <v>39</v>
      </c>
      <c r="O511">
        <f t="shared" si="81"/>
        <v>39</v>
      </c>
      <c r="P511">
        <v>0</v>
      </c>
      <c r="R511" s="4">
        <v>0</v>
      </c>
      <c r="T511" s="5">
        <v>26</v>
      </c>
      <c r="W511" s="4">
        <v>39</v>
      </c>
      <c r="X511" s="4" t="str">
        <f t="shared" si="82"/>
        <v>Adult</v>
      </c>
      <c r="Y511" s="4" t="s">
        <v>3561</v>
      </c>
      <c r="AB511" s="4" t="str">
        <f t="shared" si="83"/>
        <v/>
      </c>
      <c r="AC511" s="4" t="str">
        <f t="shared" si="84"/>
        <v>Unknown</v>
      </c>
      <c r="AD511" s="4" t="s">
        <v>457</v>
      </c>
      <c r="AG511" s="4" t="str">
        <f t="shared" si="85"/>
        <v>Not Applicable</v>
      </c>
      <c r="AK511" s="4" t="s">
        <v>3573</v>
      </c>
      <c r="AL511" s="4" t="str">
        <f t="shared" si="86"/>
        <v>Found</v>
      </c>
      <c r="AN511" s="6">
        <v>26</v>
      </c>
      <c r="AO511" s="4" t="str">
        <f t="shared" si="87"/>
        <v>Mid</v>
      </c>
    </row>
    <row r="512" spans="1:41">
      <c r="A512">
        <v>2</v>
      </c>
      <c r="B512" t="str">
        <f t="shared" si="77"/>
        <v>Second Class</v>
      </c>
      <c r="C512">
        <v>0</v>
      </c>
      <c r="E512" t="str">
        <f t="shared" si="78"/>
        <v>Died</v>
      </c>
      <c r="F512" t="s">
        <v>1442</v>
      </c>
      <c r="G512" t="s">
        <v>848</v>
      </c>
      <c r="H512" t="s">
        <v>855</v>
      </c>
      <c r="I512" t="str">
        <f t="shared" si="79"/>
        <v>Mr. Mudd Thomas</v>
      </c>
      <c r="J512" t="s">
        <v>20</v>
      </c>
      <c r="K512" t="str">
        <f t="shared" si="80"/>
        <v>Male</v>
      </c>
      <c r="L512">
        <v>16</v>
      </c>
      <c r="O512">
        <f t="shared" si="81"/>
        <v>16</v>
      </c>
      <c r="P512">
        <v>0</v>
      </c>
      <c r="R512" s="4">
        <v>0</v>
      </c>
      <c r="T512" s="5">
        <v>10.5</v>
      </c>
      <c r="W512" s="4">
        <v>16</v>
      </c>
      <c r="X512" s="4" t="str">
        <f t="shared" si="82"/>
        <v>Teenager</v>
      </c>
      <c r="Y512" s="4" t="s">
        <v>3561</v>
      </c>
      <c r="AB512" s="4" t="str">
        <f t="shared" si="83"/>
        <v/>
      </c>
      <c r="AC512" s="4" t="str">
        <f t="shared" si="84"/>
        <v>Unknown</v>
      </c>
      <c r="AD512" s="4" t="s">
        <v>457</v>
      </c>
      <c r="AG512" s="4" t="str">
        <f t="shared" si="85"/>
        <v>Not Applicable</v>
      </c>
      <c r="AK512" s="4" t="s">
        <v>3573</v>
      </c>
      <c r="AL512" s="4" t="str">
        <f t="shared" si="86"/>
        <v>Found</v>
      </c>
      <c r="AN512" s="6">
        <v>10.5</v>
      </c>
      <c r="AO512" s="4" t="str">
        <f t="shared" si="87"/>
        <v>Mid</v>
      </c>
    </row>
    <row r="513" spans="1:41">
      <c r="A513">
        <v>2</v>
      </c>
      <c r="B513" t="str">
        <f t="shared" si="77"/>
        <v>Second Class</v>
      </c>
      <c r="C513">
        <v>0</v>
      </c>
      <c r="E513" t="str">
        <f t="shared" si="78"/>
        <v>Died</v>
      </c>
      <c r="F513" t="s">
        <v>1443</v>
      </c>
      <c r="G513" t="s">
        <v>848</v>
      </c>
      <c r="H513" t="s">
        <v>855</v>
      </c>
      <c r="I513" t="str">
        <f t="shared" si="79"/>
        <v>Mr. Myles Thomas</v>
      </c>
      <c r="J513" t="s">
        <v>20</v>
      </c>
      <c r="K513" t="str">
        <f t="shared" si="80"/>
        <v>Male</v>
      </c>
      <c r="L513">
        <v>62</v>
      </c>
      <c r="O513">
        <f t="shared" si="81"/>
        <v>62</v>
      </c>
      <c r="P513">
        <v>0</v>
      </c>
      <c r="R513" s="4">
        <v>0</v>
      </c>
      <c r="T513" s="5">
        <v>9.6875</v>
      </c>
      <c r="W513" s="4">
        <v>62</v>
      </c>
      <c r="X513" s="4" t="str">
        <f t="shared" si="82"/>
        <v>Old Adult</v>
      </c>
      <c r="Y513" s="4" t="s">
        <v>3561</v>
      </c>
      <c r="AB513" s="4" t="str">
        <f t="shared" si="83"/>
        <v/>
      </c>
      <c r="AC513" s="4" t="str">
        <f t="shared" si="84"/>
        <v>Unknown</v>
      </c>
      <c r="AD513" s="4" t="s">
        <v>3567</v>
      </c>
      <c r="AG513" s="4" t="str">
        <f t="shared" si="85"/>
        <v>Not Applicable</v>
      </c>
      <c r="AK513" s="4" t="s">
        <v>3573</v>
      </c>
      <c r="AL513" s="4" t="str">
        <f t="shared" si="86"/>
        <v>Found</v>
      </c>
      <c r="AN513" s="6">
        <v>9.6875</v>
      </c>
      <c r="AO513" s="4" t="str">
        <f t="shared" si="87"/>
        <v>Low</v>
      </c>
    </row>
    <row r="514" spans="1:41">
      <c r="A514">
        <v>2</v>
      </c>
      <c r="B514" t="str">
        <f t="shared" si="77"/>
        <v>Second Class</v>
      </c>
      <c r="C514">
        <v>0</v>
      </c>
      <c r="E514" t="str">
        <f t="shared" si="78"/>
        <v>Died</v>
      </c>
      <c r="F514" t="s">
        <v>1444</v>
      </c>
      <c r="G514" t="s">
        <v>848</v>
      </c>
      <c r="H514" t="s">
        <v>1445</v>
      </c>
      <c r="I514" t="str">
        <f t="shared" si="79"/>
        <v>Mr. Nasser Nicholas</v>
      </c>
      <c r="J514" t="s">
        <v>20</v>
      </c>
      <c r="K514" t="str">
        <f t="shared" si="80"/>
        <v>Male</v>
      </c>
      <c r="L514">
        <v>32.5</v>
      </c>
      <c r="O514">
        <f t="shared" si="81"/>
        <v>33</v>
      </c>
      <c r="P514">
        <v>1</v>
      </c>
      <c r="R514" s="4">
        <v>0</v>
      </c>
      <c r="T514" s="5">
        <v>30.070799999999998</v>
      </c>
      <c r="W514" s="4">
        <v>33</v>
      </c>
      <c r="X514" s="4" t="str">
        <f t="shared" si="82"/>
        <v>Adult</v>
      </c>
      <c r="Y514" s="4" t="s">
        <v>3561</v>
      </c>
      <c r="AB514" s="4" t="str">
        <f t="shared" si="83"/>
        <v/>
      </c>
      <c r="AC514" s="4" t="str">
        <f t="shared" si="84"/>
        <v>Unknown</v>
      </c>
      <c r="AD514" s="4" t="s">
        <v>3566</v>
      </c>
      <c r="AG514" s="4" t="str">
        <f t="shared" si="85"/>
        <v>Not Applicable</v>
      </c>
      <c r="AH514" s="4">
        <v>43</v>
      </c>
      <c r="AK514" s="4">
        <v>43</v>
      </c>
      <c r="AL514" s="4" t="str">
        <f t="shared" si="86"/>
        <v>Found</v>
      </c>
      <c r="AN514" s="6">
        <v>30.070799999999998</v>
      </c>
      <c r="AO514" s="4" t="str">
        <f t="shared" si="87"/>
        <v>Mid</v>
      </c>
    </row>
    <row r="515" spans="1:41">
      <c r="A515">
        <v>2</v>
      </c>
      <c r="B515" t="str">
        <f t="shared" ref="B515:B578" si="88">IF(A515=1,"First Class",IF(A515=2,"Second Class",IF(A515=3,"Third Class"," ")))</f>
        <v>Second Class</v>
      </c>
      <c r="C515">
        <v>1</v>
      </c>
      <c r="E515" t="str">
        <f t="shared" ref="E515:E578" si="89">IF(C515=1,"Survived",IF(C515=0,"Died"))</f>
        <v>Survived</v>
      </c>
      <c r="F515" t="s">
        <v>1444</v>
      </c>
      <c r="G515" t="s">
        <v>849</v>
      </c>
      <c r="H515" t="s">
        <v>1445</v>
      </c>
      <c r="I515" t="str">
        <f t="shared" ref="I515:I578" si="90">_xlfn.CONCAT(G515," ",F515," ",H515)</f>
        <v>Mrs. Nasser Nicholas</v>
      </c>
      <c r="J515" t="s">
        <v>47</v>
      </c>
      <c r="K515" t="str">
        <f t="shared" ref="K515:K578" si="91">PROPER(J515)</f>
        <v>Female</v>
      </c>
      <c r="L515">
        <v>14</v>
      </c>
      <c r="O515">
        <f t="shared" ref="O515:O578" si="92">IF(L515&lt;1,1,ROUND(L515,0))</f>
        <v>14</v>
      </c>
      <c r="P515">
        <v>1</v>
      </c>
      <c r="R515" s="4">
        <v>0</v>
      </c>
      <c r="T515" s="5">
        <v>30.070799999999998</v>
      </c>
      <c r="W515" s="4">
        <v>14</v>
      </c>
      <c r="X515" s="4" t="str">
        <f t="shared" ref="X515:X578" si="93">IF(W515&lt;10,"Child",IF(W515&lt;18,"Teenager",IF(W515&lt;30,"Young Adult",IF(W515&lt;60,"Adult","Old Adult"))))</f>
        <v>Teenager</v>
      </c>
      <c r="Y515" s="4" t="s">
        <v>3561</v>
      </c>
      <c r="AB515" s="4" t="str">
        <f t="shared" ref="AB515:AB578" si="94">LEFT(AA515,1)</f>
        <v/>
      </c>
      <c r="AC515" s="4" t="str">
        <f t="shared" ref="AC515:AC578" si="95">IF(AB515="","Unknown",LEFT(AB515,1))</f>
        <v>Unknown</v>
      </c>
      <c r="AD515" s="4" t="s">
        <v>3566</v>
      </c>
      <c r="AG515" s="4" t="str">
        <f t="shared" ref="AG515:AG578" si="96">IF(AF515="",IF(E515=1,"Unknown","Not Applicable"),AF515)</f>
        <v>Not Applicable</v>
      </c>
      <c r="AK515" s="4" t="s">
        <v>3573</v>
      </c>
      <c r="AL515" s="4" t="str">
        <f t="shared" ref="AL515:AL578" si="97">IF(AK515="","Not Found","Found")</f>
        <v>Found</v>
      </c>
      <c r="AN515" s="6">
        <v>30.070799999999998</v>
      </c>
      <c r="AO515" s="4" t="str">
        <f t="shared" ref="AO515:AO578" si="98">IF(AN515&lt;=10,"Low",IF(AN515&lt;=50,"Mid","High"))</f>
        <v>Mid</v>
      </c>
    </row>
    <row r="516" spans="1:41">
      <c r="A516">
        <v>2</v>
      </c>
      <c r="B516" t="str">
        <f t="shared" si="88"/>
        <v>Second Class</v>
      </c>
      <c r="C516">
        <v>1</v>
      </c>
      <c r="E516" t="str">
        <f t="shared" si="89"/>
        <v>Survived</v>
      </c>
      <c r="F516" t="s">
        <v>1446</v>
      </c>
      <c r="G516" t="s">
        <v>845</v>
      </c>
      <c r="H516" t="s">
        <v>877</v>
      </c>
      <c r="I516" t="str">
        <f t="shared" si="90"/>
        <v>Master. Navratil Edmond</v>
      </c>
      <c r="J516" t="s">
        <v>20</v>
      </c>
      <c r="K516" t="str">
        <f t="shared" si="91"/>
        <v>Male</v>
      </c>
      <c r="L516">
        <v>2</v>
      </c>
      <c r="O516">
        <f t="shared" si="92"/>
        <v>2</v>
      </c>
      <c r="P516">
        <v>1</v>
      </c>
      <c r="R516" s="4">
        <v>1</v>
      </c>
      <c r="T516" s="5">
        <v>26</v>
      </c>
      <c r="W516" s="4">
        <v>2</v>
      </c>
      <c r="X516" s="4" t="str">
        <f t="shared" si="93"/>
        <v>Child</v>
      </c>
      <c r="Y516" s="4" t="s">
        <v>539</v>
      </c>
      <c r="AA516" s="4" t="s">
        <v>539</v>
      </c>
      <c r="AB516" s="4" t="str">
        <f t="shared" si="94"/>
        <v>F</v>
      </c>
      <c r="AC516" s="4" t="str">
        <f t="shared" si="95"/>
        <v>F</v>
      </c>
      <c r="AD516" s="4" t="s">
        <v>457</v>
      </c>
      <c r="AF516" s="4" t="s">
        <v>59</v>
      </c>
      <c r="AG516" s="4" t="str">
        <f t="shared" si="96"/>
        <v>D</v>
      </c>
      <c r="AK516" s="4" t="s">
        <v>3573</v>
      </c>
      <c r="AL516" s="4" t="str">
        <f t="shared" si="97"/>
        <v>Found</v>
      </c>
      <c r="AN516" s="6">
        <v>26</v>
      </c>
      <c r="AO516" s="4" t="str">
        <f t="shared" si="98"/>
        <v>Mid</v>
      </c>
    </row>
    <row r="517" spans="1:41">
      <c r="A517">
        <v>2</v>
      </c>
      <c r="B517" t="str">
        <f t="shared" si="88"/>
        <v>Second Class</v>
      </c>
      <c r="C517">
        <v>1</v>
      </c>
      <c r="E517" t="str">
        <f t="shared" si="89"/>
        <v>Survived</v>
      </c>
      <c r="F517" t="s">
        <v>1446</v>
      </c>
      <c r="G517" t="s">
        <v>845</v>
      </c>
      <c r="H517" t="s">
        <v>1448</v>
      </c>
      <c r="I517" t="str">
        <f t="shared" si="90"/>
        <v>Master. Navratil Michel</v>
      </c>
      <c r="J517" t="s">
        <v>20</v>
      </c>
      <c r="K517" t="str">
        <f t="shared" si="91"/>
        <v>Male</v>
      </c>
      <c r="L517">
        <v>3</v>
      </c>
      <c r="O517">
        <f t="shared" si="92"/>
        <v>3</v>
      </c>
      <c r="P517">
        <v>1</v>
      </c>
      <c r="R517" s="4">
        <v>1</v>
      </c>
      <c r="T517" s="5">
        <v>26</v>
      </c>
      <c r="W517" s="4">
        <v>3</v>
      </c>
      <c r="X517" s="4" t="str">
        <f t="shared" si="93"/>
        <v>Child</v>
      </c>
      <c r="Y517" s="4" t="s">
        <v>539</v>
      </c>
      <c r="AA517" s="4" t="s">
        <v>539</v>
      </c>
      <c r="AB517" s="4" t="str">
        <f t="shared" si="94"/>
        <v>F</v>
      </c>
      <c r="AC517" s="4" t="str">
        <f t="shared" si="95"/>
        <v>F</v>
      </c>
      <c r="AD517" s="4" t="s">
        <v>457</v>
      </c>
      <c r="AF517" s="4" t="s">
        <v>59</v>
      </c>
      <c r="AG517" s="4" t="str">
        <f t="shared" si="96"/>
        <v>D</v>
      </c>
      <c r="AK517" s="4" t="s">
        <v>3573</v>
      </c>
      <c r="AL517" s="4" t="str">
        <f t="shared" si="97"/>
        <v>Found</v>
      </c>
      <c r="AN517" s="6">
        <v>26</v>
      </c>
      <c r="AO517" s="4" t="str">
        <f t="shared" si="98"/>
        <v>Mid</v>
      </c>
    </row>
    <row r="518" spans="1:41">
      <c r="A518">
        <v>2</v>
      </c>
      <c r="B518" t="str">
        <f t="shared" si="88"/>
        <v>Second Class</v>
      </c>
      <c r="C518">
        <v>0</v>
      </c>
      <c r="E518" t="str">
        <f t="shared" si="89"/>
        <v>Died</v>
      </c>
      <c r="F518" t="s">
        <v>1446</v>
      </c>
      <c r="G518" t="s">
        <v>848</v>
      </c>
      <c r="H518" t="s">
        <v>1448</v>
      </c>
      <c r="I518" t="str">
        <f t="shared" si="90"/>
        <v>Mr. Navratil Michel</v>
      </c>
      <c r="J518" t="s">
        <v>20</v>
      </c>
      <c r="K518" t="str">
        <f t="shared" si="91"/>
        <v>Male</v>
      </c>
      <c r="L518">
        <v>36.5</v>
      </c>
      <c r="O518">
        <f t="shared" si="92"/>
        <v>37</v>
      </c>
      <c r="P518">
        <v>0</v>
      </c>
      <c r="R518" s="4">
        <v>2</v>
      </c>
      <c r="T518" s="5">
        <v>26</v>
      </c>
      <c r="W518" s="4">
        <v>37</v>
      </c>
      <c r="X518" s="4" t="str">
        <f t="shared" si="93"/>
        <v>Adult</v>
      </c>
      <c r="Y518" s="4" t="s">
        <v>539</v>
      </c>
      <c r="AA518" s="4" t="s">
        <v>539</v>
      </c>
      <c r="AB518" s="4" t="str">
        <f t="shared" si="94"/>
        <v>F</v>
      </c>
      <c r="AC518" s="4" t="str">
        <f t="shared" si="95"/>
        <v>F</v>
      </c>
      <c r="AD518" s="4" t="s">
        <v>457</v>
      </c>
      <c r="AG518" s="4" t="str">
        <f t="shared" si="96"/>
        <v>Not Applicable</v>
      </c>
      <c r="AH518" s="4">
        <v>15</v>
      </c>
      <c r="AK518" s="4">
        <v>15</v>
      </c>
      <c r="AL518" s="4" t="str">
        <f t="shared" si="97"/>
        <v>Found</v>
      </c>
      <c r="AN518" s="6">
        <v>26</v>
      </c>
      <c r="AO518" s="4" t="str">
        <f t="shared" si="98"/>
        <v>Mid</v>
      </c>
    </row>
    <row r="519" spans="1:41">
      <c r="A519">
        <v>2</v>
      </c>
      <c r="B519" t="str">
        <f t="shared" si="88"/>
        <v>Second Class</v>
      </c>
      <c r="C519">
        <v>0</v>
      </c>
      <c r="E519" t="str">
        <f t="shared" si="89"/>
        <v>Died</v>
      </c>
      <c r="F519" t="s">
        <v>1449</v>
      </c>
      <c r="G519" t="s">
        <v>848</v>
      </c>
      <c r="H519" t="s">
        <v>1450</v>
      </c>
      <c r="I519" t="str">
        <f t="shared" si="90"/>
        <v>Mr. Nesson Israel</v>
      </c>
      <c r="J519" t="s">
        <v>20</v>
      </c>
      <c r="K519" t="str">
        <f t="shared" si="91"/>
        <v>Male</v>
      </c>
      <c r="L519">
        <v>26</v>
      </c>
      <c r="O519">
        <f t="shared" si="92"/>
        <v>26</v>
      </c>
      <c r="P519">
        <v>0</v>
      </c>
      <c r="R519" s="4">
        <v>0</v>
      </c>
      <c r="T519" s="5">
        <v>13</v>
      </c>
      <c r="W519" s="4">
        <v>26</v>
      </c>
      <c r="X519" s="4" t="str">
        <f t="shared" si="93"/>
        <v>Young Adult</v>
      </c>
      <c r="Y519" s="4" t="s">
        <v>539</v>
      </c>
      <c r="AA519" s="4" t="s">
        <v>539</v>
      </c>
      <c r="AB519" s="4" t="str">
        <f t="shared" si="94"/>
        <v>F</v>
      </c>
      <c r="AC519" s="4" t="str">
        <f t="shared" si="95"/>
        <v>F</v>
      </c>
      <c r="AD519" s="4" t="s">
        <v>457</v>
      </c>
      <c r="AG519" s="4" t="str">
        <f t="shared" si="96"/>
        <v>Not Applicable</v>
      </c>
      <c r="AK519" s="4" t="s">
        <v>3573</v>
      </c>
      <c r="AL519" s="4" t="str">
        <f t="shared" si="97"/>
        <v>Found</v>
      </c>
      <c r="AN519" s="6">
        <v>13</v>
      </c>
      <c r="AO519" s="4" t="str">
        <f t="shared" si="98"/>
        <v>Mid</v>
      </c>
    </row>
    <row r="520" spans="1:41">
      <c r="A520">
        <v>2</v>
      </c>
      <c r="B520" t="str">
        <f t="shared" si="88"/>
        <v>Second Class</v>
      </c>
      <c r="C520">
        <v>0</v>
      </c>
      <c r="E520" t="str">
        <f t="shared" si="89"/>
        <v>Died</v>
      </c>
      <c r="F520" t="s">
        <v>1451</v>
      </c>
      <c r="G520" t="s">
        <v>848</v>
      </c>
      <c r="H520" t="s">
        <v>921</v>
      </c>
      <c r="I520" t="str">
        <f t="shared" si="90"/>
        <v>Mr. Nicholls Joseph</v>
      </c>
      <c r="J520" t="s">
        <v>20</v>
      </c>
      <c r="K520" t="str">
        <f t="shared" si="91"/>
        <v>Male</v>
      </c>
      <c r="L520">
        <v>19</v>
      </c>
      <c r="O520">
        <f t="shared" si="92"/>
        <v>19</v>
      </c>
      <c r="P520">
        <v>1</v>
      </c>
      <c r="R520" s="4">
        <v>1</v>
      </c>
      <c r="T520" s="5">
        <v>36.75</v>
      </c>
      <c r="W520" s="4">
        <v>19</v>
      </c>
      <c r="X520" s="4" t="str">
        <f t="shared" si="93"/>
        <v>Young Adult</v>
      </c>
      <c r="Y520" s="4" t="s">
        <v>3561</v>
      </c>
      <c r="AB520" s="4" t="str">
        <f t="shared" si="94"/>
        <v/>
      </c>
      <c r="AC520" s="4" t="str">
        <f t="shared" si="95"/>
        <v>Unknown</v>
      </c>
      <c r="AD520" s="4" t="s">
        <v>457</v>
      </c>
      <c r="AG520" s="4" t="str">
        <f t="shared" si="96"/>
        <v>Not Applicable</v>
      </c>
      <c r="AH520" s="4">
        <v>101</v>
      </c>
      <c r="AK520" s="4">
        <v>101</v>
      </c>
      <c r="AL520" s="4" t="str">
        <f t="shared" si="97"/>
        <v>Found</v>
      </c>
      <c r="AN520" s="6">
        <v>36.75</v>
      </c>
      <c r="AO520" s="4" t="str">
        <f t="shared" si="98"/>
        <v>Mid</v>
      </c>
    </row>
    <row r="521" spans="1:41">
      <c r="A521">
        <v>2</v>
      </c>
      <c r="B521" t="str">
        <f t="shared" si="88"/>
        <v>Second Class</v>
      </c>
      <c r="C521">
        <v>0</v>
      </c>
      <c r="E521" t="str">
        <f t="shared" si="89"/>
        <v>Died</v>
      </c>
      <c r="F521" t="s">
        <v>956</v>
      </c>
      <c r="G521" t="s">
        <v>848</v>
      </c>
      <c r="H521" t="s">
        <v>925</v>
      </c>
      <c r="I521" t="str">
        <f t="shared" si="90"/>
        <v>Mr. Norman Robert</v>
      </c>
      <c r="J521" t="s">
        <v>20</v>
      </c>
      <c r="K521" t="str">
        <f t="shared" si="91"/>
        <v>Male</v>
      </c>
      <c r="L521">
        <v>28</v>
      </c>
      <c r="O521">
        <f t="shared" si="92"/>
        <v>28</v>
      </c>
      <c r="P521">
        <v>0</v>
      </c>
      <c r="R521" s="4">
        <v>0</v>
      </c>
      <c r="T521" s="5">
        <v>13.5</v>
      </c>
      <c r="W521" s="4">
        <v>28</v>
      </c>
      <c r="X521" s="4" t="str">
        <f t="shared" si="93"/>
        <v>Young Adult</v>
      </c>
      <c r="Y521" s="4" t="s">
        <v>3561</v>
      </c>
      <c r="AB521" s="4" t="str">
        <f t="shared" si="94"/>
        <v/>
      </c>
      <c r="AC521" s="4" t="str">
        <f t="shared" si="95"/>
        <v>Unknown</v>
      </c>
      <c r="AD521" s="4" t="s">
        <v>457</v>
      </c>
      <c r="AG521" s="4" t="str">
        <f t="shared" si="96"/>
        <v>Not Applicable</v>
      </c>
      <c r="AH521" s="4">
        <v>287</v>
      </c>
      <c r="AK521" s="4">
        <v>287</v>
      </c>
      <c r="AL521" s="4" t="str">
        <f t="shared" si="97"/>
        <v>Found</v>
      </c>
      <c r="AN521" s="6">
        <v>13.5</v>
      </c>
      <c r="AO521" s="4" t="str">
        <f t="shared" si="98"/>
        <v>Mid</v>
      </c>
    </row>
    <row r="522" spans="1:41">
      <c r="A522">
        <v>2</v>
      </c>
      <c r="B522" t="str">
        <f t="shared" si="88"/>
        <v>Second Class</v>
      </c>
      <c r="C522">
        <v>1</v>
      </c>
      <c r="E522" t="str">
        <f t="shared" si="89"/>
        <v>Survived</v>
      </c>
      <c r="F522" t="s">
        <v>1452</v>
      </c>
      <c r="G522" t="s">
        <v>848</v>
      </c>
      <c r="H522" t="s">
        <v>1015</v>
      </c>
      <c r="I522" t="str">
        <f t="shared" si="90"/>
        <v>Mr. Nourney Alfred</v>
      </c>
      <c r="J522" t="s">
        <v>20</v>
      </c>
      <c r="K522" t="str">
        <f t="shared" si="91"/>
        <v>Male</v>
      </c>
      <c r="L522">
        <v>20</v>
      </c>
      <c r="O522">
        <f t="shared" si="92"/>
        <v>20</v>
      </c>
      <c r="P522">
        <v>0</v>
      </c>
      <c r="R522" s="4">
        <v>0</v>
      </c>
      <c r="T522" s="5">
        <v>13.862500000000001</v>
      </c>
      <c r="W522" s="4">
        <v>20</v>
      </c>
      <c r="X522" s="4" t="str">
        <f t="shared" si="93"/>
        <v>Young Adult</v>
      </c>
      <c r="Y522" s="4" t="s">
        <v>544</v>
      </c>
      <c r="AA522" s="4" t="s">
        <v>544</v>
      </c>
      <c r="AB522" s="4" t="str">
        <f t="shared" si="94"/>
        <v>D</v>
      </c>
      <c r="AC522" s="4" t="str">
        <f t="shared" si="95"/>
        <v>D</v>
      </c>
      <c r="AD522" s="4" t="s">
        <v>3566</v>
      </c>
      <c r="AF522" s="4">
        <v>7</v>
      </c>
      <c r="AG522" s="4">
        <f t="shared" si="96"/>
        <v>7</v>
      </c>
      <c r="AK522" s="4" t="s">
        <v>3573</v>
      </c>
      <c r="AL522" s="4" t="str">
        <f t="shared" si="97"/>
        <v>Found</v>
      </c>
      <c r="AN522" s="6">
        <v>13.862500000000001</v>
      </c>
      <c r="AO522" s="4" t="str">
        <f t="shared" si="98"/>
        <v>Mid</v>
      </c>
    </row>
    <row r="523" spans="1:41">
      <c r="A523">
        <v>2</v>
      </c>
      <c r="B523" t="str">
        <f t="shared" si="88"/>
        <v>Second Class</v>
      </c>
      <c r="C523">
        <v>1</v>
      </c>
      <c r="E523" t="str">
        <f t="shared" si="89"/>
        <v>Survived</v>
      </c>
      <c r="F523" t="s">
        <v>1453</v>
      </c>
      <c r="G523" t="s">
        <v>849</v>
      </c>
      <c r="H523" t="s">
        <v>1108</v>
      </c>
      <c r="I523" t="str">
        <f t="shared" si="90"/>
        <v>Mrs. Nye (Elizabeth</v>
      </c>
      <c r="J523" t="s">
        <v>47</v>
      </c>
      <c r="K523" t="str">
        <f t="shared" si="91"/>
        <v>Female</v>
      </c>
      <c r="L523">
        <v>29</v>
      </c>
      <c r="O523">
        <f t="shared" si="92"/>
        <v>29</v>
      </c>
      <c r="P523">
        <v>0</v>
      </c>
      <c r="R523" s="4">
        <v>0</v>
      </c>
      <c r="T523" s="5">
        <v>10.5</v>
      </c>
      <c r="W523" s="4">
        <v>29</v>
      </c>
      <c r="X523" s="4" t="str">
        <f t="shared" si="93"/>
        <v>Young Adult</v>
      </c>
      <c r="Y523" s="4" t="s">
        <v>422</v>
      </c>
      <c r="AA523" s="4" t="s">
        <v>422</v>
      </c>
      <c r="AB523" s="4" t="str">
        <f t="shared" si="94"/>
        <v>F</v>
      </c>
      <c r="AC523" s="4" t="str">
        <f t="shared" si="95"/>
        <v>F</v>
      </c>
      <c r="AD523" s="4" t="s">
        <v>457</v>
      </c>
      <c r="AF523" s="4">
        <v>11</v>
      </c>
      <c r="AG523" s="4">
        <f t="shared" si="96"/>
        <v>11</v>
      </c>
      <c r="AK523" s="4" t="s">
        <v>3573</v>
      </c>
      <c r="AL523" s="4" t="str">
        <f t="shared" si="97"/>
        <v>Found</v>
      </c>
      <c r="AN523" s="6">
        <v>10.5</v>
      </c>
      <c r="AO523" s="4" t="str">
        <f t="shared" si="98"/>
        <v>Mid</v>
      </c>
    </row>
    <row r="524" spans="1:41">
      <c r="A524">
        <v>2</v>
      </c>
      <c r="B524" t="str">
        <f t="shared" si="88"/>
        <v>Second Class</v>
      </c>
      <c r="C524">
        <v>0</v>
      </c>
      <c r="E524" t="str">
        <f t="shared" si="89"/>
        <v>Died</v>
      </c>
      <c r="F524" t="s">
        <v>1454</v>
      </c>
      <c r="G524" t="s">
        <v>848</v>
      </c>
      <c r="H524" t="s">
        <v>884</v>
      </c>
      <c r="I524" t="str">
        <f t="shared" si="90"/>
        <v>Mr. Otter Richard</v>
      </c>
      <c r="J524" t="s">
        <v>20</v>
      </c>
      <c r="K524" t="str">
        <f t="shared" si="91"/>
        <v>Male</v>
      </c>
      <c r="L524">
        <v>39</v>
      </c>
      <c r="O524">
        <f t="shared" si="92"/>
        <v>39</v>
      </c>
      <c r="P524">
        <v>0</v>
      </c>
      <c r="R524" s="4">
        <v>0</v>
      </c>
      <c r="T524" s="5">
        <v>13</v>
      </c>
      <c r="W524" s="4">
        <v>39</v>
      </c>
      <c r="X524" s="4" t="str">
        <f t="shared" si="93"/>
        <v>Adult</v>
      </c>
      <c r="Y524" s="4" t="s">
        <v>3561</v>
      </c>
      <c r="AB524" s="4" t="str">
        <f t="shared" si="94"/>
        <v/>
      </c>
      <c r="AC524" s="4" t="str">
        <f t="shared" si="95"/>
        <v>Unknown</v>
      </c>
      <c r="AD524" s="4" t="s">
        <v>457</v>
      </c>
      <c r="AG524" s="4" t="str">
        <f t="shared" si="96"/>
        <v>Not Applicable</v>
      </c>
      <c r="AK524" s="4" t="s">
        <v>3573</v>
      </c>
      <c r="AL524" s="4" t="str">
        <f t="shared" si="97"/>
        <v>Found</v>
      </c>
      <c r="AN524" s="6">
        <v>13</v>
      </c>
      <c r="AO524" s="4" t="str">
        <f t="shared" si="98"/>
        <v>Mid</v>
      </c>
    </row>
    <row r="525" spans="1:41">
      <c r="A525">
        <v>2</v>
      </c>
      <c r="B525" t="str">
        <f t="shared" si="88"/>
        <v>Second Class</v>
      </c>
      <c r="C525">
        <v>1</v>
      </c>
      <c r="E525" t="str">
        <f t="shared" si="89"/>
        <v>Survived</v>
      </c>
      <c r="F525" t="s">
        <v>1455</v>
      </c>
      <c r="G525" t="s">
        <v>848</v>
      </c>
      <c r="H525" t="s">
        <v>1271</v>
      </c>
      <c r="I525" t="str">
        <f t="shared" si="90"/>
        <v>Mr. Oxenham Percy</v>
      </c>
      <c r="J525" t="s">
        <v>20</v>
      </c>
      <c r="K525" t="str">
        <f t="shared" si="91"/>
        <v>Male</v>
      </c>
      <c r="L525">
        <v>22</v>
      </c>
      <c r="O525">
        <f t="shared" si="92"/>
        <v>22</v>
      </c>
      <c r="P525">
        <v>0</v>
      </c>
      <c r="R525" s="4">
        <v>0</v>
      </c>
      <c r="T525" s="5">
        <v>10.5</v>
      </c>
      <c r="W525" s="4">
        <v>22</v>
      </c>
      <c r="X525" s="4" t="str">
        <f t="shared" si="93"/>
        <v>Young Adult</v>
      </c>
      <c r="Y525" s="4" t="s">
        <v>3561</v>
      </c>
      <c r="AB525" s="4" t="str">
        <f t="shared" si="94"/>
        <v/>
      </c>
      <c r="AC525" s="4" t="str">
        <f t="shared" si="95"/>
        <v>Unknown</v>
      </c>
      <c r="AD525" s="4" t="s">
        <v>457</v>
      </c>
      <c r="AF525" s="4">
        <v>13</v>
      </c>
      <c r="AG525" s="4">
        <f t="shared" si="96"/>
        <v>13</v>
      </c>
      <c r="AK525" s="4" t="s">
        <v>3573</v>
      </c>
      <c r="AL525" s="4" t="str">
        <f t="shared" si="97"/>
        <v>Found</v>
      </c>
      <c r="AN525" s="6">
        <v>10.5</v>
      </c>
      <c r="AO525" s="4" t="str">
        <f t="shared" si="98"/>
        <v>Mid</v>
      </c>
    </row>
    <row r="526" spans="1:41">
      <c r="A526">
        <v>2</v>
      </c>
      <c r="B526" t="str">
        <f t="shared" si="88"/>
        <v>Second Class</v>
      </c>
      <c r="C526">
        <v>1</v>
      </c>
      <c r="E526" t="str">
        <f t="shared" si="89"/>
        <v>Survived</v>
      </c>
      <c r="F526" t="s">
        <v>1456</v>
      </c>
      <c r="G526" t="s">
        <v>1151</v>
      </c>
      <c r="H526" t="s">
        <v>1457</v>
      </c>
      <c r="I526" t="str">
        <f t="shared" si="90"/>
        <v>y Padro Manent</v>
      </c>
      <c r="J526" t="s">
        <v>20</v>
      </c>
      <c r="K526" t="str">
        <f t="shared" si="91"/>
        <v>Male</v>
      </c>
      <c r="L526">
        <v>28</v>
      </c>
      <c r="O526">
        <f t="shared" si="92"/>
        <v>28</v>
      </c>
      <c r="P526">
        <v>0</v>
      </c>
      <c r="R526" s="4">
        <v>0</v>
      </c>
      <c r="T526" s="5">
        <v>13.862500000000001</v>
      </c>
      <c r="W526" s="4">
        <v>28</v>
      </c>
      <c r="X526" s="4" t="str">
        <f t="shared" si="93"/>
        <v>Young Adult</v>
      </c>
      <c r="Y526" s="4" t="s">
        <v>3561</v>
      </c>
      <c r="AB526" s="4" t="str">
        <f t="shared" si="94"/>
        <v/>
      </c>
      <c r="AC526" s="4" t="str">
        <f t="shared" si="95"/>
        <v>Unknown</v>
      </c>
      <c r="AD526" s="4" t="s">
        <v>3566</v>
      </c>
      <c r="AF526" s="4">
        <v>9</v>
      </c>
      <c r="AG526" s="4">
        <f t="shared" si="96"/>
        <v>9</v>
      </c>
      <c r="AK526" s="4" t="s">
        <v>3573</v>
      </c>
      <c r="AL526" s="4" t="str">
        <f t="shared" si="97"/>
        <v>Found</v>
      </c>
      <c r="AN526" s="6">
        <v>13.862500000000001</v>
      </c>
      <c r="AO526" s="4" t="str">
        <f t="shared" si="98"/>
        <v>Mid</v>
      </c>
    </row>
    <row r="527" spans="1:41">
      <c r="A527">
        <v>2</v>
      </c>
      <c r="B527" t="str">
        <f t="shared" si="88"/>
        <v>Second Class</v>
      </c>
      <c r="C527">
        <v>0</v>
      </c>
      <c r="E527" t="str">
        <f t="shared" si="89"/>
        <v>Died</v>
      </c>
      <c r="F527" t="s">
        <v>1458</v>
      </c>
      <c r="G527" t="s">
        <v>919</v>
      </c>
      <c r="H527" t="s">
        <v>1015</v>
      </c>
      <c r="I527" t="str">
        <f t="shared" si="90"/>
        <v>Dr. Pain Alfred</v>
      </c>
      <c r="J527" t="s">
        <v>20</v>
      </c>
      <c r="K527" t="str">
        <f t="shared" si="91"/>
        <v>Male</v>
      </c>
      <c r="L527">
        <v>23</v>
      </c>
      <c r="O527">
        <f t="shared" si="92"/>
        <v>23</v>
      </c>
      <c r="P527">
        <v>0</v>
      </c>
      <c r="R527" s="4">
        <v>0</v>
      </c>
      <c r="T527" s="5">
        <v>10.5</v>
      </c>
      <c r="W527" s="4">
        <v>23</v>
      </c>
      <c r="X527" s="4" t="str">
        <f t="shared" si="93"/>
        <v>Young Adult</v>
      </c>
      <c r="Y527" s="4" t="s">
        <v>3561</v>
      </c>
      <c r="AB527" s="4" t="str">
        <f t="shared" si="94"/>
        <v/>
      </c>
      <c r="AC527" s="4" t="str">
        <f t="shared" si="95"/>
        <v>Unknown</v>
      </c>
      <c r="AD527" s="4" t="s">
        <v>457</v>
      </c>
      <c r="AG527" s="4" t="str">
        <f t="shared" si="96"/>
        <v>Not Applicable</v>
      </c>
      <c r="AK527" s="4" t="s">
        <v>3573</v>
      </c>
      <c r="AL527" s="4" t="str">
        <f t="shared" si="97"/>
        <v>Found</v>
      </c>
      <c r="AN527" s="6">
        <v>10.5</v>
      </c>
      <c r="AO527" s="4" t="str">
        <f t="shared" si="98"/>
        <v>Mid</v>
      </c>
    </row>
    <row r="528" spans="1:41">
      <c r="A528">
        <v>2</v>
      </c>
      <c r="B528" t="str">
        <f t="shared" si="88"/>
        <v>Second Class</v>
      </c>
      <c r="C528">
        <v>1</v>
      </c>
      <c r="E528" t="str">
        <f t="shared" si="89"/>
        <v>Survived</v>
      </c>
      <c r="F528" t="s">
        <v>1459</v>
      </c>
      <c r="G528" t="s">
        <v>1151</v>
      </c>
      <c r="H528" t="s">
        <v>1460</v>
      </c>
      <c r="I528" t="str">
        <f t="shared" si="90"/>
        <v>y Pallas Castello</v>
      </c>
      <c r="J528" t="s">
        <v>20</v>
      </c>
      <c r="K528" t="str">
        <f t="shared" si="91"/>
        <v>Male</v>
      </c>
      <c r="L528">
        <v>29</v>
      </c>
      <c r="O528">
        <f t="shared" si="92"/>
        <v>29</v>
      </c>
      <c r="P528">
        <v>0</v>
      </c>
      <c r="R528" s="4">
        <v>0</v>
      </c>
      <c r="T528" s="5">
        <v>13.8583</v>
      </c>
      <c r="W528" s="4">
        <v>29</v>
      </c>
      <c r="X528" s="4" t="str">
        <f t="shared" si="93"/>
        <v>Young Adult</v>
      </c>
      <c r="Y528" s="4" t="s">
        <v>3561</v>
      </c>
      <c r="AB528" s="4" t="str">
        <f t="shared" si="94"/>
        <v/>
      </c>
      <c r="AC528" s="4" t="str">
        <f t="shared" si="95"/>
        <v>Unknown</v>
      </c>
      <c r="AD528" s="4" t="s">
        <v>3566</v>
      </c>
      <c r="AF528" s="4">
        <v>9</v>
      </c>
      <c r="AG528" s="4">
        <f t="shared" si="96"/>
        <v>9</v>
      </c>
      <c r="AK528" s="4" t="s">
        <v>3573</v>
      </c>
      <c r="AL528" s="4" t="str">
        <f t="shared" si="97"/>
        <v>Found</v>
      </c>
      <c r="AN528" s="6">
        <v>13.8583</v>
      </c>
      <c r="AO528" s="4" t="str">
        <f t="shared" si="98"/>
        <v>Mid</v>
      </c>
    </row>
    <row r="529" spans="1:41">
      <c r="A529">
        <v>2</v>
      </c>
      <c r="B529" t="str">
        <f t="shared" si="88"/>
        <v>Second Class</v>
      </c>
      <c r="C529">
        <v>0</v>
      </c>
      <c r="E529" t="str">
        <f t="shared" si="89"/>
        <v>Died</v>
      </c>
      <c r="F529" t="s">
        <v>1194</v>
      </c>
      <c r="G529" t="s">
        <v>848</v>
      </c>
      <c r="H529" t="s">
        <v>973</v>
      </c>
      <c r="I529" t="str">
        <f t="shared" si="90"/>
        <v>Mr. Parker Clifford</v>
      </c>
      <c r="J529" t="s">
        <v>20</v>
      </c>
      <c r="K529" t="str">
        <f t="shared" si="91"/>
        <v>Male</v>
      </c>
      <c r="L529">
        <v>28</v>
      </c>
      <c r="O529">
        <f t="shared" si="92"/>
        <v>28</v>
      </c>
      <c r="P529">
        <v>0</v>
      </c>
      <c r="R529" s="4">
        <v>0</v>
      </c>
      <c r="T529" s="5">
        <v>10.5</v>
      </c>
      <c r="W529" s="4">
        <v>28</v>
      </c>
      <c r="X529" s="4" t="str">
        <f t="shared" si="93"/>
        <v>Young Adult</v>
      </c>
      <c r="Y529" s="4" t="s">
        <v>3561</v>
      </c>
      <c r="AB529" s="4" t="str">
        <f t="shared" si="94"/>
        <v/>
      </c>
      <c r="AC529" s="4" t="str">
        <f t="shared" si="95"/>
        <v>Unknown</v>
      </c>
      <c r="AD529" s="4" t="s">
        <v>457</v>
      </c>
      <c r="AG529" s="4" t="str">
        <f t="shared" si="96"/>
        <v>Not Applicable</v>
      </c>
      <c r="AK529" s="4" t="s">
        <v>3573</v>
      </c>
      <c r="AL529" s="4" t="str">
        <f t="shared" si="97"/>
        <v>Found</v>
      </c>
      <c r="AN529" s="6">
        <v>10.5</v>
      </c>
      <c r="AO529" s="4" t="str">
        <f t="shared" si="98"/>
        <v>Mid</v>
      </c>
    </row>
    <row r="530" spans="1:41">
      <c r="A530">
        <v>2</v>
      </c>
      <c r="B530" t="str">
        <f t="shared" si="88"/>
        <v>Second Class</v>
      </c>
      <c r="C530">
        <v>0</v>
      </c>
      <c r="E530" t="str">
        <f t="shared" si="89"/>
        <v>Died</v>
      </c>
      <c r="F530" t="s">
        <v>1461</v>
      </c>
      <c r="G530" t="s">
        <v>848</v>
      </c>
      <c r="H530" t="s">
        <v>1129</v>
      </c>
      <c r="I530" t="str">
        <f t="shared" si="90"/>
        <v>Mr. Parkes Francis</v>
      </c>
      <c r="J530" t="s">
        <v>20</v>
      </c>
      <c r="K530" t="str">
        <f t="shared" si="91"/>
        <v>Male</v>
      </c>
      <c r="L530">
        <v>28</v>
      </c>
      <c r="O530">
        <f t="shared" si="92"/>
        <v>28</v>
      </c>
      <c r="P530">
        <v>0</v>
      </c>
      <c r="R530" s="4">
        <v>0</v>
      </c>
      <c r="T530" s="5">
        <v>0</v>
      </c>
      <c r="W530" s="4">
        <v>28</v>
      </c>
      <c r="X530" s="4" t="str">
        <f t="shared" si="93"/>
        <v>Young Adult</v>
      </c>
      <c r="Y530" s="4" t="s">
        <v>3561</v>
      </c>
      <c r="AB530" s="4" t="str">
        <f t="shared" si="94"/>
        <v/>
      </c>
      <c r="AC530" s="4" t="str">
        <f t="shared" si="95"/>
        <v>Unknown</v>
      </c>
      <c r="AD530" s="4" t="s">
        <v>457</v>
      </c>
      <c r="AG530" s="4" t="str">
        <f t="shared" si="96"/>
        <v>Not Applicable</v>
      </c>
      <c r="AK530" s="4" t="s">
        <v>3573</v>
      </c>
      <c r="AL530" s="4" t="str">
        <f t="shared" si="97"/>
        <v>Found</v>
      </c>
      <c r="AN530" s="6">
        <v>0</v>
      </c>
      <c r="AO530" s="4" t="str">
        <f t="shared" si="98"/>
        <v>Low</v>
      </c>
    </row>
    <row r="531" spans="1:41">
      <c r="A531">
        <v>2</v>
      </c>
      <c r="B531" t="str">
        <f t="shared" si="88"/>
        <v>Second Class</v>
      </c>
      <c r="C531">
        <v>1</v>
      </c>
      <c r="E531" t="str">
        <f t="shared" si="89"/>
        <v>Survived</v>
      </c>
      <c r="F531" t="s">
        <v>1462</v>
      </c>
      <c r="G531" t="s">
        <v>849</v>
      </c>
      <c r="H531" t="s">
        <v>1463</v>
      </c>
      <c r="I531" t="str">
        <f t="shared" si="90"/>
        <v>Mrs. Parrish (Lutie</v>
      </c>
      <c r="J531" t="s">
        <v>47</v>
      </c>
      <c r="K531" t="str">
        <f t="shared" si="91"/>
        <v>Female</v>
      </c>
      <c r="L531">
        <v>50</v>
      </c>
      <c r="O531">
        <f t="shared" si="92"/>
        <v>50</v>
      </c>
      <c r="P531">
        <v>0</v>
      </c>
      <c r="R531" s="4">
        <v>1</v>
      </c>
      <c r="T531" s="5">
        <v>26</v>
      </c>
      <c r="W531" s="4">
        <v>50</v>
      </c>
      <c r="X531" s="4" t="str">
        <f t="shared" si="93"/>
        <v>Adult</v>
      </c>
      <c r="Y531" s="4" t="s">
        <v>3561</v>
      </c>
      <c r="AB531" s="4" t="str">
        <f t="shared" si="94"/>
        <v/>
      </c>
      <c r="AC531" s="4" t="str">
        <f t="shared" si="95"/>
        <v>Unknown</v>
      </c>
      <c r="AD531" s="4" t="s">
        <v>457</v>
      </c>
      <c r="AF531" s="4">
        <v>12</v>
      </c>
      <c r="AG531" s="4">
        <f t="shared" si="96"/>
        <v>12</v>
      </c>
      <c r="AK531" s="4" t="s">
        <v>3573</v>
      </c>
      <c r="AL531" s="4" t="str">
        <f t="shared" si="97"/>
        <v>Found</v>
      </c>
      <c r="AN531" s="6">
        <v>26</v>
      </c>
      <c r="AO531" s="4" t="str">
        <f t="shared" si="98"/>
        <v>Mid</v>
      </c>
    </row>
    <row r="532" spans="1:41">
      <c r="A532">
        <v>2</v>
      </c>
      <c r="B532" t="str">
        <f t="shared" si="88"/>
        <v>Second Class</v>
      </c>
      <c r="C532">
        <v>0</v>
      </c>
      <c r="E532" t="str">
        <f t="shared" si="89"/>
        <v>Died</v>
      </c>
      <c r="F532" t="s">
        <v>1464</v>
      </c>
      <c r="G532" t="s">
        <v>848</v>
      </c>
      <c r="H532" t="s">
        <v>999</v>
      </c>
      <c r="I532" t="str">
        <f t="shared" si="90"/>
        <v>Mr. Pengelly Frederick</v>
      </c>
      <c r="J532" t="s">
        <v>20</v>
      </c>
      <c r="K532" t="str">
        <f t="shared" si="91"/>
        <v>Male</v>
      </c>
      <c r="L532">
        <v>19</v>
      </c>
      <c r="O532">
        <f t="shared" si="92"/>
        <v>19</v>
      </c>
      <c r="P532">
        <v>0</v>
      </c>
      <c r="R532" s="4">
        <v>0</v>
      </c>
      <c r="T532" s="5">
        <v>10.5</v>
      </c>
      <c r="W532" s="4">
        <v>19</v>
      </c>
      <c r="X532" s="4" t="str">
        <f t="shared" si="93"/>
        <v>Young Adult</v>
      </c>
      <c r="Y532" s="4" t="s">
        <v>3561</v>
      </c>
      <c r="AB532" s="4" t="str">
        <f t="shared" si="94"/>
        <v/>
      </c>
      <c r="AC532" s="4" t="str">
        <f t="shared" si="95"/>
        <v>Unknown</v>
      </c>
      <c r="AD532" s="4" t="s">
        <v>457</v>
      </c>
      <c r="AG532" s="4" t="str">
        <f t="shared" si="96"/>
        <v>Not Applicable</v>
      </c>
      <c r="AK532" s="4" t="s">
        <v>3573</v>
      </c>
      <c r="AL532" s="4" t="str">
        <f t="shared" si="97"/>
        <v>Found</v>
      </c>
      <c r="AN532" s="6">
        <v>10.5</v>
      </c>
      <c r="AO532" s="4" t="str">
        <f t="shared" si="98"/>
        <v>Mid</v>
      </c>
    </row>
    <row r="533" spans="1:41">
      <c r="A533">
        <v>2</v>
      </c>
      <c r="B533" t="str">
        <f t="shared" si="88"/>
        <v>Second Class</v>
      </c>
      <c r="C533">
        <v>0</v>
      </c>
      <c r="E533" t="str">
        <f t="shared" si="89"/>
        <v>Died</v>
      </c>
      <c r="F533" t="s">
        <v>1465</v>
      </c>
      <c r="G533" t="s">
        <v>848</v>
      </c>
      <c r="H533" t="s">
        <v>1414</v>
      </c>
      <c r="I533" t="str">
        <f t="shared" si="90"/>
        <v>Mr. Pernot Rene</v>
      </c>
      <c r="J533" t="s">
        <v>20</v>
      </c>
      <c r="K533" t="str">
        <f t="shared" si="91"/>
        <v>Male</v>
      </c>
      <c r="L533">
        <v>28</v>
      </c>
      <c r="O533">
        <f t="shared" si="92"/>
        <v>28</v>
      </c>
      <c r="P533">
        <v>0</v>
      </c>
      <c r="R533" s="4">
        <v>0</v>
      </c>
      <c r="T533" s="5">
        <v>15.05</v>
      </c>
      <c r="W533" s="4">
        <v>28</v>
      </c>
      <c r="X533" s="4" t="str">
        <f t="shared" si="93"/>
        <v>Young Adult</v>
      </c>
      <c r="Y533" s="4" t="s">
        <v>3561</v>
      </c>
      <c r="AB533" s="4" t="str">
        <f t="shared" si="94"/>
        <v/>
      </c>
      <c r="AC533" s="4" t="str">
        <f t="shared" si="95"/>
        <v>Unknown</v>
      </c>
      <c r="AD533" s="4" t="s">
        <v>3566</v>
      </c>
      <c r="AG533" s="4" t="str">
        <f t="shared" si="96"/>
        <v>Not Applicable</v>
      </c>
      <c r="AK533" s="4" t="s">
        <v>3573</v>
      </c>
      <c r="AL533" s="4" t="str">
        <f t="shared" si="97"/>
        <v>Found</v>
      </c>
      <c r="AN533" s="6">
        <v>15.05</v>
      </c>
      <c r="AO533" s="4" t="str">
        <f t="shared" si="98"/>
        <v>Mid</v>
      </c>
    </row>
    <row r="534" spans="1:41">
      <c r="A534">
        <v>2</v>
      </c>
      <c r="B534" t="str">
        <f t="shared" si="88"/>
        <v>Second Class</v>
      </c>
      <c r="C534">
        <v>0</v>
      </c>
      <c r="E534" t="str">
        <f t="shared" si="89"/>
        <v>Died</v>
      </c>
      <c r="F534" t="s">
        <v>1466</v>
      </c>
      <c r="G534" t="s">
        <v>1277</v>
      </c>
      <c r="H534" t="s">
        <v>921</v>
      </c>
      <c r="I534" t="str">
        <f t="shared" si="90"/>
        <v>Rev. Peruschitz Joseph</v>
      </c>
      <c r="J534" t="s">
        <v>20</v>
      </c>
      <c r="K534" t="str">
        <f t="shared" si="91"/>
        <v>Male</v>
      </c>
      <c r="L534">
        <v>41</v>
      </c>
      <c r="O534">
        <f t="shared" si="92"/>
        <v>41</v>
      </c>
      <c r="P534">
        <v>0</v>
      </c>
      <c r="R534" s="4">
        <v>0</v>
      </c>
      <c r="T534" s="5">
        <v>13</v>
      </c>
      <c r="W534" s="4">
        <v>41</v>
      </c>
      <c r="X534" s="4" t="str">
        <f t="shared" si="93"/>
        <v>Adult</v>
      </c>
      <c r="Y534" s="4" t="s">
        <v>3561</v>
      </c>
      <c r="AB534" s="4" t="str">
        <f t="shared" si="94"/>
        <v/>
      </c>
      <c r="AC534" s="4" t="str">
        <f t="shared" si="95"/>
        <v>Unknown</v>
      </c>
      <c r="AD534" s="4" t="s">
        <v>457</v>
      </c>
      <c r="AG534" s="4" t="str">
        <f t="shared" si="96"/>
        <v>Not Applicable</v>
      </c>
      <c r="AK534" s="4" t="s">
        <v>3573</v>
      </c>
      <c r="AL534" s="4" t="str">
        <f t="shared" si="97"/>
        <v>Found</v>
      </c>
      <c r="AN534" s="6">
        <v>13</v>
      </c>
      <c r="AO534" s="4" t="str">
        <f t="shared" si="98"/>
        <v>Mid</v>
      </c>
    </row>
    <row r="535" spans="1:41">
      <c r="A535">
        <v>2</v>
      </c>
      <c r="B535" t="str">
        <f t="shared" si="88"/>
        <v>Second Class</v>
      </c>
      <c r="C535">
        <v>1</v>
      </c>
      <c r="E535" t="str">
        <f t="shared" si="89"/>
        <v>Survived</v>
      </c>
      <c r="F535" t="s">
        <v>1467</v>
      </c>
      <c r="G535" t="s">
        <v>842</v>
      </c>
      <c r="H535" t="s">
        <v>972</v>
      </c>
      <c r="I535" t="str">
        <f t="shared" si="90"/>
        <v>Miss. Phillips Alice</v>
      </c>
      <c r="J535" t="s">
        <v>47</v>
      </c>
      <c r="K535" t="str">
        <f t="shared" si="91"/>
        <v>Female</v>
      </c>
      <c r="L535">
        <v>21</v>
      </c>
      <c r="O535">
        <f t="shared" si="92"/>
        <v>21</v>
      </c>
      <c r="P535">
        <v>0</v>
      </c>
      <c r="R535" s="4">
        <v>1</v>
      </c>
      <c r="T535" s="5">
        <v>21</v>
      </c>
      <c r="W535" s="4">
        <v>21</v>
      </c>
      <c r="X535" s="4" t="str">
        <f t="shared" si="93"/>
        <v>Young Adult</v>
      </c>
      <c r="Y535" s="4" t="s">
        <v>3561</v>
      </c>
      <c r="AB535" s="4" t="str">
        <f t="shared" si="94"/>
        <v/>
      </c>
      <c r="AC535" s="4" t="str">
        <f t="shared" si="95"/>
        <v>Unknown</v>
      </c>
      <c r="AD535" s="4" t="s">
        <v>457</v>
      </c>
      <c r="AF535" s="4">
        <v>12</v>
      </c>
      <c r="AG535" s="4">
        <f t="shared" si="96"/>
        <v>12</v>
      </c>
      <c r="AK535" s="4" t="s">
        <v>3573</v>
      </c>
      <c r="AL535" s="4" t="str">
        <f t="shared" si="97"/>
        <v>Found</v>
      </c>
      <c r="AN535" s="6">
        <v>21</v>
      </c>
      <c r="AO535" s="4" t="str">
        <f t="shared" si="98"/>
        <v>Mid</v>
      </c>
    </row>
    <row r="536" spans="1:41">
      <c r="A536">
        <v>2</v>
      </c>
      <c r="B536" t="str">
        <f t="shared" si="88"/>
        <v>Second Class</v>
      </c>
      <c r="C536">
        <v>1</v>
      </c>
      <c r="E536" t="str">
        <f t="shared" si="89"/>
        <v>Survived</v>
      </c>
      <c r="F536" t="s">
        <v>1467</v>
      </c>
      <c r="G536" t="s">
        <v>842</v>
      </c>
      <c r="H536" t="s">
        <v>1298</v>
      </c>
      <c r="I536" t="str">
        <f t="shared" si="90"/>
        <v>Miss. Phillips Kate</v>
      </c>
      <c r="J536" t="s">
        <v>47</v>
      </c>
      <c r="K536" t="str">
        <f t="shared" si="91"/>
        <v>Female</v>
      </c>
      <c r="L536">
        <v>19</v>
      </c>
      <c r="O536">
        <f t="shared" si="92"/>
        <v>19</v>
      </c>
      <c r="P536">
        <v>0</v>
      </c>
      <c r="R536" s="4">
        <v>0</v>
      </c>
      <c r="T536" s="5">
        <v>26</v>
      </c>
      <c r="W536" s="4">
        <v>19</v>
      </c>
      <c r="X536" s="4" t="str">
        <f t="shared" si="93"/>
        <v>Young Adult</v>
      </c>
      <c r="Y536" s="4" t="s">
        <v>3561</v>
      </c>
      <c r="AB536" s="4" t="str">
        <f t="shared" si="94"/>
        <v/>
      </c>
      <c r="AC536" s="4" t="str">
        <f t="shared" si="95"/>
        <v>Unknown</v>
      </c>
      <c r="AD536" s="4" t="s">
        <v>457</v>
      </c>
      <c r="AF536" s="4">
        <v>11</v>
      </c>
      <c r="AG536" s="4">
        <f t="shared" si="96"/>
        <v>11</v>
      </c>
      <c r="AK536" s="4" t="s">
        <v>3573</v>
      </c>
      <c r="AL536" s="4" t="str">
        <f t="shared" si="97"/>
        <v>Found</v>
      </c>
      <c r="AN536" s="6">
        <v>26</v>
      </c>
      <c r="AO536" s="4" t="str">
        <f t="shared" si="98"/>
        <v>Mid</v>
      </c>
    </row>
    <row r="537" spans="1:41">
      <c r="A537">
        <v>2</v>
      </c>
      <c r="B537" t="str">
        <f t="shared" si="88"/>
        <v>Second Class</v>
      </c>
      <c r="C537">
        <v>0</v>
      </c>
      <c r="E537" t="str">
        <f t="shared" si="89"/>
        <v>Died</v>
      </c>
      <c r="F537" t="s">
        <v>1467</v>
      </c>
      <c r="G537" t="s">
        <v>848</v>
      </c>
      <c r="H537" t="s">
        <v>1468</v>
      </c>
      <c r="I537" t="str">
        <f t="shared" si="90"/>
        <v>Mr. Phillips Escott</v>
      </c>
      <c r="J537" t="s">
        <v>20</v>
      </c>
      <c r="K537" t="str">
        <f t="shared" si="91"/>
        <v>Male</v>
      </c>
      <c r="L537">
        <v>43</v>
      </c>
      <c r="O537">
        <f t="shared" si="92"/>
        <v>43</v>
      </c>
      <c r="P537">
        <v>0</v>
      </c>
      <c r="R537" s="4">
        <v>1</v>
      </c>
      <c r="T537" s="5">
        <v>21</v>
      </c>
      <c r="W537" s="4">
        <v>43</v>
      </c>
      <c r="X537" s="4" t="str">
        <f t="shared" si="93"/>
        <v>Adult</v>
      </c>
      <c r="Y537" s="4" t="s">
        <v>3561</v>
      </c>
      <c r="AB537" s="4" t="str">
        <f t="shared" si="94"/>
        <v/>
      </c>
      <c r="AC537" s="4" t="str">
        <f t="shared" si="95"/>
        <v>Unknown</v>
      </c>
      <c r="AD537" s="4" t="s">
        <v>457</v>
      </c>
      <c r="AG537" s="4" t="str">
        <f t="shared" si="96"/>
        <v>Not Applicable</v>
      </c>
      <c r="AK537" s="4" t="s">
        <v>3573</v>
      </c>
      <c r="AL537" s="4" t="str">
        <f t="shared" si="97"/>
        <v>Found</v>
      </c>
      <c r="AN537" s="6">
        <v>21</v>
      </c>
      <c r="AO537" s="4" t="str">
        <f t="shared" si="98"/>
        <v>Mid</v>
      </c>
    </row>
    <row r="538" spans="1:41">
      <c r="A538">
        <v>2</v>
      </c>
      <c r="B538" t="str">
        <f t="shared" si="88"/>
        <v>Second Class</v>
      </c>
      <c r="C538">
        <v>1</v>
      </c>
      <c r="E538" t="str">
        <f t="shared" si="89"/>
        <v>Survived</v>
      </c>
      <c r="F538" t="s">
        <v>1469</v>
      </c>
      <c r="G538" t="s">
        <v>849</v>
      </c>
      <c r="H538" t="s">
        <v>1470</v>
      </c>
      <c r="I538" t="str">
        <f t="shared" si="90"/>
        <v>Mrs. Pinsky (Rosa)</v>
      </c>
      <c r="J538" t="s">
        <v>47</v>
      </c>
      <c r="K538" t="str">
        <f t="shared" si="91"/>
        <v>Female</v>
      </c>
      <c r="L538">
        <v>32</v>
      </c>
      <c r="O538">
        <f t="shared" si="92"/>
        <v>32</v>
      </c>
      <c r="P538">
        <v>0</v>
      </c>
      <c r="R538" s="4">
        <v>0</v>
      </c>
      <c r="T538" s="5">
        <v>13</v>
      </c>
      <c r="W538" s="4">
        <v>32</v>
      </c>
      <c r="X538" s="4" t="str">
        <f t="shared" si="93"/>
        <v>Adult</v>
      </c>
      <c r="Y538" s="4" t="s">
        <v>3561</v>
      </c>
      <c r="AB538" s="4" t="str">
        <f t="shared" si="94"/>
        <v/>
      </c>
      <c r="AC538" s="4" t="str">
        <f t="shared" si="95"/>
        <v>Unknown</v>
      </c>
      <c r="AD538" s="4" t="s">
        <v>457</v>
      </c>
      <c r="AF538" s="4">
        <v>9</v>
      </c>
      <c r="AG538" s="4">
        <f t="shared" si="96"/>
        <v>9</v>
      </c>
      <c r="AK538" s="4" t="s">
        <v>3573</v>
      </c>
      <c r="AL538" s="4" t="str">
        <f t="shared" si="97"/>
        <v>Found</v>
      </c>
      <c r="AN538" s="6">
        <v>13</v>
      </c>
      <c r="AO538" s="4" t="str">
        <f t="shared" si="98"/>
        <v>Mid</v>
      </c>
    </row>
    <row r="539" spans="1:41">
      <c r="A539">
        <v>2</v>
      </c>
      <c r="B539" t="str">
        <f t="shared" si="88"/>
        <v>Second Class</v>
      </c>
      <c r="C539">
        <v>0</v>
      </c>
      <c r="E539" t="str">
        <f t="shared" si="89"/>
        <v>Died</v>
      </c>
      <c r="F539" t="s">
        <v>1471</v>
      </c>
      <c r="G539" t="s">
        <v>848</v>
      </c>
      <c r="H539" t="s">
        <v>1189</v>
      </c>
      <c r="I539" t="str">
        <f t="shared" si="90"/>
        <v>Mr. Ponesell Martin</v>
      </c>
      <c r="J539" t="s">
        <v>20</v>
      </c>
      <c r="K539" t="str">
        <f t="shared" si="91"/>
        <v>Male</v>
      </c>
      <c r="L539">
        <v>34</v>
      </c>
      <c r="O539">
        <f t="shared" si="92"/>
        <v>34</v>
      </c>
      <c r="P539">
        <v>0</v>
      </c>
      <c r="R539" s="4">
        <v>0</v>
      </c>
      <c r="T539" s="5">
        <v>13</v>
      </c>
      <c r="W539" s="4">
        <v>34</v>
      </c>
      <c r="X539" s="4" t="str">
        <f t="shared" si="93"/>
        <v>Adult</v>
      </c>
      <c r="Y539" s="4" t="s">
        <v>3561</v>
      </c>
      <c r="AB539" s="4" t="str">
        <f t="shared" si="94"/>
        <v/>
      </c>
      <c r="AC539" s="4" t="str">
        <f t="shared" si="95"/>
        <v>Unknown</v>
      </c>
      <c r="AD539" s="4" t="s">
        <v>457</v>
      </c>
      <c r="AG539" s="4" t="str">
        <f t="shared" si="96"/>
        <v>Not Applicable</v>
      </c>
      <c r="AK539" s="4" t="s">
        <v>3573</v>
      </c>
      <c r="AL539" s="4" t="str">
        <f t="shared" si="97"/>
        <v>Found</v>
      </c>
      <c r="AN539" s="6">
        <v>13</v>
      </c>
      <c r="AO539" s="4" t="str">
        <f t="shared" si="98"/>
        <v>Mid</v>
      </c>
    </row>
    <row r="540" spans="1:41">
      <c r="A540">
        <v>2</v>
      </c>
      <c r="B540" t="str">
        <f t="shared" si="88"/>
        <v>Second Class</v>
      </c>
      <c r="C540">
        <v>1</v>
      </c>
      <c r="E540" t="str">
        <f t="shared" si="89"/>
        <v>Survived</v>
      </c>
      <c r="F540" t="s">
        <v>1472</v>
      </c>
      <c r="G540" t="s">
        <v>848</v>
      </c>
      <c r="H540" t="s">
        <v>1425</v>
      </c>
      <c r="I540" t="str">
        <f t="shared" si="90"/>
        <v>Mr. Portaluppi Emilio</v>
      </c>
      <c r="J540" t="s">
        <v>20</v>
      </c>
      <c r="K540" t="str">
        <f t="shared" si="91"/>
        <v>Male</v>
      </c>
      <c r="L540">
        <v>30</v>
      </c>
      <c r="O540">
        <f t="shared" si="92"/>
        <v>30</v>
      </c>
      <c r="P540">
        <v>0</v>
      </c>
      <c r="R540" s="4">
        <v>0</v>
      </c>
      <c r="T540" s="5">
        <v>12.737500000000001</v>
      </c>
      <c r="W540" s="4">
        <v>30</v>
      </c>
      <c r="X540" s="4" t="str">
        <f t="shared" si="93"/>
        <v>Adult</v>
      </c>
      <c r="Y540" s="4" t="s">
        <v>3561</v>
      </c>
      <c r="AB540" s="4" t="str">
        <f t="shared" si="94"/>
        <v/>
      </c>
      <c r="AC540" s="4" t="str">
        <f t="shared" si="95"/>
        <v>Unknown</v>
      </c>
      <c r="AD540" s="4" t="s">
        <v>3566</v>
      </c>
      <c r="AF540" s="4">
        <v>14</v>
      </c>
      <c r="AG540" s="4">
        <f t="shared" si="96"/>
        <v>14</v>
      </c>
      <c r="AK540" s="4" t="s">
        <v>3573</v>
      </c>
      <c r="AL540" s="4" t="str">
        <f t="shared" si="97"/>
        <v>Found</v>
      </c>
      <c r="AN540" s="6">
        <v>12.737500000000001</v>
      </c>
      <c r="AO540" s="4" t="str">
        <f t="shared" si="98"/>
        <v>Mid</v>
      </c>
    </row>
    <row r="541" spans="1:41">
      <c r="A541">
        <v>2</v>
      </c>
      <c r="B541" t="str">
        <f t="shared" si="88"/>
        <v>Second Class</v>
      </c>
      <c r="C541">
        <v>0</v>
      </c>
      <c r="E541" t="str">
        <f t="shared" si="89"/>
        <v>Died</v>
      </c>
      <c r="F541" t="s">
        <v>1473</v>
      </c>
      <c r="G541" t="s">
        <v>848</v>
      </c>
      <c r="H541" t="s">
        <v>1474</v>
      </c>
      <c r="I541" t="str">
        <f t="shared" si="90"/>
        <v>Mr. Pulbaum Franz</v>
      </c>
      <c r="J541" t="s">
        <v>20</v>
      </c>
      <c r="K541" t="str">
        <f t="shared" si="91"/>
        <v>Male</v>
      </c>
      <c r="L541">
        <v>27</v>
      </c>
      <c r="O541">
        <f t="shared" si="92"/>
        <v>27</v>
      </c>
      <c r="P541">
        <v>0</v>
      </c>
      <c r="R541" s="4">
        <v>0</v>
      </c>
      <c r="T541" s="5">
        <v>15.033300000000001</v>
      </c>
      <c r="W541" s="4">
        <v>27</v>
      </c>
      <c r="X541" s="4" t="str">
        <f t="shared" si="93"/>
        <v>Young Adult</v>
      </c>
      <c r="Y541" s="4" t="s">
        <v>3561</v>
      </c>
      <c r="AB541" s="4" t="str">
        <f t="shared" si="94"/>
        <v/>
      </c>
      <c r="AC541" s="4" t="str">
        <f t="shared" si="95"/>
        <v>Unknown</v>
      </c>
      <c r="AD541" s="4" t="s">
        <v>3566</v>
      </c>
      <c r="AG541" s="4" t="str">
        <f t="shared" si="96"/>
        <v>Not Applicable</v>
      </c>
      <c r="AK541" s="4" t="s">
        <v>3573</v>
      </c>
      <c r="AL541" s="4" t="str">
        <f t="shared" si="97"/>
        <v>Found</v>
      </c>
      <c r="AN541" s="6">
        <v>15.033300000000001</v>
      </c>
      <c r="AO541" s="4" t="str">
        <f t="shared" si="98"/>
        <v>Mid</v>
      </c>
    </row>
    <row r="542" spans="1:41">
      <c r="A542">
        <v>2</v>
      </c>
      <c r="B542" t="str">
        <f t="shared" si="88"/>
        <v>Second Class</v>
      </c>
      <c r="C542">
        <v>1</v>
      </c>
      <c r="E542" t="str">
        <f t="shared" si="89"/>
        <v>Survived</v>
      </c>
      <c r="F542" t="s">
        <v>1475</v>
      </c>
      <c r="G542" t="s">
        <v>842</v>
      </c>
      <c r="H542" t="s">
        <v>1324</v>
      </c>
      <c r="I542" t="str">
        <f t="shared" si="90"/>
        <v>Miss. Quick Phyllis</v>
      </c>
      <c r="J542" t="s">
        <v>47</v>
      </c>
      <c r="K542" t="str">
        <f t="shared" si="91"/>
        <v>Female</v>
      </c>
      <c r="L542">
        <v>2</v>
      </c>
      <c r="O542">
        <f t="shared" si="92"/>
        <v>2</v>
      </c>
      <c r="P542">
        <v>1</v>
      </c>
      <c r="R542" s="4">
        <v>1</v>
      </c>
      <c r="T542" s="5">
        <v>26</v>
      </c>
      <c r="W542" s="4">
        <v>2</v>
      </c>
      <c r="X542" s="4" t="str">
        <f t="shared" si="93"/>
        <v>Child</v>
      </c>
      <c r="Y542" s="4" t="s">
        <v>3561</v>
      </c>
      <c r="AB542" s="4" t="str">
        <f t="shared" si="94"/>
        <v/>
      </c>
      <c r="AC542" s="4" t="str">
        <f t="shared" si="95"/>
        <v>Unknown</v>
      </c>
      <c r="AD542" s="4" t="s">
        <v>457</v>
      </c>
      <c r="AF542" s="4">
        <v>11</v>
      </c>
      <c r="AG542" s="4">
        <f t="shared" si="96"/>
        <v>11</v>
      </c>
      <c r="AK542" s="4" t="s">
        <v>3573</v>
      </c>
      <c r="AL542" s="4" t="str">
        <f t="shared" si="97"/>
        <v>Found</v>
      </c>
      <c r="AN542" s="6">
        <v>26</v>
      </c>
      <c r="AO542" s="4" t="str">
        <f t="shared" si="98"/>
        <v>Mid</v>
      </c>
    </row>
    <row r="543" spans="1:41">
      <c r="A543">
        <v>2</v>
      </c>
      <c r="B543" t="str">
        <f t="shared" si="88"/>
        <v>Second Class</v>
      </c>
      <c r="C543">
        <v>1</v>
      </c>
      <c r="E543" t="str">
        <f t="shared" si="89"/>
        <v>Survived</v>
      </c>
      <c r="F543" t="s">
        <v>1475</v>
      </c>
      <c r="G543" t="s">
        <v>842</v>
      </c>
      <c r="H543" t="s">
        <v>1042</v>
      </c>
      <c r="I543" t="str">
        <f t="shared" si="90"/>
        <v>Miss. Quick Winifred</v>
      </c>
      <c r="J543" t="s">
        <v>47</v>
      </c>
      <c r="K543" t="str">
        <f t="shared" si="91"/>
        <v>Female</v>
      </c>
      <c r="L543">
        <v>8</v>
      </c>
      <c r="O543">
        <f t="shared" si="92"/>
        <v>8</v>
      </c>
      <c r="P543">
        <v>1</v>
      </c>
      <c r="R543" s="4">
        <v>1</v>
      </c>
      <c r="T543" s="5">
        <v>26</v>
      </c>
      <c r="W543" s="4">
        <v>8</v>
      </c>
      <c r="X543" s="4" t="str">
        <f t="shared" si="93"/>
        <v>Child</v>
      </c>
      <c r="Y543" s="4" t="s">
        <v>3561</v>
      </c>
      <c r="AB543" s="4" t="str">
        <f t="shared" si="94"/>
        <v/>
      </c>
      <c r="AC543" s="4" t="str">
        <f t="shared" si="95"/>
        <v>Unknown</v>
      </c>
      <c r="AD543" s="4" t="s">
        <v>457</v>
      </c>
      <c r="AF543" s="4">
        <v>11</v>
      </c>
      <c r="AG543" s="4">
        <f t="shared" si="96"/>
        <v>11</v>
      </c>
      <c r="AK543" s="4" t="s">
        <v>3573</v>
      </c>
      <c r="AL543" s="4" t="str">
        <f t="shared" si="97"/>
        <v>Found</v>
      </c>
      <c r="AN543" s="6">
        <v>26</v>
      </c>
      <c r="AO543" s="4" t="str">
        <f t="shared" si="98"/>
        <v>Mid</v>
      </c>
    </row>
    <row r="544" spans="1:41">
      <c r="A544">
        <v>2</v>
      </c>
      <c r="B544" t="str">
        <f t="shared" si="88"/>
        <v>Second Class</v>
      </c>
      <c r="C544">
        <v>1</v>
      </c>
      <c r="E544" t="str">
        <f t="shared" si="89"/>
        <v>Survived</v>
      </c>
      <c r="F544" t="s">
        <v>1475</v>
      </c>
      <c r="G544" t="s">
        <v>849</v>
      </c>
      <c r="H544" t="s">
        <v>999</v>
      </c>
      <c r="I544" t="str">
        <f t="shared" si="90"/>
        <v>Mrs. Quick Frederick</v>
      </c>
      <c r="J544" t="s">
        <v>47</v>
      </c>
      <c r="K544" t="str">
        <f t="shared" si="91"/>
        <v>Female</v>
      </c>
      <c r="L544">
        <v>33</v>
      </c>
      <c r="O544">
        <f t="shared" si="92"/>
        <v>33</v>
      </c>
      <c r="P544">
        <v>0</v>
      </c>
      <c r="R544" s="4">
        <v>2</v>
      </c>
      <c r="T544" s="5">
        <v>26</v>
      </c>
      <c r="W544" s="4">
        <v>33</v>
      </c>
      <c r="X544" s="4" t="str">
        <f t="shared" si="93"/>
        <v>Adult</v>
      </c>
      <c r="Y544" s="4" t="s">
        <v>3561</v>
      </c>
      <c r="AB544" s="4" t="str">
        <f t="shared" si="94"/>
        <v/>
      </c>
      <c r="AC544" s="4" t="str">
        <f t="shared" si="95"/>
        <v>Unknown</v>
      </c>
      <c r="AD544" s="4" t="s">
        <v>457</v>
      </c>
      <c r="AF544" s="4">
        <v>11</v>
      </c>
      <c r="AG544" s="4">
        <f t="shared" si="96"/>
        <v>11</v>
      </c>
      <c r="AK544" s="4" t="s">
        <v>3573</v>
      </c>
      <c r="AL544" s="4" t="str">
        <f t="shared" si="97"/>
        <v>Found</v>
      </c>
      <c r="AN544" s="6">
        <v>26</v>
      </c>
      <c r="AO544" s="4" t="str">
        <f t="shared" si="98"/>
        <v>Mid</v>
      </c>
    </row>
    <row r="545" spans="1:41">
      <c r="A545">
        <v>2</v>
      </c>
      <c r="B545" t="str">
        <f t="shared" si="88"/>
        <v>Second Class</v>
      </c>
      <c r="C545">
        <v>0</v>
      </c>
      <c r="E545" t="str">
        <f t="shared" si="89"/>
        <v>Died</v>
      </c>
      <c r="F545" t="s">
        <v>1476</v>
      </c>
      <c r="G545" t="s">
        <v>848</v>
      </c>
      <c r="H545" t="s">
        <v>1052</v>
      </c>
      <c r="I545" t="str">
        <f t="shared" si="90"/>
        <v>Mr. Reeves David</v>
      </c>
      <c r="J545" t="s">
        <v>20</v>
      </c>
      <c r="K545" t="str">
        <f t="shared" si="91"/>
        <v>Male</v>
      </c>
      <c r="L545">
        <v>36</v>
      </c>
      <c r="O545">
        <f t="shared" si="92"/>
        <v>36</v>
      </c>
      <c r="P545">
        <v>0</v>
      </c>
      <c r="R545" s="4">
        <v>0</v>
      </c>
      <c r="T545" s="5">
        <v>10.5</v>
      </c>
      <c r="W545" s="4">
        <v>36</v>
      </c>
      <c r="X545" s="4" t="str">
        <f t="shared" si="93"/>
        <v>Adult</v>
      </c>
      <c r="Y545" s="4" t="s">
        <v>3561</v>
      </c>
      <c r="AB545" s="4" t="str">
        <f t="shared" si="94"/>
        <v/>
      </c>
      <c r="AC545" s="4" t="str">
        <f t="shared" si="95"/>
        <v>Unknown</v>
      </c>
      <c r="AD545" s="4" t="s">
        <v>457</v>
      </c>
      <c r="AG545" s="4" t="str">
        <f t="shared" si="96"/>
        <v>Not Applicable</v>
      </c>
      <c r="AK545" s="4" t="s">
        <v>3573</v>
      </c>
      <c r="AL545" s="4" t="str">
        <f t="shared" si="97"/>
        <v>Found</v>
      </c>
      <c r="AN545" s="6">
        <v>10.5</v>
      </c>
      <c r="AO545" s="4" t="str">
        <f t="shared" si="98"/>
        <v>Mid</v>
      </c>
    </row>
    <row r="546" spans="1:41">
      <c r="A546">
        <v>2</v>
      </c>
      <c r="B546" t="str">
        <f t="shared" si="88"/>
        <v>Second Class</v>
      </c>
      <c r="C546">
        <v>0</v>
      </c>
      <c r="E546" t="str">
        <f t="shared" si="89"/>
        <v>Died</v>
      </c>
      <c r="F546" t="s">
        <v>1477</v>
      </c>
      <c r="G546" t="s">
        <v>848</v>
      </c>
      <c r="H546" t="s">
        <v>987</v>
      </c>
      <c r="I546" t="str">
        <f t="shared" si="90"/>
        <v>Mr. Renouf Peter</v>
      </c>
      <c r="J546" t="s">
        <v>20</v>
      </c>
      <c r="K546" t="str">
        <f t="shared" si="91"/>
        <v>Male</v>
      </c>
      <c r="L546">
        <v>34</v>
      </c>
      <c r="O546">
        <f t="shared" si="92"/>
        <v>34</v>
      </c>
      <c r="P546">
        <v>1</v>
      </c>
      <c r="R546" s="4">
        <v>0</v>
      </c>
      <c r="T546" s="5">
        <v>21</v>
      </c>
      <c r="W546" s="4">
        <v>34</v>
      </c>
      <c r="X546" s="4" t="str">
        <f t="shared" si="93"/>
        <v>Adult</v>
      </c>
      <c r="Y546" s="4" t="s">
        <v>3561</v>
      </c>
      <c r="AB546" s="4" t="str">
        <f t="shared" si="94"/>
        <v/>
      </c>
      <c r="AC546" s="4" t="str">
        <f t="shared" si="95"/>
        <v>Unknown</v>
      </c>
      <c r="AD546" s="4" t="s">
        <v>457</v>
      </c>
      <c r="AF546" s="4">
        <v>12</v>
      </c>
      <c r="AG546" s="4">
        <f t="shared" si="96"/>
        <v>12</v>
      </c>
      <c r="AK546" s="4" t="s">
        <v>3573</v>
      </c>
      <c r="AL546" s="4" t="str">
        <f t="shared" si="97"/>
        <v>Found</v>
      </c>
      <c r="AN546" s="6">
        <v>21</v>
      </c>
      <c r="AO546" s="4" t="str">
        <f t="shared" si="98"/>
        <v>Mid</v>
      </c>
    </row>
    <row r="547" spans="1:41">
      <c r="A547">
        <v>2</v>
      </c>
      <c r="B547" t="str">
        <f t="shared" si="88"/>
        <v>Second Class</v>
      </c>
      <c r="C547">
        <v>1</v>
      </c>
      <c r="E547" t="str">
        <f t="shared" si="89"/>
        <v>Survived</v>
      </c>
      <c r="F547" t="s">
        <v>1477</v>
      </c>
      <c r="G547" t="s">
        <v>849</v>
      </c>
      <c r="H547" t="s">
        <v>987</v>
      </c>
      <c r="I547" t="str">
        <f t="shared" si="90"/>
        <v>Mrs. Renouf Peter</v>
      </c>
      <c r="J547" t="s">
        <v>47</v>
      </c>
      <c r="K547" t="str">
        <f t="shared" si="91"/>
        <v>Female</v>
      </c>
      <c r="L547">
        <v>30</v>
      </c>
      <c r="O547">
        <f t="shared" si="92"/>
        <v>30</v>
      </c>
      <c r="P547">
        <v>3</v>
      </c>
      <c r="R547" s="4">
        <v>0</v>
      </c>
      <c r="T547" s="5">
        <v>21</v>
      </c>
      <c r="W547" s="4">
        <v>30</v>
      </c>
      <c r="X547" s="4" t="str">
        <f t="shared" si="93"/>
        <v>Adult</v>
      </c>
      <c r="Y547" s="4" t="s">
        <v>3561</v>
      </c>
      <c r="AB547" s="4" t="str">
        <f t="shared" si="94"/>
        <v/>
      </c>
      <c r="AC547" s="4" t="str">
        <f t="shared" si="95"/>
        <v>Unknown</v>
      </c>
      <c r="AD547" s="4" t="s">
        <v>457</v>
      </c>
      <c r="AG547" s="4" t="str">
        <f t="shared" si="96"/>
        <v>Not Applicable</v>
      </c>
      <c r="AK547" s="4" t="s">
        <v>3573</v>
      </c>
      <c r="AL547" s="4" t="str">
        <f t="shared" si="97"/>
        <v>Found</v>
      </c>
      <c r="AN547" s="6">
        <v>21</v>
      </c>
      <c r="AO547" s="4" t="str">
        <f t="shared" si="98"/>
        <v>Mid</v>
      </c>
    </row>
    <row r="548" spans="1:41">
      <c r="A548">
        <v>2</v>
      </c>
      <c r="B548" t="str">
        <f t="shared" si="88"/>
        <v>Second Class</v>
      </c>
      <c r="C548">
        <v>1</v>
      </c>
      <c r="E548" t="str">
        <f t="shared" si="89"/>
        <v>Survived</v>
      </c>
      <c r="F548" t="s">
        <v>1478</v>
      </c>
      <c r="G548" t="s">
        <v>1479</v>
      </c>
      <c r="H548" t="s">
        <v>1480</v>
      </c>
      <c r="I548" t="str">
        <f t="shared" si="90"/>
        <v>Ms. Reynaldo Encarnacion</v>
      </c>
      <c r="J548" t="s">
        <v>47</v>
      </c>
      <c r="K548" t="str">
        <f t="shared" si="91"/>
        <v>Female</v>
      </c>
      <c r="L548">
        <v>28</v>
      </c>
      <c r="O548">
        <f t="shared" si="92"/>
        <v>28</v>
      </c>
      <c r="P548">
        <v>0</v>
      </c>
      <c r="R548" s="4">
        <v>0</v>
      </c>
      <c r="T548" s="5">
        <v>13</v>
      </c>
      <c r="W548" s="4">
        <v>28</v>
      </c>
      <c r="X548" s="4" t="str">
        <f t="shared" si="93"/>
        <v>Young Adult</v>
      </c>
      <c r="Y548" s="4" t="s">
        <v>3561</v>
      </c>
      <c r="AB548" s="4" t="str">
        <f t="shared" si="94"/>
        <v/>
      </c>
      <c r="AC548" s="4" t="str">
        <f t="shared" si="95"/>
        <v>Unknown</v>
      </c>
      <c r="AD548" s="4" t="s">
        <v>457</v>
      </c>
      <c r="AF548" s="4">
        <v>9</v>
      </c>
      <c r="AG548" s="4">
        <f t="shared" si="96"/>
        <v>9</v>
      </c>
      <c r="AK548" s="4" t="s">
        <v>3573</v>
      </c>
      <c r="AL548" s="4" t="str">
        <f t="shared" si="97"/>
        <v>Found</v>
      </c>
      <c r="AN548" s="6">
        <v>13</v>
      </c>
      <c r="AO548" s="4" t="str">
        <f t="shared" si="98"/>
        <v>Mid</v>
      </c>
    </row>
    <row r="549" spans="1:41">
      <c r="A549">
        <v>2</v>
      </c>
      <c r="B549" t="str">
        <f t="shared" si="88"/>
        <v>Second Class</v>
      </c>
      <c r="C549">
        <v>0</v>
      </c>
      <c r="E549" t="str">
        <f t="shared" si="89"/>
        <v>Died</v>
      </c>
      <c r="F549" t="s">
        <v>884</v>
      </c>
      <c r="G549" t="s">
        <v>848</v>
      </c>
      <c r="H549" t="s">
        <v>1481</v>
      </c>
      <c r="I549" t="str">
        <f t="shared" si="90"/>
        <v>Mr. Richard Emile</v>
      </c>
      <c r="J549" t="s">
        <v>20</v>
      </c>
      <c r="K549" t="str">
        <f t="shared" si="91"/>
        <v>Male</v>
      </c>
      <c r="L549">
        <v>23</v>
      </c>
      <c r="O549">
        <f t="shared" si="92"/>
        <v>23</v>
      </c>
      <c r="P549">
        <v>0</v>
      </c>
      <c r="R549" s="4">
        <v>0</v>
      </c>
      <c r="T549" s="5">
        <v>15.0458</v>
      </c>
      <c r="W549" s="4">
        <v>23</v>
      </c>
      <c r="X549" s="4" t="str">
        <f t="shared" si="93"/>
        <v>Young Adult</v>
      </c>
      <c r="Y549" s="4" t="s">
        <v>3561</v>
      </c>
      <c r="AB549" s="4" t="str">
        <f t="shared" si="94"/>
        <v/>
      </c>
      <c r="AC549" s="4" t="str">
        <f t="shared" si="95"/>
        <v>Unknown</v>
      </c>
      <c r="AD549" s="4" t="s">
        <v>3566</v>
      </c>
      <c r="AG549" s="4" t="str">
        <f t="shared" si="96"/>
        <v>Not Applicable</v>
      </c>
      <c r="AK549" s="4" t="s">
        <v>3573</v>
      </c>
      <c r="AL549" s="4" t="str">
        <f t="shared" si="97"/>
        <v>Found</v>
      </c>
      <c r="AN549" s="6">
        <v>15.0458</v>
      </c>
      <c r="AO549" s="4" t="str">
        <f t="shared" si="98"/>
        <v>Mid</v>
      </c>
    </row>
    <row r="550" spans="1:41">
      <c r="A550">
        <v>2</v>
      </c>
      <c r="B550" t="str">
        <f t="shared" si="88"/>
        <v>Second Class</v>
      </c>
      <c r="C550">
        <v>1</v>
      </c>
      <c r="E550" t="str">
        <f t="shared" si="89"/>
        <v>Survived</v>
      </c>
      <c r="F550" t="s">
        <v>1482</v>
      </c>
      <c r="G550" t="s">
        <v>845</v>
      </c>
      <c r="H550" t="s">
        <v>912</v>
      </c>
      <c r="I550" t="str">
        <f t="shared" si="90"/>
        <v>Master. Richards George</v>
      </c>
      <c r="J550" t="s">
        <v>20</v>
      </c>
      <c r="K550" t="str">
        <f t="shared" si="91"/>
        <v>Male</v>
      </c>
      <c r="L550">
        <v>0.83330000000000004</v>
      </c>
      <c r="O550">
        <f t="shared" si="92"/>
        <v>1</v>
      </c>
      <c r="P550">
        <v>1</v>
      </c>
      <c r="R550" s="4">
        <v>1</v>
      </c>
      <c r="T550" s="5">
        <v>18.75</v>
      </c>
      <c r="W550" s="4">
        <v>1</v>
      </c>
      <c r="X550" s="4" t="str">
        <f t="shared" si="93"/>
        <v>Child</v>
      </c>
      <c r="Y550" s="4" t="s">
        <v>3561</v>
      </c>
      <c r="AB550" s="4" t="str">
        <f t="shared" si="94"/>
        <v/>
      </c>
      <c r="AC550" s="4" t="str">
        <f t="shared" si="95"/>
        <v>Unknown</v>
      </c>
      <c r="AD550" s="4" t="s">
        <v>457</v>
      </c>
      <c r="AF550" s="4">
        <v>4</v>
      </c>
      <c r="AG550" s="4">
        <f t="shared" si="96"/>
        <v>4</v>
      </c>
      <c r="AK550" s="4" t="s">
        <v>3573</v>
      </c>
      <c r="AL550" s="4" t="str">
        <f t="shared" si="97"/>
        <v>Found</v>
      </c>
      <c r="AN550" s="6">
        <v>18.75</v>
      </c>
      <c r="AO550" s="4" t="str">
        <f t="shared" si="98"/>
        <v>Mid</v>
      </c>
    </row>
    <row r="551" spans="1:41">
      <c r="A551">
        <v>2</v>
      </c>
      <c r="B551" t="str">
        <f t="shared" si="88"/>
        <v>Second Class</v>
      </c>
      <c r="C551">
        <v>1</v>
      </c>
      <c r="E551" t="str">
        <f t="shared" si="89"/>
        <v>Survived</v>
      </c>
      <c r="F551" t="s">
        <v>1482</v>
      </c>
      <c r="G551" t="s">
        <v>845</v>
      </c>
      <c r="H551" t="s">
        <v>924</v>
      </c>
      <c r="I551" t="str">
        <f t="shared" si="90"/>
        <v>Master. Richards William</v>
      </c>
      <c r="J551" t="s">
        <v>20</v>
      </c>
      <c r="K551" t="str">
        <f t="shared" si="91"/>
        <v>Male</v>
      </c>
      <c r="L551">
        <v>3</v>
      </c>
      <c r="O551">
        <f t="shared" si="92"/>
        <v>3</v>
      </c>
      <c r="P551">
        <v>1</v>
      </c>
      <c r="R551" s="4">
        <v>1</v>
      </c>
      <c r="T551" s="5">
        <v>18.75</v>
      </c>
      <c r="W551" s="4">
        <v>3</v>
      </c>
      <c r="X551" s="4" t="str">
        <f t="shared" si="93"/>
        <v>Child</v>
      </c>
      <c r="Y551" s="4" t="s">
        <v>3561</v>
      </c>
      <c r="AB551" s="4" t="str">
        <f t="shared" si="94"/>
        <v/>
      </c>
      <c r="AC551" s="4" t="str">
        <f t="shared" si="95"/>
        <v>Unknown</v>
      </c>
      <c r="AD551" s="4" t="s">
        <v>457</v>
      </c>
      <c r="AF551" s="4">
        <v>4</v>
      </c>
      <c r="AG551" s="4">
        <f t="shared" si="96"/>
        <v>4</v>
      </c>
      <c r="AK551" s="4" t="s">
        <v>3573</v>
      </c>
      <c r="AL551" s="4" t="str">
        <f t="shared" si="97"/>
        <v>Found</v>
      </c>
      <c r="AN551" s="6">
        <v>18.75</v>
      </c>
      <c r="AO551" s="4" t="str">
        <f t="shared" si="98"/>
        <v>Mid</v>
      </c>
    </row>
    <row r="552" spans="1:41">
      <c r="A552">
        <v>2</v>
      </c>
      <c r="B552" t="str">
        <f t="shared" si="88"/>
        <v>Second Class</v>
      </c>
      <c r="C552">
        <v>1</v>
      </c>
      <c r="E552" t="str">
        <f t="shared" si="89"/>
        <v>Survived</v>
      </c>
      <c r="F552" t="s">
        <v>1482</v>
      </c>
      <c r="G552" t="s">
        <v>849</v>
      </c>
      <c r="H552" t="s">
        <v>1317</v>
      </c>
      <c r="I552" t="str">
        <f t="shared" si="90"/>
        <v>Mrs. Richards Sidney</v>
      </c>
      <c r="J552" t="s">
        <v>47</v>
      </c>
      <c r="K552" t="str">
        <f t="shared" si="91"/>
        <v>Female</v>
      </c>
      <c r="L552">
        <v>24</v>
      </c>
      <c r="O552">
        <f t="shared" si="92"/>
        <v>24</v>
      </c>
      <c r="P552">
        <v>2</v>
      </c>
      <c r="R552" s="4">
        <v>3</v>
      </c>
      <c r="T552" s="5">
        <v>18.75</v>
      </c>
      <c r="W552" s="4">
        <v>24</v>
      </c>
      <c r="X552" s="4" t="str">
        <f t="shared" si="93"/>
        <v>Young Adult</v>
      </c>
      <c r="Y552" s="4" t="s">
        <v>3561</v>
      </c>
      <c r="AB552" s="4" t="str">
        <f t="shared" si="94"/>
        <v/>
      </c>
      <c r="AC552" s="4" t="str">
        <f t="shared" si="95"/>
        <v>Unknown</v>
      </c>
      <c r="AD552" s="4" t="s">
        <v>457</v>
      </c>
      <c r="AF552" s="4">
        <v>4</v>
      </c>
      <c r="AG552" s="4">
        <f t="shared" si="96"/>
        <v>4</v>
      </c>
      <c r="AK552" s="4" t="s">
        <v>3573</v>
      </c>
      <c r="AL552" s="4" t="str">
        <f t="shared" si="97"/>
        <v>Found</v>
      </c>
      <c r="AN552" s="6">
        <v>18.75</v>
      </c>
      <c r="AO552" s="4" t="str">
        <f t="shared" si="98"/>
        <v>Mid</v>
      </c>
    </row>
    <row r="553" spans="1:41">
      <c r="A553">
        <v>2</v>
      </c>
      <c r="B553" t="str">
        <f t="shared" si="88"/>
        <v>Second Class</v>
      </c>
      <c r="C553">
        <v>1</v>
      </c>
      <c r="E553" t="str">
        <f t="shared" si="89"/>
        <v>Survived</v>
      </c>
      <c r="F553" t="s">
        <v>1483</v>
      </c>
      <c r="G553" t="s">
        <v>842</v>
      </c>
      <c r="H553" t="s">
        <v>1484</v>
      </c>
      <c r="I553" t="str">
        <f t="shared" si="90"/>
        <v>Miss. Ridsdale Lucy</v>
      </c>
      <c r="J553" t="s">
        <v>47</v>
      </c>
      <c r="K553" t="str">
        <f t="shared" si="91"/>
        <v>Female</v>
      </c>
      <c r="L553">
        <v>50</v>
      </c>
      <c r="O553">
        <f t="shared" si="92"/>
        <v>50</v>
      </c>
      <c r="P553">
        <v>0</v>
      </c>
      <c r="R553" s="4">
        <v>0</v>
      </c>
      <c r="T553" s="5">
        <v>10.5</v>
      </c>
      <c r="W553" s="4">
        <v>50</v>
      </c>
      <c r="X553" s="4" t="str">
        <f t="shared" si="93"/>
        <v>Adult</v>
      </c>
      <c r="Y553" s="4" t="s">
        <v>3561</v>
      </c>
      <c r="AB553" s="4" t="str">
        <f t="shared" si="94"/>
        <v/>
      </c>
      <c r="AC553" s="4" t="str">
        <f t="shared" si="95"/>
        <v>Unknown</v>
      </c>
      <c r="AD553" s="4" t="s">
        <v>457</v>
      </c>
      <c r="AF553" s="4">
        <v>13</v>
      </c>
      <c r="AG553" s="4">
        <f t="shared" si="96"/>
        <v>13</v>
      </c>
      <c r="AK553" s="4" t="s">
        <v>3573</v>
      </c>
      <c r="AL553" s="4" t="str">
        <f t="shared" si="97"/>
        <v>Found</v>
      </c>
      <c r="AN553" s="6">
        <v>10.5</v>
      </c>
      <c r="AO553" s="4" t="str">
        <f t="shared" si="98"/>
        <v>Mid</v>
      </c>
    </row>
    <row r="554" spans="1:41">
      <c r="A554">
        <v>2</v>
      </c>
      <c r="B554" t="str">
        <f t="shared" si="88"/>
        <v>Second Class</v>
      </c>
      <c r="C554">
        <v>0</v>
      </c>
      <c r="E554" t="str">
        <f t="shared" si="89"/>
        <v>Died</v>
      </c>
      <c r="F554" t="s">
        <v>1485</v>
      </c>
      <c r="G554" t="s">
        <v>848</v>
      </c>
      <c r="H554" t="s">
        <v>1300</v>
      </c>
      <c r="I554" t="str">
        <f t="shared" si="90"/>
        <v>Mr. Rogers Reginald</v>
      </c>
      <c r="J554" t="s">
        <v>20</v>
      </c>
      <c r="K554" t="str">
        <f t="shared" si="91"/>
        <v>Male</v>
      </c>
      <c r="L554">
        <v>19</v>
      </c>
      <c r="O554">
        <f t="shared" si="92"/>
        <v>19</v>
      </c>
      <c r="P554">
        <v>0</v>
      </c>
      <c r="R554" s="4">
        <v>0</v>
      </c>
      <c r="T554" s="5">
        <v>10.5</v>
      </c>
      <c r="W554" s="4">
        <v>19</v>
      </c>
      <c r="X554" s="4" t="str">
        <f t="shared" si="93"/>
        <v>Young Adult</v>
      </c>
      <c r="Y554" s="4" t="s">
        <v>3561</v>
      </c>
      <c r="AB554" s="4" t="str">
        <f t="shared" si="94"/>
        <v/>
      </c>
      <c r="AC554" s="4" t="str">
        <f t="shared" si="95"/>
        <v>Unknown</v>
      </c>
      <c r="AD554" s="4" t="s">
        <v>457</v>
      </c>
      <c r="AG554" s="4" t="str">
        <f t="shared" si="96"/>
        <v>Not Applicable</v>
      </c>
      <c r="AK554" s="4" t="s">
        <v>3573</v>
      </c>
      <c r="AL554" s="4" t="str">
        <f t="shared" si="97"/>
        <v>Found</v>
      </c>
      <c r="AN554" s="6">
        <v>10.5</v>
      </c>
      <c r="AO554" s="4" t="str">
        <f t="shared" si="98"/>
        <v>Mid</v>
      </c>
    </row>
    <row r="555" spans="1:41">
      <c r="A555">
        <v>2</v>
      </c>
      <c r="B555" t="str">
        <f t="shared" si="88"/>
        <v>Second Class</v>
      </c>
      <c r="C555">
        <v>1</v>
      </c>
      <c r="E555" t="str">
        <f t="shared" si="89"/>
        <v>Survived</v>
      </c>
      <c r="F555" t="s">
        <v>1486</v>
      </c>
      <c r="G555" t="s">
        <v>842</v>
      </c>
      <c r="H555" t="s">
        <v>1192</v>
      </c>
      <c r="I555" t="str">
        <f t="shared" si="90"/>
        <v>Miss. Rugg Emily</v>
      </c>
      <c r="J555" t="s">
        <v>47</v>
      </c>
      <c r="K555" t="str">
        <f t="shared" si="91"/>
        <v>Female</v>
      </c>
      <c r="L555">
        <v>21</v>
      </c>
      <c r="O555">
        <f t="shared" si="92"/>
        <v>21</v>
      </c>
      <c r="P555">
        <v>0</v>
      </c>
      <c r="R555" s="4">
        <v>0</v>
      </c>
      <c r="T555" s="5">
        <v>10.5</v>
      </c>
      <c r="W555" s="4">
        <v>21</v>
      </c>
      <c r="X555" s="4" t="str">
        <f t="shared" si="93"/>
        <v>Young Adult</v>
      </c>
      <c r="Y555" s="4" t="s">
        <v>3561</v>
      </c>
      <c r="AB555" s="4" t="str">
        <f t="shared" si="94"/>
        <v/>
      </c>
      <c r="AC555" s="4" t="str">
        <f t="shared" si="95"/>
        <v>Unknown</v>
      </c>
      <c r="AD555" s="4" t="s">
        <v>457</v>
      </c>
      <c r="AF555" s="4">
        <v>12</v>
      </c>
      <c r="AG555" s="4">
        <f t="shared" si="96"/>
        <v>12</v>
      </c>
      <c r="AK555" s="4" t="s">
        <v>3573</v>
      </c>
      <c r="AL555" s="4" t="str">
        <f t="shared" si="97"/>
        <v>Found</v>
      </c>
      <c r="AN555" s="6">
        <v>10.5</v>
      </c>
      <c r="AO555" s="4" t="str">
        <f t="shared" si="98"/>
        <v>Mid</v>
      </c>
    </row>
    <row r="556" spans="1:41">
      <c r="A556">
        <v>2</v>
      </c>
      <c r="B556" t="str">
        <f t="shared" si="88"/>
        <v>Second Class</v>
      </c>
      <c r="C556">
        <v>0</v>
      </c>
      <c r="E556" t="str">
        <f t="shared" si="89"/>
        <v>Died</v>
      </c>
      <c r="F556" t="s">
        <v>1487</v>
      </c>
      <c r="G556" t="s">
        <v>848</v>
      </c>
      <c r="H556" t="s">
        <v>1434</v>
      </c>
      <c r="I556" t="str">
        <f t="shared" si="90"/>
        <v>Mr. Schmidt August</v>
      </c>
      <c r="J556" t="s">
        <v>20</v>
      </c>
      <c r="K556" t="str">
        <f t="shared" si="91"/>
        <v>Male</v>
      </c>
      <c r="L556">
        <v>26</v>
      </c>
      <c r="O556">
        <f t="shared" si="92"/>
        <v>26</v>
      </c>
      <c r="P556">
        <v>0</v>
      </c>
      <c r="R556" s="4">
        <v>0</v>
      </c>
      <c r="T556" s="5">
        <v>13</v>
      </c>
      <c r="W556" s="4">
        <v>26</v>
      </c>
      <c r="X556" s="4" t="str">
        <f t="shared" si="93"/>
        <v>Young Adult</v>
      </c>
      <c r="Y556" s="4" t="s">
        <v>3561</v>
      </c>
      <c r="AB556" s="4" t="str">
        <f t="shared" si="94"/>
        <v/>
      </c>
      <c r="AC556" s="4" t="str">
        <f t="shared" si="95"/>
        <v>Unknown</v>
      </c>
      <c r="AD556" s="4" t="s">
        <v>457</v>
      </c>
      <c r="AG556" s="4" t="str">
        <f t="shared" si="96"/>
        <v>Not Applicable</v>
      </c>
      <c r="AK556" s="4" t="s">
        <v>3573</v>
      </c>
      <c r="AL556" s="4" t="str">
        <f t="shared" si="97"/>
        <v>Found</v>
      </c>
      <c r="AN556" s="6">
        <v>13</v>
      </c>
      <c r="AO556" s="4" t="str">
        <f t="shared" si="98"/>
        <v>Mid</v>
      </c>
    </row>
    <row r="557" spans="1:41">
      <c r="A557">
        <v>2</v>
      </c>
      <c r="B557" t="str">
        <f t="shared" si="88"/>
        <v>Second Class</v>
      </c>
      <c r="C557">
        <v>0</v>
      </c>
      <c r="E557" t="str">
        <f t="shared" si="89"/>
        <v>Died</v>
      </c>
      <c r="F557" t="s">
        <v>1488</v>
      </c>
      <c r="G557" t="s">
        <v>848</v>
      </c>
      <c r="H557" t="s">
        <v>1000</v>
      </c>
      <c r="I557" t="str">
        <f t="shared" si="90"/>
        <v>Mr. Sedgwick Charles</v>
      </c>
      <c r="J557" t="s">
        <v>20</v>
      </c>
      <c r="K557" t="str">
        <f t="shared" si="91"/>
        <v>Male</v>
      </c>
      <c r="L557">
        <v>25</v>
      </c>
      <c r="O557">
        <f t="shared" si="92"/>
        <v>25</v>
      </c>
      <c r="P557">
        <v>0</v>
      </c>
      <c r="R557" s="4">
        <v>0</v>
      </c>
      <c r="T557" s="5">
        <v>13</v>
      </c>
      <c r="W557" s="4">
        <v>25</v>
      </c>
      <c r="X557" s="4" t="str">
        <f t="shared" si="93"/>
        <v>Young Adult</v>
      </c>
      <c r="Y557" s="4" t="s">
        <v>3561</v>
      </c>
      <c r="AB557" s="4" t="str">
        <f t="shared" si="94"/>
        <v/>
      </c>
      <c r="AC557" s="4" t="str">
        <f t="shared" si="95"/>
        <v>Unknown</v>
      </c>
      <c r="AD557" s="4" t="s">
        <v>457</v>
      </c>
      <c r="AG557" s="4" t="str">
        <f t="shared" si="96"/>
        <v>Not Applicable</v>
      </c>
      <c r="AK557" s="4" t="s">
        <v>3573</v>
      </c>
      <c r="AL557" s="4" t="str">
        <f t="shared" si="97"/>
        <v>Found</v>
      </c>
      <c r="AN557" s="6">
        <v>13</v>
      </c>
      <c r="AO557" s="4" t="str">
        <f t="shared" si="98"/>
        <v>Mid</v>
      </c>
    </row>
    <row r="558" spans="1:41">
      <c r="A558">
        <v>2</v>
      </c>
      <c r="B558" t="str">
        <f t="shared" si="88"/>
        <v>Second Class</v>
      </c>
      <c r="C558">
        <v>0</v>
      </c>
      <c r="E558" t="str">
        <f t="shared" si="89"/>
        <v>Died</v>
      </c>
      <c r="F558" t="s">
        <v>1489</v>
      </c>
      <c r="G558" t="s">
        <v>848</v>
      </c>
      <c r="H558" t="s">
        <v>1252</v>
      </c>
      <c r="I558" t="str">
        <f t="shared" si="90"/>
        <v>Mr. Sharp Percival</v>
      </c>
      <c r="J558" t="s">
        <v>20</v>
      </c>
      <c r="K558" t="str">
        <f t="shared" si="91"/>
        <v>Male</v>
      </c>
      <c r="L558">
        <v>27</v>
      </c>
      <c r="O558">
        <f t="shared" si="92"/>
        <v>27</v>
      </c>
      <c r="P558">
        <v>0</v>
      </c>
      <c r="R558" s="4">
        <v>0</v>
      </c>
      <c r="T558" s="5">
        <v>26</v>
      </c>
      <c r="W558" s="4">
        <v>27</v>
      </c>
      <c r="X558" s="4" t="str">
        <f t="shared" si="93"/>
        <v>Young Adult</v>
      </c>
      <c r="Y558" s="4" t="s">
        <v>3561</v>
      </c>
      <c r="AB558" s="4" t="str">
        <f t="shared" si="94"/>
        <v/>
      </c>
      <c r="AC558" s="4" t="str">
        <f t="shared" si="95"/>
        <v>Unknown</v>
      </c>
      <c r="AD558" s="4" t="s">
        <v>457</v>
      </c>
      <c r="AG558" s="4" t="str">
        <f t="shared" si="96"/>
        <v>Not Applicable</v>
      </c>
      <c r="AK558" s="4" t="s">
        <v>3573</v>
      </c>
      <c r="AL558" s="4" t="str">
        <f t="shared" si="97"/>
        <v>Found</v>
      </c>
      <c r="AN558" s="6">
        <v>26</v>
      </c>
      <c r="AO558" s="4" t="str">
        <f t="shared" si="98"/>
        <v>Mid</v>
      </c>
    </row>
    <row r="559" spans="1:41">
      <c r="A559">
        <v>2</v>
      </c>
      <c r="B559" t="str">
        <f t="shared" si="88"/>
        <v>Second Class</v>
      </c>
      <c r="C559">
        <v>1</v>
      </c>
      <c r="E559" t="str">
        <f t="shared" si="89"/>
        <v>Survived</v>
      </c>
      <c r="F559" t="s">
        <v>1490</v>
      </c>
      <c r="G559" t="s">
        <v>849</v>
      </c>
      <c r="H559" t="s">
        <v>924</v>
      </c>
      <c r="I559" t="str">
        <f t="shared" si="90"/>
        <v>Mrs. Shelley William</v>
      </c>
      <c r="J559" t="s">
        <v>47</v>
      </c>
      <c r="K559" t="str">
        <f t="shared" si="91"/>
        <v>Female</v>
      </c>
      <c r="L559">
        <v>25</v>
      </c>
      <c r="O559">
        <f t="shared" si="92"/>
        <v>25</v>
      </c>
      <c r="P559">
        <v>0</v>
      </c>
      <c r="R559" s="4">
        <v>1</v>
      </c>
      <c r="T559" s="5">
        <v>26</v>
      </c>
      <c r="W559" s="4">
        <v>25</v>
      </c>
      <c r="X559" s="4" t="str">
        <f t="shared" si="93"/>
        <v>Young Adult</v>
      </c>
      <c r="Y559" s="4" t="s">
        <v>3561</v>
      </c>
      <c r="AB559" s="4" t="str">
        <f t="shared" si="94"/>
        <v/>
      </c>
      <c r="AC559" s="4" t="str">
        <f t="shared" si="95"/>
        <v>Unknown</v>
      </c>
      <c r="AD559" s="4" t="s">
        <v>457</v>
      </c>
      <c r="AF559" s="4">
        <v>12</v>
      </c>
      <c r="AG559" s="4">
        <f t="shared" si="96"/>
        <v>12</v>
      </c>
      <c r="AK559" s="4" t="s">
        <v>3573</v>
      </c>
      <c r="AL559" s="4" t="str">
        <f t="shared" si="97"/>
        <v>Found</v>
      </c>
      <c r="AN559" s="6">
        <v>26</v>
      </c>
      <c r="AO559" s="4" t="str">
        <f t="shared" si="98"/>
        <v>Mid</v>
      </c>
    </row>
    <row r="560" spans="1:41">
      <c r="A560">
        <v>2</v>
      </c>
      <c r="B560" t="str">
        <f t="shared" si="88"/>
        <v>Second Class</v>
      </c>
      <c r="C560">
        <v>1</v>
      </c>
      <c r="E560" t="str">
        <f t="shared" si="89"/>
        <v>Survived</v>
      </c>
      <c r="F560" t="s">
        <v>1491</v>
      </c>
      <c r="G560" t="s">
        <v>842</v>
      </c>
      <c r="H560" t="s">
        <v>1492</v>
      </c>
      <c r="I560" t="str">
        <f t="shared" si="90"/>
        <v>Miss. Silven Lyyli</v>
      </c>
      <c r="J560" t="s">
        <v>47</v>
      </c>
      <c r="K560" t="str">
        <f t="shared" si="91"/>
        <v>Female</v>
      </c>
      <c r="L560">
        <v>18</v>
      </c>
      <c r="O560">
        <f t="shared" si="92"/>
        <v>18</v>
      </c>
      <c r="P560">
        <v>0</v>
      </c>
      <c r="R560" s="4">
        <v>2</v>
      </c>
      <c r="T560" s="5">
        <v>13</v>
      </c>
      <c r="W560" s="4">
        <v>18</v>
      </c>
      <c r="X560" s="4" t="str">
        <f t="shared" si="93"/>
        <v>Young Adult</v>
      </c>
      <c r="Y560" s="4" t="s">
        <v>3561</v>
      </c>
      <c r="AB560" s="4" t="str">
        <f t="shared" si="94"/>
        <v/>
      </c>
      <c r="AC560" s="4" t="str">
        <f t="shared" si="95"/>
        <v>Unknown</v>
      </c>
      <c r="AD560" s="4" t="s">
        <v>457</v>
      </c>
      <c r="AF560" s="4">
        <v>16</v>
      </c>
      <c r="AG560" s="4">
        <f t="shared" si="96"/>
        <v>16</v>
      </c>
      <c r="AK560" s="4" t="s">
        <v>3573</v>
      </c>
      <c r="AL560" s="4" t="str">
        <f t="shared" si="97"/>
        <v>Found</v>
      </c>
      <c r="AN560" s="6">
        <v>13</v>
      </c>
      <c r="AO560" s="4" t="str">
        <f t="shared" si="98"/>
        <v>Mid</v>
      </c>
    </row>
    <row r="561" spans="1:41">
      <c r="A561">
        <v>2</v>
      </c>
      <c r="B561" t="str">
        <f t="shared" si="88"/>
        <v>Second Class</v>
      </c>
      <c r="C561">
        <v>1</v>
      </c>
      <c r="E561" t="str">
        <f t="shared" si="89"/>
        <v>Survived</v>
      </c>
      <c r="F561" t="s">
        <v>1493</v>
      </c>
      <c r="G561" t="s">
        <v>842</v>
      </c>
      <c r="H561" t="s">
        <v>1494</v>
      </c>
      <c r="I561" t="str">
        <f t="shared" si="90"/>
        <v>Miss. Sincock Maude</v>
      </c>
      <c r="J561" t="s">
        <v>47</v>
      </c>
      <c r="K561" t="str">
        <f t="shared" si="91"/>
        <v>Female</v>
      </c>
      <c r="L561">
        <v>20</v>
      </c>
      <c r="O561">
        <f t="shared" si="92"/>
        <v>20</v>
      </c>
      <c r="P561">
        <v>0</v>
      </c>
      <c r="R561" s="4">
        <v>0</v>
      </c>
      <c r="T561" s="5">
        <v>36.75</v>
      </c>
      <c r="W561" s="4">
        <v>20</v>
      </c>
      <c r="X561" s="4" t="str">
        <f t="shared" si="93"/>
        <v>Young Adult</v>
      </c>
      <c r="Y561" s="4" t="s">
        <v>3561</v>
      </c>
      <c r="AB561" s="4" t="str">
        <f t="shared" si="94"/>
        <v/>
      </c>
      <c r="AC561" s="4" t="str">
        <f t="shared" si="95"/>
        <v>Unknown</v>
      </c>
      <c r="AD561" s="4" t="s">
        <v>457</v>
      </c>
      <c r="AF561" s="4">
        <v>11</v>
      </c>
      <c r="AG561" s="4">
        <f t="shared" si="96"/>
        <v>11</v>
      </c>
      <c r="AK561" s="4" t="s">
        <v>3573</v>
      </c>
      <c r="AL561" s="4" t="str">
        <f t="shared" si="97"/>
        <v>Found</v>
      </c>
      <c r="AN561" s="6">
        <v>36.75</v>
      </c>
      <c r="AO561" s="4" t="str">
        <f t="shared" si="98"/>
        <v>Mid</v>
      </c>
    </row>
    <row r="562" spans="1:41">
      <c r="A562">
        <v>2</v>
      </c>
      <c r="B562" t="str">
        <f t="shared" si="88"/>
        <v>Second Class</v>
      </c>
      <c r="C562">
        <v>1</v>
      </c>
      <c r="E562" t="str">
        <f t="shared" si="89"/>
        <v>Survived</v>
      </c>
      <c r="F562" t="s">
        <v>1495</v>
      </c>
      <c r="G562" t="s">
        <v>842</v>
      </c>
      <c r="H562" t="s">
        <v>1247</v>
      </c>
      <c r="I562" t="str">
        <f t="shared" si="90"/>
        <v>Miss. Sinkkonen Anna</v>
      </c>
      <c r="J562" t="s">
        <v>47</v>
      </c>
      <c r="K562" t="str">
        <f t="shared" si="91"/>
        <v>Female</v>
      </c>
      <c r="L562">
        <v>30</v>
      </c>
      <c r="O562">
        <f t="shared" si="92"/>
        <v>30</v>
      </c>
      <c r="P562">
        <v>0</v>
      </c>
      <c r="R562" s="4">
        <v>0</v>
      </c>
      <c r="T562" s="5">
        <v>13</v>
      </c>
      <c r="W562" s="4">
        <v>30</v>
      </c>
      <c r="X562" s="4" t="str">
        <f t="shared" si="93"/>
        <v>Adult</v>
      </c>
      <c r="Y562" s="4" t="s">
        <v>3561</v>
      </c>
      <c r="AB562" s="4" t="str">
        <f t="shared" si="94"/>
        <v/>
      </c>
      <c r="AC562" s="4" t="str">
        <f t="shared" si="95"/>
        <v>Unknown</v>
      </c>
      <c r="AD562" s="4" t="s">
        <v>457</v>
      </c>
      <c r="AF562" s="4">
        <v>10</v>
      </c>
      <c r="AG562" s="4">
        <f t="shared" si="96"/>
        <v>10</v>
      </c>
      <c r="AK562" s="4" t="s">
        <v>3573</v>
      </c>
      <c r="AL562" s="4" t="str">
        <f t="shared" si="97"/>
        <v>Found</v>
      </c>
      <c r="AN562" s="6">
        <v>13</v>
      </c>
      <c r="AO562" s="4" t="str">
        <f t="shared" si="98"/>
        <v>Mid</v>
      </c>
    </row>
    <row r="563" spans="1:41">
      <c r="A563">
        <v>2</v>
      </c>
      <c r="B563" t="str">
        <f t="shared" si="88"/>
        <v>Second Class</v>
      </c>
      <c r="C563">
        <v>0</v>
      </c>
      <c r="E563" t="str">
        <f t="shared" si="89"/>
        <v>Died</v>
      </c>
      <c r="F563" t="s">
        <v>1496</v>
      </c>
      <c r="G563" t="s">
        <v>848</v>
      </c>
      <c r="H563" t="s">
        <v>1497</v>
      </c>
      <c r="I563" t="str">
        <f t="shared" si="90"/>
        <v>Mr. Sjostedt Ernst</v>
      </c>
      <c r="J563" t="s">
        <v>20</v>
      </c>
      <c r="K563" t="str">
        <f t="shared" si="91"/>
        <v>Male</v>
      </c>
      <c r="L563">
        <v>59</v>
      </c>
      <c r="O563">
        <f t="shared" si="92"/>
        <v>59</v>
      </c>
      <c r="P563">
        <v>0</v>
      </c>
      <c r="R563" s="4">
        <v>0</v>
      </c>
      <c r="T563" s="5">
        <v>13.5</v>
      </c>
      <c r="W563" s="4">
        <v>59</v>
      </c>
      <c r="X563" s="4" t="str">
        <f t="shared" si="93"/>
        <v>Adult</v>
      </c>
      <c r="Y563" s="4" t="s">
        <v>3561</v>
      </c>
      <c r="AB563" s="4" t="str">
        <f t="shared" si="94"/>
        <v/>
      </c>
      <c r="AC563" s="4" t="str">
        <f t="shared" si="95"/>
        <v>Unknown</v>
      </c>
      <c r="AD563" s="4" t="s">
        <v>457</v>
      </c>
      <c r="AG563" s="4" t="str">
        <f t="shared" si="96"/>
        <v>Not Applicable</v>
      </c>
      <c r="AK563" s="4" t="s">
        <v>3573</v>
      </c>
      <c r="AL563" s="4" t="str">
        <f t="shared" si="97"/>
        <v>Found</v>
      </c>
      <c r="AN563" s="6">
        <v>13.5</v>
      </c>
      <c r="AO563" s="4" t="str">
        <f t="shared" si="98"/>
        <v>Mid</v>
      </c>
    </row>
    <row r="564" spans="1:41">
      <c r="A564">
        <v>2</v>
      </c>
      <c r="B564" t="str">
        <f t="shared" si="88"/>
        <v>Second Class</v>
      </c>
      <c r="C564">
        <v>1</v>
      </c>
      <c r="E564" t="str">
        <f t="shared" si="89"/>
        <v>Survived</v>
      </c>
      <c r="F564" t="s">
        <v>1499</v>
      </c>
      <c r="G564" t="s">
        <v>842</v>
      </c>
      <c r="H564" t="s">
        <v>1500</v>
      </c>
      <c r="I564" t="str">
        <f t="shared" si="90"/>
        <v>Miss. Slayter Hilda</v>
      </c>
      <c r="J564" t="s">
        <v>47</v>
      </c>
      <c r="K564" t="str">
        <f t="shared" si="91"/>
        <v>Female</v>
      </c>
      <c r="L564">
        <v>30</v>
      </c>
      <c r="O564">
        <f t="shared" si="92"/>
        <v>30</v>
      </c>
      <c r="P564">
        <v>0</v>
      </c>
      <c r="R564" s="4">
        <v>0</v>
      </c>
      <c r="T564" s="5">
        <v>12.35</v>
      </c>
      <c r="W564" s="4">
        <v>30</v>
      </c>
      <c r="X564" s="4" t="str">
        <f t="shared" si="93"/>
        <v>Adult</v>
      </c>
      <c r="Y564" s="4" t="s">
        <v>3561</v>
      </c>
      <c r="AB564" s="4" t="str">
        <f t="shared" si="94"/>
        <v/>
      </c>
      <c r="AC564" s="4" t="str">
        <f t="shared" si="95"/>
        <v>Unknown</v>
      </c>
      <c r="AD564" s="4" t="s">
        <v>3567</v>
      </c>
      <c r="AF564" s="4">
        <v>13</v>
      </c>
      <c r="AG564" s="4">
        <f t="shared" si="96"/>
        <v>13</v>
      </c>
      <c r="AK564" s="4" t="s">
        <v>3573</v>
      </c>
      <c r="AL564" s="4" t="str">
        <f t="shared" si="97"/>
        <v>Found</v>
      </c>
      <c r="AN564" s="6">
        <v>12.35</v>
      </c>
      <c r="AO564" s="4" t="str">
        <f t="shared" si="98"/>
        <v>Mid</v>
      </c>
    </row>
    <row r="565" spans="1:41">
      <c r="A565">
        <v>2</v>
      </c>
      <c r="B565" t="str">
        <f t="shared" si="88"/>
        <v>Second Class</v>
      </c>
      <c r="C565">
        <v>0</v>
      </c>
      <c r="E565" t="str">
        <f t="shared" si="89"/>
        <v>Died</v>
      </c>
      <c r="F565" t="s">
        <v>1501</v>
      </c>
      <c r="G565" t="s">
        <v>848</v>
      </c>
      <c r="H565" t="s">
        <v>884</v>
      </c>
      <c r="I565" t="str">
        <f t="shared" si="90"/>
        <v>Mr. Slemen Richard</v>
      </c>
      <c r="J565" t="s">
        <v>20</v>
      </c>
      <c r="K565" t="str">
        <f t="shared" si="91"/>
        <v>Male</v>
      </c>
      <c r="L565">
        <v>35</v>
      </c>
      <c r="O565">
        <f t="shared" si="92"/>
        <v>35</v>
      </c>
      <c r="P565">
        <v>0</v>
      </c>
      <c r="R565" s="4">
        <v>0</v>
      </c>
      <c r="T565" s="5">
        <v>10.5</v>
      </c>
      <c r="W565" s="4">
        <v>35</v>
      </c>
      <c r="X565" s="4" t="str">
        <f t="shared" si="93"/>
        <v>Adult</v>
      </c>
      <c r="Y565" s="4" t="s">
        <v>3561</v>
      </c>
      <c r="AB565" s="4" t="str">
        <f t="shared" si="94"/>
        <v/>
      </c>
      <c r="AC565" s="4" t="str">
        <f t="shared" si="95"/>
        <v>Unknown</v>
      </c>
      <c r="AD565" s="4" t="s">
        <v>457</v>
      </c>
      <c r="AG565" s="4" t="str">
        <f t="shared" si="96"/>
        <v>Not Applicable</v>
      </c>
      <c r="AK565" s="4" t="s">
        <v>3573</v>
      </c>
      <c r="AL565" s="4" t="str">
        <f t="shared" si="97"/>
        <v>Found</v>
      </c>
      <c r="AN565" s="6">
        <v>10.5</v>
      </c>
      <c r="AO565" s="4" t="str">
        <f t="shared" si="98"/>
        <v>Mid</v>
      </c>
    </row>
    <row r="566" spans="1:41">
      <c r="A566">
        <v>2</v>
      </c>
      <c r="B566" t="str">
        <f t="shared" si="88"/>
        <v>Second Class</v>
      </c>
      <c r="C566">
        <v>1</v>
      </c>
      <c r="E566" t="str">
        <f t="shared" si="89"/>
        <v>Survived</v>
      </c>
      <c r="F566" t="s">
        <v>1216</v>
      </c>
      <c r="G566" t="s">
        <v>842</v>
      </c>
      <c r="H566" t="s">
        <v>1281</v>
      </c>
      <c r="I566" t="str">
        <f t="shared" si="90"/>
        <v>Miss. Smith Marion</v>
      </c>
      <c r="J566" t="s">
        <v>47</v>
      </c>
      <c r="K566" t="str">
        <f t="shared" si="91"/>
        <v>Female</v>
      </c>
      <c r="L566">
        <v>40</v>
      </c>
      <c r="O566">
        <f t="shared" si="92"/>
        <v>40</v>
      </c>
      <c r="P566">
        <v>0</v>
      </c>
      <c r="R566" s="4">
        <v>0</v>
      </c>
      <c r="T566" s="5">
        <v>13</v>
      </c>
      <c r="W566" s="4">
        <v>40</v>
      </c>
      <c r="X566" s="4" t="str">
        <f t="shared" si="93"/>
        <v>Adult</v>
      </c>
      <c r="Y566" s="4" t="s">
        <v>3561</v>
      </c>
      <c r="AB566" s="4" t="str">
        <f t="shared" si="94"/>
        <v/>
      </c>
      <c r="AC566" s="4" t="str">
        <f t="shared" si="95"/>
        <v>Unknown</v>
      </c>
      <c r="AD566" s="4" t="s">
        <v>457</v>
      </c>
      <c r="AF566" s="4">
        <v>9</v>
      </c>
      <c r="AG566" s="4">
        <f t="shared" si="96"/>
        <v>9</v>
      </c>
      <c r="AK566" s="4" t="s">
        <v>3573</v>
      </c>
      <c r="AL566" s="4" t="str">
        <f t="shared" si="97"/>
        <v>Found</v>
      </c>
      <c r="AN566" s="6">
        <v>13</v>
      </c>
      <c r="AO566" s="4" t="str">
        <f t="shared" si="98"/>
        <v>Mid</v>
      </c>
    </row>
    <row r="567" spans="1:41">
      <c r="A567">
        <v>2</v>
      </c>
      <c r="B567" t="str">
        <f t="shared" si="88"/>
        <v>Second Class</v>
      </c>
      <c r="C567">
        <v>0</v>
      </c>
      <c r="E567" t="str">
        <f t="shared" si="89"/>
        <v>Died</v>
      </c>
      <c r="F567" t="s">
        <v>1502</v>
      </c>
      <c r="G567" t="s">
        <v>848</v>
      </c>
      <c r="H567" t="s">
        <v>1046</v>
      </c>
      <c r="I567" t="str">
        <f t="shared" si="90"/>
        <v>Mr. Sobey Samuel</v>
      </c>
      <c r="J567" t="s">
        <v>20</v>
      </c>
      <c r="K567" t="str">
        <f t="shared" si="91"/>
        <v>Male</v>
      </c>
      <c r="L567">
        <v>25</v>
      </c>
      <c r="O567">
        <f t="shared" si="92"/>
        <v>25</v>
      </c>
      <c r="P567">
        <v>0</v>
      </c>
      <c r="R567" s="4">
        <v>0</v>
      </c>
      <c r="T567" s="5">
        <v>13</v>
      </c>
      <c r="W567" s="4">
        <v>25</v>
      </c>
      <c r="X567" s="4" t="str">
        <f t="shared" si="93"/>
        <v>Young Adult</v>
      </c>
      <c r="Y567" s="4" t="s">
        <v>3561</v>
      </c>
      <c r="AB567" s="4" t="str">
        <f t="shared" si="94"/>
        <v/>
      </c>
      <c r="AC567" s="4" t="str">
        <f t="shared" si="95"/>
        <v>Unknown</v>
      </c>
      <c r="AD567" s="4" t="s">
        <v>457</v>
      </c>
      <c r="AG567" s="4" t="str">
        <f t="shared" si="96"/>
        <v>Not Applicable</v>
      </c>
      <c r="AK567" s="4" t="s">
        <v>3573</v>
      </c>
      <c r="AL567" s="4" t="str">
        <f t="shared" si="97"/>
        <v>Found</v>
      </c>
      <c r="AN567" s="6">
        <v>13</v>
      </c>
      <c r="AO567" s="4" t="str">
        <f t="shared" si="98"/>
        <v>Mid</v>
      </c>
    </row>
    <row r="568" spans="1:41">
      <c r="A568">
        <v>2</v>
      </c>
      <c r="B568" t="str">
        <f t="shared" si="88"/>
        <v>Second Class</v>
      </c>
      <c r="C568">
        <v>0</v>
      </c>
      <c r="E568" t="str">
        <f t="shared" si="89"/>
        <v>Died</v>
      </c>
      <c r="F568" t="s">
        <v>1503</v>
      </c>
      <c r="G568" t="s">
        <v>848</v>
      </c>
      <c r="H568" t="s">
        <v>1046</v>
      </c>
      <c r="I568" t="str">
        <f t="shared" si="90"/>
        <v>Mr. Stanton Samuel</v>
      </c>
      <c r="J568" t="s">
        <v>20</v>
      </c>
      <c r="K568" t="str">
        <f t="shared" si="91"/>
        <v>Male</v>
      </c>
      <c r="L568">
        <v>41</v>
      </c>
      <c r="O568">
        <f t="shared" si="92"/>
        <v>41</v>
      </c>
      <c r="P568">
        <v>0</v>
      </c>
      <c r="R568" s="4">
        <v>0</v>
      </c>
      <c r="T568" s="5">
        <v>15.0458</v>
      </c>
      <c r="W568" s="4">
        <v>41</v>
      </c>
      <c r="X568" s="4" t="str">
        <f t="shared" si="93"/>
        <v>Adult</v>
      </c>
      <c r="Y568" s="4" t="s">
        <v>3561</v>
      </c>
      <c r="AB568" s="4" t="str">
        <f t="shared" si="94"/>
        <v/>
      </c>
      <c r="AC568" s="4" t="str">
        <f t="shared" si="95"/>
        <v>Unknown</v>
      </c>
      <c r="AD568" s="4" t="s">
        <v>3566</v>
      </c>
      <c r="AG568" s="4" t="str">
        <f t="shared" si="96"/>
        <v>Not Applicable</v>
      </c>
      <c r="AK568" s="4" t="s">
        <v>3573</v>
      </c>
      <c r="AL568" s="4" t="str">
        <f t="shared" si="97"/>
        <v>Found</v>
      </c>
      <c r="AN568" s="6">
        <v>15.0458</v>
      </c>
      <c r="AO568" s="4" t="str">
        <f t="shared" si="98"/>
        <v>Mid</v>
      </c>
    </row>
    <row r="569" spans="1:41">
      <c r="A569">
        <v>2</v>
      </c>
      <c r="B569" t="str">
        <f t="shared" si="88"/>
        <v>Second Class</v>
      </c>
      <c r="C569">
        <v>0</v>
      </c>
      <c r="E569" t="str">
        <f t="shared" si="89"/>
        <v>Died</v>
      </c>
      <c r="F569" t="s">
        <v>1504</v>
      </c>
      <c r="G569" t="s">
        <v>848</v>
      </c>
      <c r="H569" t="s">
        <v>1217</v>
      </c>
      <c r="I569" t="str">
        <f t="shared" si="90"/>
        <v>Mr. Stokes Philip</v>
      </c>
      <c r="J569" t="s">
        <v>20</v>
      </c>
      <c r="K569" t="str">
        <f t="shared" si="91"/>
        <v>Male</v>
      </c>
      <c r="L569">
        <v>25</v>
      </c>
      <c r="O569">
        <f t="shared" si="92"/>
        <v>25</v>
      </c>
      <c r="P569">
        <v>0</v>
      </c>
      <c r="R569" s="4">
        <v>0</v>
      </c>
      <c r="T569" s="5">
        <v>10.5</v>
      </c>
      <c r="W569" s="4">
        <v>25</v>
      </c>
      <c r="X569" s="4" t="str">
        <f t="shared" si="93"/>
        <v>Young Adult</v>
      </c>
      <c r="Y569" s="4" t="s">
        <v>3561</v>
      </c>
      <c r="AB569" s="4" t="str">
        <f t="shared" si="94"/>
        <v/>
      </c>
      <c r="AC569" s="4" t="str">
        <f t="shared" si="95"/>
        <v>Unknown</v>
      </c>
      <c r="AD569" s="4" t="s">
        <v>457</v>
      </c>
      <c r="AG569" s="4" t="str">
        <f t="shared" si="96"/>
        <v>Not Applicable</v>
      </c>
      <c r="AH569" s="4">
        <v>81</v>
      </c>
      <c r="AK569" s="4">
        <v>81</v>
      </c>
      <c r="AL569" s="4" t="str">
        <f t="shared" si="97"/>
        <v>Found</v>
      </c>
      <c r="AN569" s="6">
        <v>10.5</v>
      </c>
      <c r="AO569" s="4" t="str">
        <f t="shared" si="98"/>
        <v>Mid</v>
      </c>
    </row>
    <row r="570" spans="1:41">
      <c r="A570">
        <v>2</v>
      </c>
      <c r="B570" t="str">
        <f t="shared" si="88"/>
        <v>Second Class</v>
      </c>
      <c r="C570">
        <v>0</v>
      </c>
      <c r="E570" t="str">
        <f t="shared" si="89"/>
        <v>Died</v>
      </c>
      <c r="F570" t="s">
        <v>1505</v>
      </c>
      <c r="G570" t="s">
        <v>848</v>
      </c>
      <c r="H570" t="s">
        <v>912</v>
      </c>
      <c r="I570" t="str">
        <f t="shared" si="90"/>
        <v>Mr. Swane George</v>
      </c>
      <c r="J570" t="s">
        <v>20</v>
      </c>
      <c r="K570" t="str">
        <f t="shared" si="91"/>
        <v>Male</v>
      </c>
      <c r="L570">
        <v>18.5</v>
      </c>
      <c r="O570">
        <f t="shared" si="92"/>
        <v>19</v>
      </c>
      <c r="P570">
        <v>0</v>
      </c>
      <c r="R570" s="4">
        <v>0</v>
      </c>
      <c r="T570" s="5">
        <v>13</v>
      </c>
      <c r="W570" s="4">
        <v>19</v>
      </c>
      <c r="X570" s="4" t="str">
        <f t="shared" si="93"/>
        <v>Young Adult</v>
      </c>
      <c r="Y570" s="4" t="s">
        <v>586</v>
      </c>
      <c r="AA570" s="4" t="s">
        <v>586</v>
      </c>
      <c r="AB570" s="4" t="str">
        <f t="shared" si="94"/>
        <v>F</v>
      </c>
      <c r="AC570" s="4" t="str">
        <f t="shared" si="95"/>
        <v>F</v>
      </c>
      <c r="AD570" s="4" t="s">
        <v>457</v>
      </c>
      <c r="AG570" s="4" t="str">
        <f t="shared" si="96"/>
        <v>Not Applicable</v>
      </c>
      <c r="AH570" s="4">
        <v>294</v>
      </c>
      <c r="AK570" s="4">
        <v>294</v>
      </c>
      <c r="AL570" s="4" t="str">
        <f t="shared" si="97"/>
        <v>Found</v>
      </c>
      <c r="AN570" s="6">
        <v>13</v>
      </c>
      <c r="AO570" s="4" t="str">
        <f t="shared" si="98"/>
        <v>Mid</v>
      </c>
    </row>
    <row r="571" spans="1:41">
      <c r="A571">
        <v>2</v>
      </c>
      <c r="B571" t="str">
        <f t="shared" si="88"/>
        <v>Second Class</v>
      </c>
      <c r="C571">
        <v>0</v>
      </c>
      <c r="E571" t="str">
        <f t="shared" si="89"/>
        <v>Died</v>
      </c>
      <c r="F571" t="s">
        <v>1506</v>
      </c>
      <c r="G571" t="s">
        <v>848</v>
      </c>
      <c r="H571" t="s">
        <v>912</v>
      </c>
      <c r="I571" t="str">
        <f t="shared" si="90"/>
        <v>Mr. Sweet George</v>
      </c>
      <c r="J571" t="s">
        <v>20</v>
      </c>
      <c r="K571" t="str">
        <f t="shared" si="91"/>
        <v>Male</v>
      </c>
      <c r="L571">
        <v>14</v>
      </c>
      <c r="O571">
        <f t="shared" si="92"/>
        <v>14</v>
      </c>
      <c r="P571">
        <v>0</v>
      </c>
      <c r="R571" s="4">
        <v>0</v>
      </c>
      <c r="T571" s="5">
        <v>65</v>
      </c>
      <c r="W571" s="4">
        <v>14</v>
      </c>
      <c r="X571" s="4" t="str">
        <f t="shared" si="93"/>
        <v>Teenager</v>
      </c>
      <c r="Y571" s="4" t="s">
        <v>3561</v>
      </c>
      <c r="AB571" s="4" t="str">
        <f t="shared" si="94"/>
        <v/>
      </c>
      <c r="AC571" s="4" t="str">
        <f t="shared" si="95"/>
        <v>Unknown</v>
      </c>
      <c r="AD571" s="4" t="s">
        <v>457</v>
      </c>
      <c r="AG571" s="4" t="str">
        <f t="shared" si="96"/>
        <v>Not Applicable</v>
      </c>
      <c r="AK571" s="4" t="s">
        <v>3573</v>
      </c>
      <c r="AL571" s="4" t="str">
        <f t="shared" si="97"/>
        <v>Found</v>
      </c>
      <c r="AN571" s="6">
        <v>65</v>
      </c>
      <c r="AO571" s="4" t="str">
        <f t="shared" si="98"/>
        <v>High</v>
      </c>
    </row>
    <row r="572" spans="1:41">
      <c r="A572">
        <v>2</v>
      </c>
      <c r="B572" t="str">
        <f t="shared" si="88"/>
        <v>Second Class</v>
      </c>
      <c r="C572">
        <v>1</v>
      </c>
      <c r="E572" t="str">
        <f t="shared" si="89"/>
        <v>Survived</v>
      </c>
      <c r="F572" t="s">
        <v>1507</v>
      </c>
      <c r="G572" t="s">
        <v>842</v>
      </c>
      <c r="H572" t="s">
        <v>868</v>
      </c>
      <c r="I572" t="str">
        <f t="shared" si="90"/>
        <v>Miss. Toomey Ellen</v>
      </c>
      <c r="J572" t="s">
        <v>47</v>
      </c>
      <c r="K572" t="str">
        <f t="shared" si="91"/>
        <v>Female</v>
      </c>
      <c r="L572">
        <v>50</v>
      </c>
      <c r="O572">
        <f t="shared" si="92"/>
        <v>50</v>
      </c>
      <c r="P572">
        <v>0</v>
      </c>
      <c r="R572" s="4">
        <v>0</v>
      </c>
      <c r="T572" s="5">
        <v>10.5</v>
      </c>
      <c r="W572" s="4">
        <v>50</v>
      </c>
      <c r="X572" s="4" t="str">
        <f t="shared" si="93"/>
        <v>Adult</v>
      </c>
      <c r="Y572" s="4" t="s">
        <v>3561</v>
      </c>
      <c r="AB572" s="4" t="str">
        <f t="shared" si="94"/>
        <v/>
      </c>
      <c r="AC572" s="4" t="str">
        <f t="shared" si="95"/>
        <v>Unknown</v>
      </c>
      <c r="AD572" s="4" t="s">
        <v>457</v>
      </c>
      <c r="AF572" s="4">
        <v>9</v>
      </c>
      <c r="AG572" s="4">
        <f t="shared" si="96"/>
        <v>9</v>
      </c>
      <c r="AK572" s="4" t="s">
        <v>3573</v>
      </c>
      <c r="AL572" s="4" t="str">
        <f t="shared" si="97"/>
        <v>Found</v>
      </c>
      <c r="AN572" s="6">
        <v>10.5</v>
      </c>
      <c r="AO572" s="4" t="str">
        <f t="shared" si="98"/>
        <v>Mid</v>
      </c>
    </row>
    <row r="573" spans="1:41">
      <c r="A573">
        <v>2</v>
      </c>
      <c r="B573" t="str">
        <f t="shared" si="88"/>
        <v>Second Class</v>
      </c>
      <c r="C573">
        <v>0</v>
      </c>
      <c r="E573" t="str">
        <f t="shared" si="89"/>
        <v>Died</v>
      </c>
      <c r="F573" t="s">
        <v>1508</v>
      </c>
      <c r="G573" t="s">
        <v>848</v>
      </c>
      <c r="H573" t="s">
        <v>1509</v>
      </c>
      <c r="I573" t="str">
        <f t="shared" si="90"/>
        <v>Mr. Troupiansky Moses</v>
      </c>
      <c r="J573" t="s">
        <v>20</v>
      </c>
      <c r="K573" t="str">
        <f t="shared" si="91"/>
        <v>Male</v>
      </c>
      <c r="L573">
        <v>23</v>
      </c>
      <c r="O573">
        <f t="shared" si="92"/>
        <v>23</v>
      </c>
      <c r="P573">
        <v>0</v>
      </c>
      <c r="R573" s="4">
        <v>0</v>
      </c>
      <c r="T573" s="5">
        <v>13</v>
      </c>
      <c r="W573" s="4">
        <v>23</v>
      </c>
      <c r="X573" s="4" t="str">
        <f t="shared" si="93"/>
        <v>Young Adult</v>
      </c>
      <c r="Y573" s="4" t="s">
        <v>3561</v>
      </c>
      <c r="AB573" s="4" t="str">
        <f t="shared" si="94"/>
        <v/>
      </c>
      <c r="AC573" s="4" t="str">
        <f t="shared" si="95"/>
        <v>Unknown</v>
      </c>
      <c r="AD573" s="4" t="s">
        <v>457</v>
      </c>
      <c r="AG573" s="4" t="str">
        <f t="shared" si="96"/>
        <v>Not Applicable</v>
      </c>
      <c r="AK573" s="4" t="s">
        <v>3573</v>
      </c>
      <c r="AL573" s="4" t="str">
        <f t="shared" si="97"/>
        <v>Found</v>
      </c>
      <c r="AN573" s="6">
        <v>13</v>
      </c>
      <c r="AO573" s="4" t="str">
        <f t="shared" si="98"/>
        <v>Mid</v>
      </c>
    </row>
    <row r="574" spans="1:41">
      <c r="A574">
        <v>2</v>
      </c>
      <c r="B574" t="str">
        <f t="shared" si="88"/>
        <v>Second Class</v>
      </c>
      <c r="C574">
        <v>1</v>
      </c>
      <c r="E574" t="str">
        <f t="shared" si="89"/>
        <v>Survived</v>
      </c>
      <c r="F574" t="s">
        <v>1511</v>
      </c>
      <c r="G574" t="s">
        <v>849</v>
      </c>
      <c r="H574" t="s">
        <v>924</v>
      </c>
      <c r="I574" t="str">
        <f t="shared" si="90"/>
        <v>Mrs. Trout William</v>
      </c>
      <c r="J574" t="s">
        <v>47</v>
      </c>
      <c r="K574" t="str">
        <f t="shared" si="91"/>
        <v>Female</v>
      </c>
      <c r="L574">
        <v>28</v>
      </c>
      <c r="O574">
        <f t="shared" si="92"/>
        <v>28</v>
      </c>
      <c r="P574">
        <v>0</v>
      </c>
      <c r="R574" s="4">
        <v>0</v>
      </c>
      <c r="T574" s="5">
        <v>12.65</v>
      </c>
      <c r="W574" s="4">
        <v>28</v>
      </c>
      <c r="X574" s="4" t="str">
        <f t="shared" si="93"/>
        <v>Young Adult</v>
      </c>
      <c r="Y574" s="4" t="s">
        <v>3561</v>
      </c>
      <c r="AB574" s="4" t="str">
        <f t="shared" si="94"/>
        <v/>
      </c>
      <c r="AC574" s="4" t="str">
        <f t="shared" si="95"/>
        <v>Unknown</v>
      </c>
      <c r="AD574" s="4" t="s">
        <v>457</v>
      </c>
      <c r="AG574" s="4" t="str">
        <f t="shared" si="96"/>
        <v>Not Applicable</v>
      </c>
      <c r="AK574" s="4" t="s">
        <v>3573</v>
      </c>
      <c r="AL574" s="4" t="str">
        <f t="shared" si="97"/>
        <v>Found</v>
      </c>
      <c r="AN574" s="6">
        <v>12.65</v>
      </c>
      <c r="AO574" s="4" t="str">
        <f t="shared" si="98"/>
        <v>Mid</v>
      </c>
    </row>
    <row r="575" spans="1:41">
      <c r="A575">
        <v>2</v>
      </c>
      <c r="B575" t="str">
        <f t="shared" si="88"/>
        <v>Second Class</v>
      </c>
      <c r="C575">
        <v>1</v>
      </c>
      <c r="E575" t="str">
        <f t="shared" si="89"/>
        <v>Survived</v>
      </c>
      <c r="F575" t="s">
        <v>1512</v>
      </c>
      <c r="G575" t="s">
        <v>842</v>
      </c>
      <c r="H575" t="s">
        <v>1513</v>
      </c>
      <c r="I575" t="str">
        <f t="shared" si="90"/>
        <v>Miss. Troutt Edwina</v>
      </c>
      <c r="J575" t="s">
        <v>47</v>
      </c>
      <c r="K575" t="str">
        <f t="shared" si="91"/>
        <v>Female</v>
      </c>
      <c r="L575">
        <v>27</v>
      </c>
      <c r="O575">
        <f t="shared" si="92"/>
        <v>27</v>
      </c>
      <c r="P575">
        <v>0</v>
      </c>
      <c r="R575" s="4">
        <v>0</v>
      </c>
      <c r="T575" s="5">
        <v>10.5</v>
      </c>
      <c r="W575" s="4">
        <v>27</v>
      </c>
      <c r="X575" s="4" t="str">
        <f t="shared" si="93"/>
        <v>Young Adult</v>
      </c>
      <c r="Y575" s="4" t="s">
        <v>503</v>
      </c>
      <c r="AA575" s="4" t="s">
        <v>503</v>
      </c>
      <c r="AB575" s="4" t="str">
        <f t="shared" si="94"/>
        <v>E</v>
      </c>
      <c r="AC575" s="4" t="str">
        <f t="shared" si="95"/>
        <v>E</v>
      </c>
      <c r="AD575" s="4" t="s">
        <v>457</v>
      </c>
      <c r="AF575" s="4">
        <v>16</v>
      </c>
      <c r="AG575" s="4">
        <f t="shared" si="96"/>
        <v>16</v>
      </c>
      <c r="AK575" s="4" t="s">
        <v>3573</v>
      </c>
      <c r="AL575" s="4" t="str">
        <f t="shared" si="97"/>
        <v>Found</v>
      </c>
      <c r="AN575" s="6">
        <v>10.5</v>
      </c>
      <c r="AO575" s="4" t="str">
        <f t="shared" si="98"/>
        <v>Mid</v>
      </c>
    </row>
    <row r="576" spans="1:41">
      <c r="A576">
        <v>2</v>
      </c>
      <c r="B576" t="str">
        <f t="shared" si="88"/>
        <v>Second Class</v>
      </c>
      <c r="C576">
        <v>0</v>
      </c>
      <c r="E576" t="str">
        <f t="shared" si="89"/>
        <v>Died</v>
      </c>
      <c r="F576" t="s">
        <v>1514</v>
      </c>
      <c r="G576" t="s">
        <v>848</v>
      </c>
      <c r="H576" t="s">
        <v>924</v>
      </c>
      <c r="I576" t="str">
        <f t="shared" si="90"/>
        <v>Mr. Turpin William</v>
      </c>
      <c r="J576" t="s">
        <v>20</v>
      </c>
      <c r="K576" t="str">
        <f t="shared" si="91"/>
        <v>Male</v>
      </c>
      <c r="L576">
        <v>29</v>
      </c>
      <c r="O576">
        <f t="shared" si="92"/>
        <v>29</v>
      </c>
      <c r="P576">
        <v>1</v>
      </c>
      <c r="R576" s="4">
        <v>0</v>
      </c>
      <c r="T576" s="5">
        <v>21</v>
      </c>
      <c r="W576" s="4">
        <v>29</v>
      </c>
      <c r="X576" s="4" t="str">
        <f t="shared" si="93"/>
        <v>Young Adult</v>
      </c>
      <c r="Y576" s="4" t="s">
        <v>3561</v>
      </c>
      <c r="AB576" s="4" t="str">
        <f t="shared" si="94"/>
        <v/>
      </c>
      <c r="AC576" s="4" t="str">
        <f t="shared" si="95"/>
        <v>Unknown</v>
      </c>
      <c r="AD576" s="4" t="s">
        <v>457</v>
      </c>
      <c r="AG576" s="4" t="str">
        <f t="shared" si="96"/>
        <v>Not Applicable</v>
      </c>
      <c r="AK576" s="4" t="s">
        <v>3573</v>
      </c>
      <c r="AL576" s="4" t="str">
        <f t="shared" si="97"/>
        <v>Found</v>
      </c>
      <c r="AN576" s="6">
        <v>21</v>
      </c>
      <c r="AO576" s="4" t="str">
        <f t="shared" si="98"/>
        <v>Mid</v>
      </c>
    </row>
    <row r="577" spans="1:41">
      <c r="A577">
        <v>2</v>
      </c>
      <c r="B577" t="str">
        <f t="shared" si="88"/>
        <v>Second Class</v>
      </c>
      <c r="C577">
        <v>0</v>
      </c>
      <c r="E577" t="str">
        <f t="shared" si="89"/>
        <v>Died</v>
      </c>
      <c r="F577" t="s">
        <v>1514</v>
      </c>
      <c r="G577" t="s">
        <v>849</v>
      </c>
      <c r="H577" t="s">
        <v>924</v>
      </c>
      <c r="I577" t="str">
        <f t="shared" si="90"/>
        <v>Mrs. Turpin William</v>
      </c>
      <c r="J577" t="s">
        <v>47</v>
      </c>
      <c r="K577" t="str">
        <f t="shared" si="91"/>
        <v>Female</v>
      </c>
      <c r="L577">
        <v>27</v>
      </c>
      <c r="O577">
        <f t="shared" si="92"/>
        <v>27</v>
      </c>
      <c r="P577">
        <v>1</v>
      </c>
      <c r="R577" s="4">
        <v>0</v>
      </c>
      <c r="T577" s="5">
        <v>21</v>
      </c>
      <c r="W577" s="4">
        <v>27</v>
      </c>
      <c r="X577" s="4" t="str">
        <f t="shared" si="93"/>
        <v>Young Adult</v>
      </c>
      <c r="Y577" s="4" t="s">
        <v>3561</v>
      </c>
      <c r="AB577" s="4" t="str">
        <f t="shared" si="94"/>
        <v/>
      </c>
      <c r="AC577" s="4" t="str">
        <f t="shared" si="95"/>
        <v>Unknown</v>
      </c>
      <c r="AD577" s="4" t="s">
        <v>457</v>
      </c>
      <c r="AG577" s="4" t="str">
        <f t="shared" si="96"/>
        <v>Not Applicable</v>
      </c>
      <c r="AK577" s="4" t="s">
        <v>3573</v>
      </c>
      <c r="AL577" s="4" t="str">
        <f t="shared" si="97"/>
        <v>Found</v>
      </c>
      <c r="AN577" s="6">
        <v>21</v>
      </c>
      <c r="AO577" s="4" t="str">
        <f t="shared" si="98"/>
        <v>Mid</v>
      </c>
    </row>
    <row r="578" spans="1:41">
      <c r="A578">
        <v>2</v>
      </c>
      <c r="B578" t="str">
        <f t="shared" si="88"/>
        <v>Second Class</v>
      </c>
      <c r="C578">
        <v>0</v>
      </c>
      <c r="E578" t="str">
        <f t="shared" si="89"/>
        <v>Died</v>
      </c>
      <c r="F578" t="s">
        <v>1515</v>
      </c>
      <c r="G578" t="s">
        <v>848</v>
      </c>
      <c r="H578" t="s">
        <v>878</v>
      </c>
      <c r="I578" t="str">
        <f t="shared" si="90"/>
        <v>Mr. Veal James</v>
      </c>
      <c r="J578" t="s">
        <v>20</v>
      </c>
      <c r="K578" t="str">
        <f t="shared" si="91"/>
        <v>Male</v>
      </c>
      <c r="L578">
        <v>40</v>
      </c>
      <c r="O578">
        <f t="shared" si="92"/>
        <v>40</v>
      </c>
      <c r="P578">
        <v>0</v>
      </c>
      <c r="R578" s="4">
        <v>0</v>
      </c>
      <c r="T578" s="5">
        <v>13</v>
      </c>
      <c r="W578" s="4">
        <v>40</v>
      </c>
      <c r="X578" s="4" t="str">
        <f t="shared" si="93"/>
        <v>Adult</v>
      </c>
      <c r="Y578" s="4" t="s">
        <v>3561</v>
      </c>
      <c r="AB578" s="4" t="str">
        <f t="shared" si="94"/>
        <v/>
      </c>
      <c r="AC578" s="4" t="str">
        <f t="shared" si="95"/>
        <v>Unknown</v>
      </c>
      <c r="AD578" s="4" t="s">
        <v>457</v>
      </c>
      <c r="AG578" s="4" t="str">
        <f t="shared" si="96"/>
        <v>Not Applicable</v>
      </c>
      <c r="AK578" s="4" t="s">
        <v>3573</v>
      </c>
      <c r="AL578" s="4" t="str">
        <f t="shared" si="97"/>
        <v>Found</v>
      </c>
      <c r="AN578" s="6">
        <v>13</v>
      </c>
      <c r="AO578" s="4" t="str">
        <f t="shared" si="98"/>
        <v>Mid</v>
      </c>
    </row>
    <row r="579" spans="1:41">
      <c r="A579">
        <v>2</v>
      </c>
      <c r="B579" t="str">
        <f t="shared" ref="B579:B642" si="99">IF(A579=1,"First Class",IF(A579=2,"Second Class",IF(A579=3,"Third Class"," ")))</f>
        <v>Second Class</v>
      </c>
      <c r="C579">
        <v>1</v>
      </c>
      <c r="E579" t="str">
        <f t="shared" ref="E579:E642" si="100">IF(C579=1,"Survived",IF(C579=0,"Died"))</f>
        <v>Survived</v>
      </c>
      <c r="F579" t="s">
        <v>1516</v>
      </c>
      <c r="G579" t="s">
        <v>842</v>
      </c>
      <c r="H579" t="s">
        <v>869</v>
      </c>
      <c r="I579" t="str">
        <f t="shared" ref="I579:I642" si="101">_xlfn.CONCAT(G579," ",F579," ",H579)</f>
        <v>Miss. Walcroft Nellie</v>
      </c>
      <c r="J579" t="s">
        <v>47</v>
      </c>
      <c r="K579" t="str">
        <f t="shared" ref="K579:K642" si="102">PROPER(J579)</f>
        <v>Female</v>
      </c>
      <c r="L579">
        <v>31</v>
      </c>
      <c r="O579">
        <f t="shared" ref="O579:O642" si="103">IF(L579&lt;1,1,ROUND(L579,0))</f>
        <v>31</v>
      </c>
      <c r="P579">
        <v>0</v>
      </c>
      <c r="R579" s="4">
        <v>0</v>
      </c>
      <c r="T579" s="5">
        <v>21</v>
      </c>
      <c r="W579" s="4">
        <v>31</v>
      </c>
      <c r="X579" s="4" t="str">
        <f t="shared" ref="X579:X642" si="104">IF(W579&lt;10,"Child",IF(W579&lt;18,"Teenager",IF(W579&lt;30,"Young Adult",IF(W579&lt;60,"Adult","Old Adult"))))</f>
        <v>Adult</v>
      </c>
      <c r="Y579" s="4" t="s">
        <v>3561</v>
      </c>
      <c r="AB579" s="4" t="str">
        <f t="shared" ref="AB579:AB642" si="105">LEFT(AA579,1)</f>
        <v/>
      </c>
      <c r="AC579" s="4" t="str">
        <f t="shared" ref="AC579:AC642" si="106">IF(AB579="","Unknown",LEFT(AB579,1))</f>
        <v>Unknown</v>
      </c>
      <c r="AD579" s="4" t="s">
        <v>457</v>
      </c>
      <c r="AF579" s="4">
        <v>14</v>
      </c>
      <c r="AG579" s="4">
        <f t="shared" ref="AG579:AG642" si="107">IF(AF579="",IF(E579=1,"Unknown","Not Applicable"),AF579)</f>
        <v>14</v>
      </c>
      <c r="AK579" s="4" t="s">
        <v>3573</v>
      </c>
      <c r="AL579" s="4" t="str">
        <f t="shared" ref="AL579:AL642" si="108">IF(AK579="","Not Found","Found")</f>
        <v>Found</v>
      </c>
      <c r="AN579" s="6">
        <v>21</v>
      </c>
      <c r="AO579" s="4" t="str">
        <f t="shared" ref="AO579:AO642" si="109">IF(AN579&lt;=10,"Low",IF(AN579&lt;=50,"Mid","High"))</f>
        <v>Mid</v>
      </c>
    </row>
    <row r="580" spans="1:41">
      <c r="A580">
        <v>2</v>
      </c>
      <c r="B580" t="str">
        <f t="shared" si="99"/>
        <v>Second Class</v>
      </c>
      <c r="C580">
        <v>0</v>
      </c>
      <c r="E580" t="str">
        <f t="shared" si="100"/>
        <v>Died</v>
      </c>
      <c r="F580" t="s">
        <v>1517</v>
      </c>
      <c r="G580" t="s">
        <v>848</v>
      </c>
      <c r="H580" t="s">
        <v>862</v>
      </c>
      <c r="I580" t="str">
        <f t="shared" si="101"/>
        <v>Mr. Ware John</v>
      </c>
      <c r="J580" t="s">
        <v>20</v>
      </c>
      <c r="K580" t="str">
        <f t="shared" si="102"/>
        <v>Male</v>
      </c>
      <c r="L580">
        <v>30</v>
      </c>
      <c r="O580">
        <f t="shared" si="103"/>
        <v>30</v>
      </c>
      <c r="P580">
        <v>1</v>
      </c>
      <c r="R580" s="4">
        <v>0</v>
      </c>
      <c r="T580" s="5">
        <v>21</v>
      </c>
      <c r="W580" s="4">
        <v>30</v>
      </c>
      <c r="X580" s="4" t="str">
        <f t="shared" si="104"/>
        <v>Adult</v>
      </c>
      <c r="Y580" s="4" t="s">
        <v>3561</v>
      </c>
      <c r="AB580" s="4" t="str">
        <f t="shared" si="105"/>
        <v/>
      </c>
      <c r="AC580" s="4" t="str">
        <f t="shared" si="106"/>
        <v>Unknown</v>
      </c>
      <c r="AD580" s="4" t="s">
        <v>457</v>
      </c>
      <c r="AG580" s="4" t="str">
        <f t="shared" si="107"/>
        <v>Not Applicable</v>
      </c>
      <c r="AK580" s="4" t="s">
        <v>3573</v>
      </c>
      <c r="AL580" s="4" t="str">
        <f t="shared" si="108"/>
        <v>Found</v>
      </c>
      <c r="AN580" s="6">
        <v>21</v>
      </c>
      <c r="AO580" s="4" t="str">
        <f t="shared" si="109"/>
        <v>Mid</v>
      </c>
    </row>
    <row r="581" spans="1:41">
      <c r="A581">
        <v>2</v>
      </c>
      <c r="B581" t="str">
        <f t="shared" si="99"/>
        <v>Second Class</v>
      </c>
      <c r="C581">
        <v>0</v>
      </c>
      <c r="E581" t="str">
        <f t="shared" si="100"/>
        <v>Died</v>
      </c>
      <c r="F581" t="s">
        <v>1517</v>
      </c>
      <c r="G581" t="s">
        <v>848</v>
      </c>
      <c r="H581" t="s">
        <v>924</v>
      </c>
      <c r="I581" t="str">
        <f t="shared" si="101"/>
        <v>Mr. Ware William</v>
      </c>
      <c r="J581" t="s">
        <v>20</v>
      </c>
      <c r="K581" t="str">
        <f t="shared" si="102"/>
        <v>Male</v>
      </c>
      <c r="L581">
        <v>23</v>
      </c>
      <c r="O581">
        <f t="shared" si="103"/>
        <v>23</v>
      </c>
      <c r="P581">
        <v>1</v>
      </c>
      <c r="R581" s="4">
        <v>0</v>
      </c>
      <c r="T581" s="5">
        <v>10.5</v>
      </c>
      <c r="W581" s="4">
        <v>23</v>
      </c>
      <c r="X581" s="4" t="str">
        <f t="shared" si="104"/>
        <v>Young Adult</v>
      </c>
      <c r="Y581" s="4" t="s">
        <v>3561</v>
      </c>
      <c r="AB581" s="4" t="str">
        <f t="shared" si="105"/>
        <v/>
      </c>
      <c r="AC581" s="4" t="str">
        <f t="shared" si="106"/>
        <v>Unknown</v>
      </c>
      <c r="AD581" s="4" t="s">
        <v>457</v>
      </c>
      <c r="AG581" s="4" t="str">
        <f t="shared" si="107"/>
        <v>Not Applicable</v>
      </c>
      <c r="AK581" s="4" t="s">
        <v>3573</v>
      </c>
      <c r="AL581" s="4" t="str">
        <f t="shared" si="108"/>
        <v>Found</v>
      </c>
      <c r="AN581" s="6">
        <v>10.5</v>
      </c>
      <c r="AO581" s="4" t="str">
        <f t="shared" si="109"/>
        <v>Mid</v>
      </c>
    </row>
    <row r="582" spans="1:41">
      <c r="A582">
        <v>2</v>
      </c>
      <c r="B582" t="str">
        <f t="shared" si="99"/>
        <v>Second Class</v>
      </c>
      <c r="C582">
        <v>1</v>
      </c>
      <c r="E582" t="str">
        <f t="shared" si="100"/>
        <v>Survived</v>
      </c>
      <c r="F582" t="s">
        <v>1517</v>
      </c>
      <c r="G582" t="s">
        <v>849</v>
      </c>
      <c r="H582" t="s">
        <v>862</v>
      </c>
      <c r="I582" t="str">
        <f t="shared" si="101"/>
        <v>Mrs. Ware John</v>
      </c>
      <c r="J582" t="s">
        <v>47</v>
      </c>
      <c r="K582" t="str">
        <f t="shared" si="102"/>
        <v>Female</v>
      </c>
      <c r="L582">
        <v>31</v>
      </c>
      <c r="O582">
        <f t="shared" si="103"/>
        <v>31</v>
      </c>
      <c r="P582">
        <v>0</v>
      </c>
      <c r="R582" s="4">
        <v>0</v>
      </c>
      <c r="T582" s="5">
        <v>21</v>
      </c>
      <c r="W582" s="4">
        <v>31</v>
      </c>
      <c r="X582" s="4" t="str">
        <f t="shared" si="104"/>
        <v>Adult</v>
      </c>
      <c r="Y582" s="4" t="s">
        <v>3561</v>
      </c>
      <c r="AB582" s="4" t="str">
        <f t="shared" si="105"/>
        <v/>
      </c>
      <c r="AC582" s="4" t="str">
        <f t="shared" si="106"/>
        <v>Unknown</v>
      </c>
      <c r="AD582" s="4" t="s">
        <v>457</v>
      </c>
      <c r="AF582" s="4">
        <v>10</v>
      </c>
      <c r="AG582" s="4">
        <f t="shared" si="107"/>
        <v>10</v>
      </c>
      <c r="AK582" s="4" t="s">
        <v>3573</v>
      </c>
      <c r="AL582" s="4" t="str">
        <f t="shared" si="108"/>
        <v>Found</v>
      </c>
      <c r="AN582" s="6">
        <v>21</v>
      </c>
      <c r="AO582" s="4" t="str">
        <f t="shared" si="109"/>
        <v>Mid</v>
      </c>
    </row>
    <row r="583" spans="1:41">
      <c r="A583">
        <v>2</v>
      </c>
      <c r="B583" t="str">
        <f t="shared" si="99"/>
        <v>Second Class</v>
      </c>
      <c r="C583">
        <v>0</v>
      </c>
      <c r="E583" t="str">
        <f t="shared" si="100"/>
        <v>Died</v>
      </c>
      <c r="F583" t="s">
        <v>1518</v>
      </c>
      <c r="G583" t="s">
        <v>848</v>
      </c>
      <c r="H583" t="s">
        <v>1519</v>
      </c>
      <c r="I583" t="str">
        <f t="shared" si="101"/>
        <v>Mr. Watson Ennis</v>
      </c>
      <c r="J583" t="s">
        <v>20</v>
      </c>
      <c r="K583" t="str">
        <f t="shared" si="102"/>
        <v>Male</v>
      </c>
      <c r="L583">
        <v>28</v>
      </c>
      <c r="O583">
        <f t="shared" si="103"/>
        <v>28</v>
      </c>
      <c r="P583">
        <v>0</v>
      </c>
      <c r="R583" s="4">
        <v>0</v>
      </c>
      <c r="T583" s="5">
        <v>0</v>
      </c>
      <c r="W583" s="4">
        <v>28</v>
      </c>
      <c r="X583" s="4" t="str">
        <f t="shared" si="104"/>
        <v>Young Adult</v>
      </c>
      <c r="Y583" s="4" t="s">
        <v>3561</v>
      </c>
      <c r="AB583" s="4" t="str">
        <f t="shared" si="105"/>
        <v/>
      </c>
      <c r="AC583" s="4" t="str">
        <f t="shared" si="106"/>
        <v>Unknown</v>
      </c>
      <c r="AD583" s="4" t="s">
        <v>457</v>
      </c>
      <c r="AG583" s="4" t="str">
        <f t="shared" si="107"/>
        <v>Not Applicable</v>
      </c>
      <c r="AK583" s="4" t="s">
        <v>3573</v>
      </c>
      <c r="AL583" s="4" t="str">
        <f t="shared" si="108"/>
        <v>Found</v>
      </c>
      <c r="AN583" s="6">
        <v>0</v>
      </c>
      <c r="AO583" s="4" t="str">
        <f t="shared" si="109"/>
        <v>Low</v>
      </c>
    </row>
    <row r="584" spans="1:41">
      <c r="A584">
        <v>2</v>
      </c>
      <c r="B584" t="str">
        <f t="shared" si="99"/>
        <v>Second Class</v>
      </c>
      <c r="C584">
        <v>1</v>
      </c>
      <c r="E584" t="str">
        <f t="shared" si="100"/>
        <v>Survived</v>
      </c>
      <c r="F584" t="s">
        <v>1520</v>
      </c>
      <c r="G584" t="s">
        <v>842</v>
      </c>
      <c r="H584" t="s">
        <v>1095</v>
      </c>
      <c r="I584" t="str">
        <f t="shared" si="101"/>
        <v>Miss. Watt Bertha</v>
      </c>
      <c r="J584" t="s">
        <v>47</v>
      </c>
      <c r="K584" t="str">
        <f t="shared" si="102"/>
        <v>Female</v>
      </c>
      <c r="L584">
        <v>12</v>
      </c>
      <c r="O584">
        <f t="shared" si="103"/>
        <v>12</v>
      </c>
      <c r="P584">
        <v>0</v>
      </c>
      <c r="R584" s="4">
        <v>0</v>
      </c>
      <c r="T584" s="5">
        <v>15.75</v>
      </c>
      <c r="W584" s="4">
        <v>12</v>
      </c>
      <c r="X584" s="4" t="str">
        <f t="shared" si="104"/>
        <v>Teenager</v>
      </c>
      <c r="Y584" s="4" t="s">
        <v>3561</v>
      </c>
      <c r="AB584" s="4" t="str">
        <f t="shared" si="105"/>
        <v/>
      </c>
      <c r="AC584" s="4" t="str">
        <f t="shared" si="106"/>
        <v>Unknown</v>
      </c>
      <c r="AD584" s="4" t="s">
        <v>457</v>
      </c>
      <c r="AF584" s="4">
        <v>9</v>
      </c>
      <c r="AG584" s="4">
        <f t="shared" si="107"/>
        <v>9</v>
      </c>
      <c r="AK584" s="4" t="s">
        <v>3573</v>
      </c>
      <c r="AL584" s="4" t="str">
        <f t="shared" si="108"/>
        <v>Found</v>
      </c>
      <c r="AN584" s="6">
        <v>15.75</v>
      </c>
      <c r="AO584" s="4" t="str">
        <f t="shared" si="109"/>
        <v>Mid</v>
      </c>
    </row>
    <row r="585" spans="1:41">
      <c r="A585">
        <v>2</v>
      </c>
      <c r="B585" t="str">
        <f t="shared" si="99"/>
        <v>Second Class</v>
      </c>
      <c r="C585">
        <v>1</v>
      </c>
      <c r="E585" t="str">
        <f t="shared" si="100"/>
        <v>Survived</v>
      </c>
      <c r="F585" t="s">
        <v>1520</v>
      </c>
      <c r="G585" t="s">
        <v>849</v>
      </c>
      <c r="H585" t="s">
        <v>878</v>
      </c>
      <c r="I585" t="str">
        <f t="shared" si="101"/>
        <v>Mrs. Watt James</v>
      </c>
      <c r="J585" t="s">
        <v>47</v>
      </c>
      <c r="K585" t="str">
        <f t="shared" si="102"/>
        <v>Female</v>
      </c>
      <c r="L585">
        <v>40</v>
      </c>
      <c r="O585">
        <f t="shared" si="103"/>
        <v>40</v>
      </c>
      <c r="P585">
        <v>0</v>
      </c>
      <c r="R585" s="4">
        <v>0</v>
      </c>
      <c r="T585" s="5">
        <v>15.75</v>
      </c>
      <c r="W585" s="4">
        <v>40</v>
      </c>
      <c r="X585" s="4" t="str">
        <f t="shared" si="104"/>
        <v>Adult</v>
      </c>
      <c r="Y585" s="4" t="s">
        <v>3561</v>
      </c>
      <c r="AB585" s="4" t="str">
        <f t="shared" si="105"/>
        <v/>
      </c>
      <c r="AC585" s="4" t="str">
        <f t="shared" si="106"/>
        <v>Unknown</v>
      </c>
      <c r="AD585" s="4" t="s">
        <v>457</v>
      </c>
      <c r="AF585" s="4">
        <v>9</v>
      </c>
      <c r="AG585" s="4">
        <f t="shared" si="107"/>
        <v>9</v>
      </c>
      <c r="AK585" s="4" t="s">
        <v>3573</v>
      </c>
      <c r="AL585" s="4" t="str">
        <f t="shared" si="108"/>
        <v>Found</v>
      </c>
      <c r="AN585" s="6">
        <v>15.75</v>
      </c>
      <c r="AO585" s="4" t="str">
        <f t="shared" si="109"/>
        <v>Mid</v>
      </c>
    </row>
    <row r="586" spans="1:41">
      <c r="A586">
        <v>2</v>
      </c>
      <c r="B586" t="str">
        <f t="shared" si="99"/>
        <v>Second Class</v>
      </c>
      <c r="C586">
        <v>1</v>
      </c>
      <c r="E586" t="str">
        <f t="shared" si="100"/>
        <v>Survived</v>
      </c>
      <c r="F586" t="s">
        <v>1521</v>
      </c>
      <c r="G586" t="s">
        <v>842</v>
      </c>
      <c r="H586" t="s">
        <v>1193</v>
      </c>
      <c r="I586" t="str">
        <f t="shared" si="101"/>
        <v>Miss. Webber Susan</v>
      </c>
      <c r="J586" t="s">
        <v>47</v>
      </c>
      <c r="K586" t="str">
        <f t="shared" si="102"/>
        <v>Female</v>
      </c>
      <c r="L586">
        <v>32.5</v>
      </c>
      <c r="O586">
        <f t="shared" si="103"/>
        <v>33</v>
      </c>
      <c r="P586">
        <v>0</v>
      </c>
      <c r="R586" s="4">
        <v>0</v>
      </c>
      <c r="T586" s="5">
        <v>13</v>
      </c>
      <c r="W586" s="4">
        <v>33</v>
      </c>
      <c r="X586" s="4" t="str">
        <f t="shared" si="104"/>
        <v>Adult</v>
      </c>
      <c r="Y586" s="4" t="s">
        <v>503</v>
      </c>
      <c r="AA586" s="4" t="s">
        <v>503</v>
      </c>
      <c r="AB586" s="4" t="str">
        <f t="shared" si="105"/>
        <v>E</v>
      </c>
      <c r="AC586" s="4" t="str">
        <f t="shared" si="106"/>
        <v>E</v>
      </c>
      <c r="AD586" s="4" t="s">
        <v>457</v>
      </c>
      <c r="AF586" s="4">
        <v>12</v>
      </c>
      <c r="AG586" s="4">
        <f t="shared" si="107"/>
        <v>12</v>
      </c>
      <c r="AK586" s="4" t="s">
        <v>3573</v>
      </c>
      <c r="AL586" s="4" t="str">
        <f t="shared" si="108"/>
        <v>Found</v>
      </c>
      <c r="AN586" s="6">
        <v>13</v>
      </c>
      <c r="AO586" s="4" t="str">
        <f t="shared" si="109"/>
        <v>Mid</v>
      </c>
    </row>
    <row r="587" spans="1:41">
      <c r="A587">
        <v>2</v>
      </c>
      <c r="B587" t="str">
        <f t="shared" si="99"/>
        <v>Second Class</v>
      </c>
      <c r="C587">
        <v>0</v>
      </c>
      <c r="E587" t="str">
        <f t="shared" si="100"/>
        <v>Died</v>
      </c>
      <c r="F587" t="s">
        <v>1522</v>
      </c>
      <c r="G587" t="s">
        <v>848</v>
      </c>
      <c r="H587" t="s">
        <v>1523</v>
      </c>
      <c r="I587" t="str">
        <f t="shared" si="101"/>
        <v>Mr. Weisz Leopold</v>
      </c>
      <c r="J587" t="s">
        <v>20</v>
      </c>
      <c r="K587" t="str">
        <f t="shared" si="102"/>
        <v>Male</v>
      </c>
      <c r="L587">
        <v>27</v>
      </c>
      <c r="O587">
        <f t="shared" si="103"/>
        <v>27</v>
      </c>
      <c r="P587">
        <v>1</v>
      </c>
      <c r="R587" s="4">
        <v>0</v>
      </c>
      <c r="T587" s="5">
        <v>26</v>
      </c>
      <c r="W587" s="4">
        <v>27</v>
      </c>
      <c r="X587" s="4" t="str">
        <f t="shared" si="104"/>
        <v>Young Adult</v>
      </c>
      <c r="Y587" s="4" t="s">
        <v>3561</v>
      </c>
      <c r="AB587" s="4" t="str">
        <f t="shared" si="105"/>
        <v/>
      </c>
      <c r="AC587" s="4" t="str">
        <f t="shared" si="106"/>
        <v>Unknown</v>
      </c>
      <c r="AD587" s="4" t="s">
        <v>457</v>
      </c>
      <c r="AG587" s="4" t="str">
        <f t="shared" si="107"/>
        <v>Not Applicable</v>
      </c>
      <c r="AH587" s="4">
        <v>293</v>
      </c>
      <c r="AK587" s="4">
        <v>293</v>
      </c>
      <c r="AL587" s="4" t="str">
        <f t="shared" si="108"/>
        <v>Found</v>
      </c>
      <c r="AN587" s="6">
        <v>26</v>
      </c>
      <c r="AO587" s="4" t="str">
        <f t="shared" si="109"/>
        <v>Mid</v>
      </c>
    </row>
    <row r="588" spans="1:41">
      <c r="A588">
        <v>2</v>
      </c>
      <c r="B588" t="str">
        <f t="shared" si="99"/>
        <v>Second Class</v>
      </c>
      <c r="C588">
        <v>1</v>
      </c>
      <c r="E588" t="str">
        <f t="shared" si="100"/>
        <v>Survived</v>
      </c>
      <c r="F588" t="s">
        <v>1522</v>
      </c>
      <c r="G588" t="s">
        <v>849</v>
      </c>
      <c r="H588" t="s">
        <v>1523</v>
      </c>
      <c r="I588" t="str">
        <f t="shared" si="101"/>
        <v>Mrs. Weisz Leopold</v>
      </c>
      <c r="J588" t="s">
        <v>47</v>
      </c>
      <c r="K588" t="str">
        <f t="shared" si="102"/>
        <v>Female</v>
      </c>
      <c r="L588">
        <v>29</v>
      </c>
      <c r="O588">
        <f t="shared" si="103"/>
        <v>29</v>
      </c>
      <c r="P588">
        <v>1</v>
      </c>
      <c r="R588" s="4">
        <v>0</v>
      </c>
      <c r="T588" s="5">
        <v>26</v>
      </c>
      <c r="W588" s="4">
        <v>29</v>
      </c>
      <c r="X588" s="4" t="str">
        <f t="shared" si="104"/>
        <v>Young Adult</v>
      </c>
      <c r="Y588" s="4" t="s">
        <v>3561</v>
      </c>
      <c r="AB588" s="4" t="str">
        <f t="shared" si="105"/>
        <v/>
      </c>
      <c r="AC588" s="4" t="str">
        <f t="shared" si="106"/>
        <v>Unknown</v>
      </c>
      <c r="AD588" s="4" t="s">
        <v>457</v>
      </c>
      <c r="AF588" s="4">
        <v>10</v>
      </c>
      <c r="AG588" s="4">
        <f t="shared" si="107"/>
        <v>10</v>
      </c>
      <c r="AK588" s="4" t="s">
        <v>3573</v>
      </c>
      <c r="AL588" s="4" t="str">
        <f t="shared" si="108"/>
        <v>Found</v>
      </c>
      <c r="AN588" s="6">
        <v>26</v>
      </c>
      <c r="AO588" s="4" t="str">
        <f t="shared" si="109"/>
        <v>Mid</v>
      </c>
    </row>
    <row r="589" spans="1:41">
      <c r="A589">
        <v>2</v>
      </c>
      <c r="B589" t="str">
        <f t="shared" si="99"/>
        <v>Second Class</v>
      </c>
      <c r="C589">
        <v>1</v>
      </c>
      <c r="E589" t="str">
        <f t="shared" si="100"/>
        <v>Survived</v>
      </c>
      <c r="F589" t="s">
        <v>1524</v>
      </c>
      <c r="G589" t="s">
        <v>845</v>
      </c>
      <c r="H589" t="s">
        <v>1361</v>
      </c>
      <c r="I589" t="str">
        <f t="shared" si="101"/>
        <v>Master. Wells Ralph</v>
      </c>
      <c r="J589" t="s">
        <v>20</v>
      </c>
      <c r="K589" t="str">
        <f t="shared" si="102"/>
        <v>Male</v>
      </c>
      <c r="L589">
        <v>2</v>
      </c>
      <c r="O589">
        <f t="shared" si="103"/>
        <v>2</v>
      </c>
      <c r="P589">
        <v>1</v>
      </c>
      <c r="R589" s="4">
        <v>1</v>
      </c>
      <c r="T589" s="5">
        <v>23</v>
      </c>
      <c r="W589" s="4">
        <v>2</v>
      </c>
      <c r="X589" s="4" t="str">
        <f t="shared" si="104"/>
        <v>Child</v>
      </c>
      <c r="Y589" s="4" t="s">
        <v>3561</v>
      </c>
      <c r="AB589" s="4" t="str">
        <f t="shared" si="105"/>
        <v/>
      </c>
      <c r="AC589" s="4" t="str">
        <f t="shared" si="106"/>
        <v>Unknown</v>
      </c>
      <c r="AD589" s="4" t="s">
        <v>457</v>
      </c>
      <c r="AF589" s="4">
        <v>14</v>
      </c>
      <c r="AG589" s="4">
        <f t="shared" si="107"/>
        <v>14</v>
      </c>
      <c r="AK589" s="4" t="s">
        <v>3573</v>
      </c>
      <c r="AL589" s="4" t="str">
        <f t="shared" si="108"/>
        <v>Found</v>
      </c>
      <c r="AN589" s="6">
        <v>23</v>
      </c>
      <c r="AO589" s="4" t="str">
        <f t="shared" si="109"/>
        <v>Mid</v>
      </c>
    </row>
    <row r="590" spans="1:41">
      <c r="A590">
        <v>2</v>
      </c>
      <c r="B590" t="str">
        <f t="shared" si="99"/>
        <v>Second Class</v>
      </c>
      <c r="C590">
        <v>1</v>
      </c>
      <c r="E590" t="str">
        <f t="shared" si="100"/>
        <v>Survived</v>
      </c>
      <c r="F590" t="s">
        <v>1524</v>
      </c>
      <c r="G590" t="s">
        <v>842</v>
      </c>
      <c r="H590" t="s">
        <v>1526</v>
      </c>
      <c r="I590" t="str">
        <f t="shared" si="101"/>
        <v>Miss. Wells Joan</v>
      </c>
      <c r="J590" t="s">
        <v>47</v>
      </c>
      <c r="K590" t="str">
        <f t="shared" si="102"/>
        <v>Female</v>
      </c>
      <c r="L590">
        <v>4</v>
      </c>
      <c r="O590">
        <f t="shared" si="103"/>
        <v>4</v>
      </c>
      <c r="P590">
        <v>1</v>
      </c>
      <c r="R590" s="4">
        <v>1</v>
      </c>
      <c r="T590" s="5">
        <v>23</v>
      </c>
      <c r="W590" s="4">
        <v>4</v>
      </c>
      <c r="X590" s="4" t="str">
        <f t="shared" si="104"/>
        <v>Child</v>
      </c>
      <c r="Y590" s="4" t="s">
        <v>3561</v>
      </c>
      <c r="AB590" s="4" t="str">
        <f t="shared" si="105"/>
        <v/>
      </c>
      <c r="AC590" s="4" t="str">
        <f t="shared" si="106"/>
        <v>Unknown</v>
      </c>
      <c r="AD590" s="4" t="s">
        <v>457</v>
      </c>
      <c r="AF590" s="4">
        <v>14</v>
      </c>
      <c r="AG590" s="4">
        <f t="shared" si="107"/>
        <v>14</v>
      </c>
      <c r="AK590" s="4" t="s">
        <v>3573</v>
      </c>
      <c r="AL590" s="4" t="str">
        <f t="shared" si="108"/>
        <v>Found</v>
      </c>
      <c r="AN590" s="6">
        <v>23</v>
      </c>
      <c r="AO590" s="4" t="str">
        <f t="shared" si="109"/>
        <v>Mid</v>
      </c>
    </row>
    <row r="591" spans="1:41">
      <c r="A591">
        <v>2</v>
      </c>
      <c r="B591" t="str">
        <f t="shared" si="99"/>
        <v>Second Class</v>
      </c>
      <c r="C591">
        <v>1</v>
      </c>
      <c r="E591" t="str">
        <f t="shared" si="100"/>
        <v>Survived</v>
      </c>
      <c r="F591" t="s">
        <v>1524</v>
      </c>
      <c r="G591" t="s">
        <v>849</v>
      </c>
      <c r="H591" t="s">
        <v>913</v>
      </c>
      <c r="I591" t="str">
        <f t="shared" si="101"/>
        <v>Mrs. Wells Arthur</v>
      </c>
      <c r="J591" t="s">
        <v>47</v>
      </c>
      <c r="K591" t="str">
        <f t="shared" si="102"/>
        <v>Female</v>
      </c>
      <c r="L591">
        <v>29</v>
      </c>
      <c r="O591">
        <f t="shared" si="103"/>
        <v>29</v>
      </c>
      <c r="P591">
        <v>0</v>
      </c>
      <c r="R591" s="4">
        <v>2</v>
      </c>
      <c r="T591" s="5">
        <v>23</v>
      </c>
      <c r="W591" s="4">
        <v>29</v>
      </c>
      <c r="X591" s="4" t="str">
        <f t="shared" si="104"/>
        <v>Young Adult</v>
      </c>
      <c r="Y591" s="4" t="s">
        <v>3561</v>
      </c>
      <c r="AB591" s="4" t="str">
        <f t="shared" si="105"/>
        <v/>
      </c>
      <c r="AC591" s="4" t="str">
        <f t="shared" si="106"/>
        <v>Unknown</v>
      </c>
      <c r="AD591" s="4" t="s">
        <v>457</v>
      </c>
      <c r="AF591" s="4">
        <v>14</v>
      </c>
      <c r="AG591" s="4">
        <f t="shared" si="107"/>
        <v>14</v>
      </c>
      <c r="AK591" s="4" t="s">
        <v>3573</v>
      </c>
      <c r="AL591" s="4" t="str">
        <f t="shared" si="108"/>
        <v>Found</v>
      </c>
      <c r="AN591" s="6">
        <v>23</v>
      </c>
      <c r="AO591" s="4" t="str">
        <f t="shared" si="109"/>
        <v>Mid</v>
      </c>
    </row>
    <row r="592" spans="1:41">
      <c r="A592">
        <v>2</v>
      </c>
      <c r="B592" t="str">
        <f t="shared" si="99"/>
        <v>Second Class</v>
      </c>
      <c r="C592">
        <v>1</v>
      </c>
      <c r="E592" t="str">
        <f t="shared" si="100"/>
        <v>Survived</v>
      </c>
      <c r="F592" t="s">
        <v>1527</v>
      </c>
      <c r="G592" t="s">
        <v>842</v>
      </c>
      <c r="H592" t="s">
        <v>1528</v>
      </c>
      <c r="I592" t="str">
        <f t="shared" si="101"/>
        <v>Miss. West Barbara</v>
      </c>
      <c r="J592" t="s">
        <v>47</v>
      </c>
      <c r="K592" t="str">
        <f t="shared" si="102"/>
        <v>Female</v>
      </c>
      <c r="L592">
        <v>0.91669999999999996</v>
      </c>
      <c r="O592">
        <f t="shared" si="103"/>
        <v>1</v>
      </c>
      <c r="P592">
        <v>1</v>
      </c>
      <c r="R592" s="4">
        <v>2</v>
      </c>
      <c r="T592" s="5">
        <v>27.75</v>
      </c>
      <c r="W592" s="4">
        <v>1</v>
      </c>
      <c r="X592" s="4" t="str">
        <f t="shared" si="104"/>
        <v>Child</v>
      </c>
      <c r="Y592" s="4" t="s">
        <v>3561</v>
      </c>
      <c r="AB592" s="4" t="str">
        <f t="shared" si="105"/>
        <v/>
      </c>
      <c r="AC592" s="4" t="str">
        <f t="shared" si="106"/>
        <v>Unknown</v>
      </c>
      <c r="AD592" s="4" t="s">
        <v>457</v>
      </c>
      <c r="AF592" s="4">
        <v>10</v>
      </c>
      <c r="AG592" s="4">
        <f t="shared" si="107"/>
        <v>10</v>
      </c>
      <c r="AK592" s="4" t="s">
        <v>3573</v>
      </c>
      <c r="AL592" s="4" t="str">
        <f t="shared" si="108"/>
        <v>Found</v>
      </c>
      <c r="AN592" s="6">
        <v>27.75</v>
      </c>
      <c r="AO592" s="4" t="str">
        <f t="shared" si="109"/>
        <v>Mid</v>
      </c>
    </row>
    <row r="593" spans="1:41">
      <c r="A593">
        <v>2</v>
      </c>
      <c r="B593" t="str">
        <f t="shared" si="99"/>
        <v>Second Class</v>
      </c>
      <c r="C593">
        <v>1</v>
      </c>
      <c r="E593" t="str">
        <f t="shared" si="100"/>
        <v>Survived</v>
      </c>
      <c r="F593" t="s">
        <v>1527</v>
      </c>
      <c r="G593" t="s">
        <v>842</v>
      </c>
      <c r="H593" t="s">
        <v>954</v>
      </c>
      <c r="I593" t="str">
        <f t="shared" si="101"/>
        <v>Miss. West Constance</v>
      </c>
      <c r="J593" t="s">
        <v>47</v>
      </c>
      <c r="K593" t="str">
        <f t="shared" si="102"/>
        <v>Female</v>
      </c>
      <c r="L593">
        <v>5</v>
      </c>
      <c r="O593">
        <f t="shared" si="103"/>
        <v>5</v>
      </c>
      <c r="P593">
        <v>1</v>
      </c>
      <c r="R593" s="4">
        <v>2</v>
      </c>
      <c r="T593" s="5">
        <v>27.75</v>
      </c>
      <c r="W593" s="4">
        <v>5</v>
      </c>
      <c r="X593" s="4" t="str">
        <f t="shared" si="104"/>
        <v>Child</v>
      </c>
      <c r="Y593" s="4" t="s">
        <v>3561</v>
      </c>
      <c r="AB593" s="4" t="str">
        <f t="shared" si="105"/>
        <v/>
      </c>
      <c r="AC593" s="4" t="str">
        <f t="shared" si="106"/>
        <v>Unknown</v>
      </c>
      <c r="AD593" s="4" t="s">
        <v>457</v>
      </c>
      <c r="AF593" s="4">
        <v>10</v>
      </c>
      <c r="AG593" s="4">
        <f t="shared" si="107"/>
        <v>10</v>
      </c>
      <c r="AK593" s="4" t="s">
        <v>3573</v>
      </c>
      <c r="AL593" s="4" t="str">
        <f t="shared" si="108"/>
        <v>Found</v>
      </c>
      <c r="AN593" s="6">
        <v>27.75</v>
      </c>
      <c r="AO593" s="4" t="str">
        <f t="shared" si="109"/>
        <v>Mid</v>
      </c>
    </row>
    <row r="594" spans="1:41">
      <c r="A594">
        <v>2</v>
      </c>
      <c r="B594" t="str">
        <f t="shared" si="99"/>
        <v>Second Class</v>
      </c>
      <c r="C594">
        <v>0</v>
      </c>
      <c r="E594" t="str">
        <f t="shared" si="100"/>
        <v>Died</v>
      </c>
      <c r="F594" t="s">
        <v>1527</v>
      </c>
      <c r="G594" t="s">
        <v>848</v>
      </c>
      <c r="H594" t="s">
        <v>1529</v>
      </c>
      <c r="I594" t="str">
        <f t="shared" si="101"/>
        <v>Mr. West Edwy</v>
      </c>
      <c r="J594" t="s">
        <v>20</v>
      </c>
      <c r="K594" t="str">
        <f t="shared" si="102"/>
        <v>Male</v>
      </c>
      <c r="L594">
        <v>36</v>
      </c>
      <c r="O594">
        <f t="shared" si="103"/>
        <v>36</v>
      </c>
      <c r="P594">
        <v>1</v>
      </c>
      <c r="R594" s="4">
        <v>2</v>
      </c>
      <c r="T594" s="5">
        <v>27.75</v>
      </c>
      <c r="W594" s="4">
        <v>36</v>
      </c>
      <c r="X594" s="4" t="str">
        <f t="shared" si="104"/>
        <v>Adult</v>
      </c>
      <c r="Y594" s="4" t="s">
        <v>3561</v>
      </c>
      <c r="AB594" s="4" t="str">
        <f t="shared" si="105"/>
        <v/>
      </c>
      <c r="AC594" s="4" t="str">
        <f t="shared" si="106"/>
        <v>Unknown</v>
      </c>
      <c r="AD594" s="4" t="s">
        <v>457</v>
      </c>
      <c r="AG594" s="4" t="str">
        <f t="shared" si="107"/>
        <v>Not Applicable</v>
      </c>
      <c r="AK594" s="4" t="s">
        <v>3573</v>
      </c>
      <c r="AL594" s="4" t="str">
        <f t="shared" si="108"/>
        <v>Found</v>
      </c>
      <c r="AN594" s="6">
        <v>27.75</v>
      </c>
      <c r="AO594" s="4" t="str">
        <f t="shared" si="109"/>
        <v>Mid</v>
      </c>
    </row>
    <row r="595" spans="1:41">
      <c r="A595">
        <v>2</v>
      </c>
      <c r="B595" t="str">
        <f t="shared" si="99"/>
        <v>Second Class</v>
      </c>
      <c r="C595">
        <v>1</v>
      </c>
      <c r="E595" t="str">
        <f t="shared" si="100"/>
        <v>Survived</v>
      </c>
      <c r="F595" t="s">
        <v>1527</v>
      </c>
      <c r="G595" t="s">
        <v>849</v>
      </c>
      <c r="H595" t="s">
        <v>1529</v>
      </c>
      <c r="I595" t="str">
        <f t="shared" si="101"/>
        <v>Mrs. West Edwy</v>
      </c>
      <c r="J595" t="s">
        <v>47</v>
      </c>
      <c r="K595" t="str">
        <f t="shared" si="102"/>
        <v>Female</v>
      </c>
      <c r="L595">
        <v>33</v>
      </c>
      <c r="O595">
        <f t="shared" si="103"/>
        <v>33</v>
      </c>
      <c r="P595">
        <v>1</v>
      </c>
      <c r="R595" s="4">
        <v>2</v>
      </c>
      <c r="T595" s="5">
        <v>27.75</v>
      </c>
      <c r="W595" s="4">
        <v>33</v>
      </c>
      <c r="X595" s="4" t="str">
        <f t="shared" si="104"/>
        <v>Adult</v>
      </c>
      <c r="Y595" s="4" t="s">
        <v>3561</v>
      </c>
      <c r="AB595" s="4" t="str">
        <f t="shared" si="105"/>
        <v/>
      </c>
      <c r="AC595" s="4" t="str">
        <f t="shared" si="106"/>
        <v>Unknown</v>
      </c>
      <c r="AD595" s="4" t="s">
        <v>457</v>
      </c>
      <c r="AF595" s="4">
        <v>10</v>
      </c>
      <c r="AG595" s="4">
        <f t="shared" si="107"/>
        <v>10</v>
      </c>
      <c r="AK595" s="4" t="s">
        <v>3573</v>
      </c>
      <c r="AL595" s="4" t="str">
        <f t="shared" si="108"/>
        <v>Found</v>
      </c>
      <c r="AN595" s="6">
        <v>27.75</v>
      </c>
      <c r="AO595" s="4" t="str">
        <f t="shared" si="109"/>
        <v>Mid</v>
      </c>
    </row>
    <row r="596" spans="1:41">
      <c r="A596">
        <v>2</v>
      </c>
      <c r="B596" t="str">
        <f t="shared" si="99"/>
        <v>Second Class</v>
      </c>
      <c r="C596">
        <v>0</v>
      </c>
      <c r="E596" t="str">
        <f t="shared" si="100"/>
        <v>Died</v>
      </c>
      <c r="F596" t="s">
        <v>1530</v>
      </c>
      <c r="G596" t="s">
        <v>848</v>
      </c>
      <c r="H596" t="s">
        <v>857</v>
      </c>
      <c r="I596" t="str">
        <f t="shared" si="101"/>
        <v>Mr. Wheadon Edward</v>
      </c>
      <c r="J596" t="s">
        <v>20</v>
      </c>
      <c r="K596" t="str">
        <f t="shared" si="102"/>
        <v>Male</v>
      </c>
      <c r="L596">
        <v>66</v>
      </c>
      <c r="O596">
        <f t="shared" si="103"/>
        <v>66</v>
      </c>
      <c r="P596">
        <v>0</v>
      </c>
      <c r="R596" s="4">
        <v>0</v>
      </c>
      <c r="T596" s="5">
        <v>10.5</v>
      </c>
      <c r="W596" s="4">
        <v>66</v>
      </c>
      <c r="X596" s="4" t="str">
        <f t="shared" si="104"/>
        <v>Old Adult</v>
      </c>
      <c r="Y596" s="4" t="s">
        <v>3561</v>
      </c>
      <c r="AB596" s="4" t="str">
        <f t="shared" si="105"/>
        <v/>
      </c>
      <c r="AC596" s="4" t="str">
        <f t="shared" si="106"/>
        <v>Unknown</v>
      </c>
      <c r="AD596" s="4" t="s">
        <v>457</v>
      </c>
      <c r="AG596" s="4" t="str">
        <f t="shared" si="107"/>
        <v>Not Applicable</v>
      </c>
      <c r="AK596" s="4" t="s">
        <v>3573</v>
      </c>
      <c r="AL596" s="4" t="str">
        <f t="shared" si="108"/>
        <v>Found</v>
      </c>
      <c r="AN596" s="6">
        <v>10.5</v>
      </c>
      <c r="AO596" s="4" t="str">
        <f t="shared" si="109"/>
        <v>Mid</v>
      </c>
    </row>
    <row r="597" spans="1:41">
      <c r="A597">
        <v>2</v>
      </c>
      <c r="B597" t="str">
        <f t="shared" si="99"/>
        <v>Second Class</v>
      </c>
      <c r="C597">
        <v>0</v>
      </c>
      <c r="E597" t="str">
        <f t="shared" si="100"/>
        <v>Died</v>
      </c>
      <c r="F597" t="s">
        <v>1531</v>
      </c>
      <c r="G597" t="s">
        <v>848</v>
      </c>
      <c r="H597" t="s">
        <v>1085</v>
      </c>
      <c r="I597" t="str">
        <f t="shared" si="101"/>
        <v>Mr. Wheeler Edwin</v>
      </c>
      <c r="J597" t="s">
        <v>20</v>
      </c>
      <c r="K597" t="str">
        <f t="shared" si="102"/>
        <v>Male</v>
      </c>
      <c r="L597">
        <v>28</v>
      </c>
      <c r="O597">
        <f t="shared" si="103"/>
        <v>28</v>
      </c>
      <c r="P597">
        <v>0</v>
      </c>
      <c r="R597" s="4">
        <v>0</v>
      </c>
      <c r="T597" s="5">
        <v>12.875</v>
      </c>
      <c r="W597" s="4">
        <v>28</v>
      </c>
      <c r="X597" s="4" t="str">
        <f t="shared" si="104"/>
        <v>Young Adult</v>
      </c>
      <c r="Y597" s="4" t="s">
        <v>3561</v>
      </c>
      <c r="AB597" s="4" t="str">
        <f t="shared" si="105"/>
        <v/>
      </c>
      <c r="AC597" s="4" t="str">
        <f t="shared" si="106"/>
        <v>Unknown</v>
      </c>
      <c r="AD597" s="4" t="s">
        <v>457</v>
      </c>
      <c r="AG597" s="4" t="str">
        <f t="shared" si="107"/>
        <v>Not Applicable</v>
      </c>
      <c r="AK597" s="4" t="s">
        <v>3573</v>
      </c>
      <c r="AL597" s="4" t="str">
        <f t="shared" si="108"/>
        <v>Found</v>
      </c>
      <c r="AN597" s="6">
        <v>12.875</v>
      </c>
      <c r="AO597" s="4" t="str">
        <f t="shared" si="109"/>
        <v>Mid</v>
      </c>
    </row>
    <row r="598" spans="1:41">
      <c r="A598">
        <v>2</v>
      </c>
      <c r="B598" t="str">
        <f t="shared" si="99"/>
        <v>Second Class</v>
      </c>
      <c r="C598">
        <v>1</v>
      </c>
      <c r="E598" t="str">
        <f t="shared" si="100"/>
        <v>Survived</v>
      </c>
      <c r="F598" t="s">
        <v>1532</v>
      </c>
      <c r="G598" t="s">
        <v>848</v>
      </c>
      <c r="H598" t="s">
        <v>1000</v>
      </c>
      <c r="I598" t="str">
        <f t="shared" si="101"/>
        <v>Mr. Wilhelms Charles</v>
      </c>
      <c r="J598" t="s">
        <v>20</v>
      </c>
      <c r="K598" t="str">
        <f t="shared" si="102"/>
        <v>Male</v>
      </c>
      <c r="L598">
        <v>31</v>
      </c>
      <c r="O598">
        <f t="shared" si="103"/>
        <v>31</v>
      </c>
      <c r="P598">
        <v>0</v>
      </c>
      <c r="R598" s="4">
        <v>0</v>
      </c>
      <c r="T598" s="5">
        <v>13</v>
      </c>
      <c r="W598" s="4">
        <v>31</v>
      </c>
      <c r="X598" s="4" t="str">
        <f t="shared" si="104"/>
        <v>Adult</v>
      </c>
      <c r="Y598" s="4" t="s">
        <v>3561</v>
      </c>
      <c r="AB598" s="4" t="str">
        <f t="shared" si="105"/>
        <v/>
      </c>
      <c r="AC598" s="4" t="str">
        <f t="shared" si="106"/>
        <v>Unknown</v>
      </c>
      <c r="AD598" s="4" t="s">
        <v>457</v>
      </c>
      <c r="AF598" s="4">
        <v>9</v>
      </c>
      <c r="AG598" s="4">
        <f t="shared" si="107"/>
        <v>9</v>
      </c>
      <c r="AK598" s="4" t="s">
        <v>3573</v>
      </c>
      <c r="AL598" s="4" t="str">
        <f t="shared" si="108"/>
        <v>Found</v>
      </c>
      <c r="AN598" s="6">
        <v>13</v>
      </c>
      <c r="AO598" s="4" t="str">
        <f t="shared" si="109"/>
        <v>Mid</v>
      </c>
    </row>
    <row r="599" spans="1:41">
      <c r="A599">
        <v>2</v>
      </c>
      <c r="B599" t="str">
        <f t="shared" si="99"/>
        <v>Second Class</v>
      </c>
      <c r="C599">
        <v>1</v>
      </c>
      <c r="E599" t="str">
        <f t="shared" si="100"/>
        <v>Survived</v>
      </c>
      <c r="F599" t="s">
        <v>990</v>
      </c>
      <c r="G599" t="s">
        <v>848</v>
      </c>
      <c r="H599" t="s">
        <v>1000</v>
      </c>
      <c r="I599" t="str">
        <f t="shared" si="101"/>
        <v>Mr. Williams Charles</v>
      </c>
      <c r="J599" t="s">
        <v>20</v>
      </c>
      <c r="K599" t="str">
        <f t="shared" si="102"/>
        <v>Male</v>
      </c>
      <c r="L599">
        <v>28</v>
      </c>
      <c r="O599">
        <f t="shared" si="103"/>
        <v>28</v>
      </c>
      <c r="P599">
        <v>0</v>
      </c>
      <c r="R599" s="4">
        <v>0</v>
      </c>
      <c r="T599" s="5">
        <v>13</v>
      </c>
      <c r="W599" s="4">
        <v>28</v>
      </c>
      <c r="X599" s="4" t="str">
        <f t="shared" si="104"/>
        <v>Young Adult</v>
      </c>
      <c r="Y599" s="4" t="s">
        <v>3561</v>
      </c>
      <c r="AB599" s="4" t="str">
        <f t="shared" si="105"/>
        <v/>
      </c>
      <c r="AC599" s="4" t="str">
        <f t="shared" si="106"/>
        <v>Unknown</v>
      </c>
      <c r="AD599" s="4" t="s">
        <v>457</v>
      </c>
      <c r="AF599" s="4">
        <v>14</v>
      </c>
      <c r="AG599" s="4">
        <f t="shared" si="107"/>
        <v>14</v>
      </c>
      <c r="AK599" s="4" t="s">
        <v>3573</v>
      </c>
      <c r="AL599" s="4" t="str">
        <f t="shared" si="108"/>
        <v>Found</v>
      </c>
      <c r="AN599" s="6">
        <v>13</v>
      </c>
      <c r="AO599" s="4" t="str">
        <f t="shared" si="109"/>
        <v>Mid</v>
      </c>
    </row>
    <row r="600" spans="1:41">
      <c r="A600">
        <v>2</v>
      </c>
      <c r="B600" t="str">
        <f t="shared" si="99"/>
        <v>Second Class</v>
      </c>
      <c r="C600">
        <v>1</v>
      </c>
      <c r="E600" t="str">
        <f t="shared" si="100"/>
        <v>Survived</v>
      </c>
      <c r="F600" t="s">
        <v>1260</v>
      </c>
      <c r="G600" t="s">
        <v>842</v>
      </c>
      <c r="H600" t="s">
        <v>1281</v>
      </c>
      <c r="I600" t="str">
        <f t="shared" si="101"/>
        <v>Miss. Wright Marion</v>
      </c>
      <c r="J600" t="s">
        <v>47</v>
      </c>
      <c r="K600" t="str">
        <f t="shared" si="102"/>
        <v>Female</v>
      </c>
      <c r="L600">
        <v>26</v>
      </c>
      <c r="O600">
        <f t="shared" si="103"/>
        <v>26</v>
      </c>
      <c r="P600">
        <v>0</v>
      </c>
      <c r="R600" s="4">
        <v>0</v>
      </c>
      <c r="T600" s="5">
        <v>13.5</v>
      </c>
      <c r="W600" s="4">
        <v>26</v>
      </c>
      <c r="X600" s="4" t="str">
        <f t="shared" si="104"/>
        <v>Young Adult</v>
      </c>
      <c r="Y600" s="4" t="s">
        <v>3561</v>
      </c>
      <c r="AB600" s="4" t="str">
        <f t="shared" si="105"/>
        <v/>
      </c>
      <c r="AC600" s="4" t="str">
        <f t="shared" si="106"/>
        <v>Unknown</v>
      </c>
      <c r="AD600" s="4" t="s">
        <v>457</v>
      </c>
      <c r="AF600" s="4">
        <v>9</v>
      </c>
      <c r="AG600" s="4">
        <f t="shared" si="107"/>
        <v>9</v>
      </c>
      <c r="AK600" s="4" t="s">
        <v>3573</v>
      </c>
      <c r="AL600" s="4" t="str">
        <f t="shared" si="108"/>
        <v>Found</v>
      </c>
      <c r="AN600" s="6">
        <v>13.5</v>
      </c>
      <c r="AO600" s="4" t="str">
        <f t="shared" si="109"/>
        <v>Mid</v>
      </c>
    </row>
    <row r="601" spans="1:41">
      <c r="A601">
        <v>2</v>
      </c>
      <c r="B601" t="str">
        <f t="shared" si="99"/>
        <v>Second Class</v>
      </c>
      <c r="C601">
        <v>0</v>
      </c>
      <c r="E601" t="str">
        <f t="shared" si="100"/>
        <v>Died</v>
      </c>
      <c r="F601" t="s">
        <v>1534</v>
      </c>
      <c r="G601" t="s">
        <v>842</v>
      </c>
      <c r="H601" t="s">
        <v>1535</v>
      </c>
      <c r="I601" t="str">
        <f t="shared" si="101"/>
        <v>Miss. Yrois Henriette</v>
      </c>
      <c r="J601" t="s">
        <v>47</v>
      </c>
      <c r="K601" t="str">
        <f t="shared" si="102"/>
        <v>Female</v>
      </c>
      <c r="L601">
        <v>24</v>
      </c>
      <c r="O601">
        <f t="shared" si="103"/>
        <v>24</v>
      </c>
      <c r="P601">
        <v>0</v>
      </c>
      <c r="R601" s="4">
        <v>0</v>
      </c>
      <c r="T601" s="5">
        <v>13</v>
      </c>
      <c r="W601" s="4">
        <v>24</v>
      </c>
      <c r="X601" s="4" t="str">
        <f t="shared" si="104"/>
        <v>Young Adult</v>
      </c>
      <c r="Y601" s="4" t="s">
        <v>3561</v>
      </c>
      <c r="AB601" s="4" t="str">
        <f t="shared" si="105"/>
        <v/>
      </c>
      <c r="AC601" s="4" t="str">
        <f t="shared" si="106"/>
        <v>Unknown</v>
      </c>
      <c r="AD601" s="4" t="s">
        <v>457</v>
      </c>
      <c r="AG601" s="4" t="str">
        <f t="shared" si="107"/>
        <v>Not Applicable</v>
      </c>
      <c r="AK601" s="4" t="s">
        <v>3573</v>
      </c>
      <c r="AL601" s="4" t="str">
        <f t="shared" si="108"/>
        <v>Found</v>
      </c>
      <c r="AN601" s="6">
        <v>13</v>
      </c>
      <c r="AO601" s="4" t="str">
        <f t="shared" si="109"/>
        <v>Mid</v>
      </c>
    </row>
    <row r="602" spans="1:41">
      <c r="A602">
        <v>3</v>
      </c>
      <c r="B602" t="str">
        <f t="shared" si="99"/>
        <v>Third Class</v>
      </c>
      <c r="C602">
        <v>0</v>
      </c>
      <c r="E602" t="str">
        <f t="shared" si="100"/>
        <v>Died</v>
      </c>
      <c r="F602" t="s">
        <v>1536</v>
      </c>
      <c r="G602" t="s">
        <v>848</v>
      </c>
      <c r="H602" t="s">
        <v>1352</v>
      </c>
      <c r="I602" t="str">
        <f t="shared" si="101"/>
        <v>Mr. Abbing Anthony</v>
      </c>
      <c r="J602" t="s">
        <v>20</v>
      </c>
      <c r="K602" t="str">
        <f t="shared" si="102"/>
        <v>Male</v>
      </c>
      <c r="L602">
        <v>42</v>
      </c>
      <c r="O602">
        <f t="shared" si="103"/>
        <v>42</v>
      </c>
      <c r="P602">
        <v>0</v>
      </c>
      <c r="R602" s="4">
        <v>0</v>
      </c>
      <c r="T602" s="5">
        <v>7.55</v>
      </c>
      <c r="W602" s="4">
        <v>42</v>
      </c>
      <c r="X602" s="4" t="str">
        <f t="shared" si="104"/>
        <v>Adult</v>
      </c>
      <c r="Y602" s="4" t="s">
        <v>3561</v>
      </c>
      <c r="AB602" s="4" t="str">
        <f t="shared" si="105"/>
        <v/>
      </c>
      <c r="AC602" s="4" t="str">
        <f t="shared" si="106"/>
        <v>Unknown</v>
      </c>
      <c r="AD602" s="4" t="s">
        <v>457</v>
      </c>
      <c r="AG602" s="4" t="str">
        <f t="shared" si="107"/>
        <v>Not Applicable</v>
      </c>
      <c r="AK602" s="4" t="s">
        <v>3573</v>
      </c>
      <c r="AL602" s="4" t="str">
        <f t="shared" si="108"/>
        <v>Found</v>
      </c>
      <c r="AN602" s="6">
        <v>7.55</v>
      </c>
      <c r="AO602" s="4" t="str">
        <f t="shared" si="109"/>
        <v>Low</v>
      </c>
    </row>
    <row r="603" spans="1:41">
      <c r="A603">
        <v>3</v>
      </c>
      <c r="B603" t="str">
        <f t="shared" si="99"/>
        <v>Third Class</v>
      </c>
      <c r="C603">
        <v>0</v>
      </c>
      <c r="E603" t="str">
        <f t="shared" si="100"/>
        <v>Died</v>
      </c>
      <c r="F603" t="s">
        <v>1537</v>
      </c>
      <c r="G603" t="s">
        <v>845</v>
      </c>
      <c r="H603" t="s">
        <v>1533</v>
      </c>
      <c r="I603" t="str">
        <f t="shared" si="101"/>
        <v>Master. Abbott Eugene</v>
      </c>
      <c r="J603" t="s">
        <v>20</v>
      </c>
      <c r="K603" t="str">
        <f t="shared" si="102"/>
        <v>Male</v>
      </c>
      <c r="L603">
        <v>13</v>
      </c>
      <c r="O603">
        <f t="shared" si="103"/>
        <v>13</v>
      </c>
      <c r="P603">
        <v>0</v>
      </c>
      <c r="R603" s="4">
        <v>2</v>
      </c>
      <c r="T603" s="5">
        <v>20.25</v>
      </c>
      <c r="W603" s="4">
        <v>13</v>
      </c>
      <c r="X603" s="4" t="str">
        <f t="shared" si="104"/>
        <v>Teenager</v>
      </c>
      <c r="Y603" s="4" t="s">
        <v>3561</v>
      </c>
      <c r="AB603" s="4" t="str">
        <f t="shared" si="105"/>
        <v/>
      </c>
      <c r="AC603" s="4" t="str">
        <f t="shared" si="106"/>
        <v>Unknown</v>
      </c>
      <c r="AD603" s="4" t="s">
        <v>457</v>
      </c>
      <c r="AG603" s="4" t="str">
        <f t="shared" si="107"/>
        <v>Not Applicable</v>
      </c>
      <c r="AK603" s="4" t="s">
        <v>3573</v>
      </c>
      <c r="AL603" s="4" t="str">
        <f t="shared" si="108"/>
        <v>Found</v>
      </c>
      <c r="AN603" s="6">
        <v>20.25</v>
      </c>
      <c r="AO603" s="4" t="str">
        <f t="shared" si="109"/>
        <v>Mid</v>
      </c>
    </row>
    <row r="604" spans="1:41">
      <c r="A604">
        <v>3</v>
      </c>
      <c r="B604" t="str">
        <f t="shared" si="99"/>
        <v>Third Class</v>
      </c>
      <c r="C604">
        <v>0</v>
      </c>
      <c r="E604" t="str">
        <f t="shared" si="100"/>
        <v>Died</v>
      </c>
      <c r="F604" t="s">
        <v>1537</v>
      </c>
      <c r="G604" t="s">
        <v>848</v>
      </c>
      <c r="H604" t="s">
        <v>1538</v>
      </c>
      <c r="I604" t="str">
        <f t="shared" si="101"/>
        <v>Mr. Abbott Rossmore</v>
      </c>
      <c r="J604" t="s">
        <v>20</v>
      </c>
      <c r="K604" t="str">
        <f t="shared" si="102"/>
        <v>Male</v>
      </c>
      <c r="L604">
        <v>16</v>
      </c>
      <c r="O604">
        <f t="shared" si="103"/>
        <v>16</v>
      </c>
      <c r="P604">
        <v>1</v>
      </c>
      <c r="R604" s="4">
        <v>1</v>
      </c>
      <c r="T604" s="5">
        <v>20.25</v>
      </c>
      <c r="W604" s="4">
        <v>16</v>
      </c>
      <c r="X604" s="4" t="str">
        <f t="shared" si="104"/>
        <v>Teenager</v>
      </c>
      <c r="Y604" s="4" t="s">
        <v>3561</v>
      </c>
      <c r="AB604" s="4" t="str">
        <f t="shared" si="105"/>
        <v/>
      </c>
      <c r="AC604" s="4" t="str">
        <f t="shared" si="106"/>
        <v>Unknown</v>
      </c>
      <c r="AD604" s="4" t="s">
        <v>457</v>
      </c>
      <c r="AG604" s="4" t="str">
        <f t="shared" si="107"/>
        <v>Not Applicable</v>
      </c>
      <c r="AH604" s="4">
        <v>190</v>
      </c>
      <c r="AK604" s="4">
        <v>190</v>
      </c>
      <c r="AL604" s="4" t="str">
        <f t="shared" si="108"/>
        <v>Found</v>
      </c>
      <c r="AN604" s="6">
        <v>20.25</v>
      </c>
      <c r="AO604" s="4" t="str">
        <f t="shared" si="109"/>
        <v>Mid</v>
      </c>
    </row>
    <row r="605" spans="1:41">
      <c r="A605">
        <v>3</v>
      </c>
      <c r="B605" t="str">
        <f t="shared" si="99"/>
        <v>Third Class</v>
      </c>
      <c r="C605">
        <v>1</v>
      </c>
      <c r="E605" t="str">
        <f t="shared" si="100"/>
        <v>Survived</v>
      </c>
      <c r="F605" t="s">
        <v>1537</v>
      </c>
      <c r="G605" t="s">
        <v>849</v>
      </c>
      <c r="H605" t="s">
        <v>1503</v>
      </c>
      <c r="I605" t="str">
        <f t="shared" si="101"/>
        <v>Mrs. Abbott Stanton</v>
      </c>
      <c r="J605" t="s">
        <v>47</v>
      </c>
      <c r="K605" t="str">
        <f t="shared" si="102"/>
        <v>Female</v>
      </c>
      <c r="L605">
        <v>35</v>
      </c>
      <c r="O605">
        <f t="shared" si="103"/>
        <v>35</v>
      </c>
      <c r="P605">
        <v>1</v>
      </c>
      <c r="R605" s="4">
        <v>1</v>
      </c>
      <c r="T605" s="5">
        <v>20.25</v>
      </c>
      <c r="W605" s="4">
        <v>35</v>
      </c>
      <c r="X605" s="4" t="str">
        <f t="shared" si="104"/>
        <v>Adult</v>
      </c>
      <c r="Y605" s="4" t="s">
        <v>3561</v>
      </c>
      <c r="AB605" s="4" t="str">
        <f t="shared" si="105"/>
        <v/>
      </c>
      <c r="AC605" s="4" t="str">
        <f t="shared" si="106"/>
        <v>Unknown</v>
      </c>
      <c r="AD605" s="4" t="s">
        <v>457</v>
      </c>
      <c r="AF605" s="4" t="s">
        <v>78</v>
      </c>
      <c r="AG605" s="4" t="str">
        <f t="shared" si="107"/>
        <v>A</v>
      </c>
      <c r="AK605" s="4" t="s">
        <v>3573</v>
      </c>
      <c r="AL605" s="4" t="str">
        <f t="shared" si="108"/>
        <v>Found</v>
      </c>
      <c r="AN605" s="6">
        <v>20.25</v>
      </c>
      <c r="AO605" s="4" t="str">
        <f t="shared" si="109"/>
        <v>Mid</v>
      </c>
    </row>
    <row r="606" spans="1:41">
      <c r="A606">
        <v>3</v>
      </c>
      <c r="B606" t="str">
        <f t="shared" si="99"/>
        <v>Third Class</v>
      </c>
      <c r="C606">
        <v>1</v>
      </c>
      <c r="E606" t="str">
        <f t="shared" si="100"/>
        <v>Survived</v>
      </c>
      <c r="F606" t="s">
        <v>1539</v>
      </c>
      <c r="G606" t="s">
        <v>842</v>
      </c>
      <c r="H606" t="s">
        <v>1540</v>
      </c>
      <c r="I606" t="str">
        <f t="shared" si="101"/>
        <v>Miss. Abelseth Karen</v>
      </c>
      <c r="J606" t="s">
        <v>47</v>
      </c>
      <c r="K606" t="str">
        <f t="shared" si="102"/>
        <v>Female</v>
      </c>
      <c r="L606">
        <v>16</v>
      </c>
      <c r="O606">
        <f t="shared" si="103"/>
        <v>16</v>
      </c>
      <c r="P606">
        <v>0</v>
      </c>
      <c r="R606" s="4">
        <v>0</v>
      </c>
      <c r="T606" s="5">
        <v>7.65</v>
      </c>
      <c r="W606" s="4">
        <v>16</v>
      </c>
      <c r="X606" s="4" t="str">
        <f t="shared" si="104"/>
        <v>Teenager</v>
      </c>
      <c r="Y606" s="4" t="s">
        <v>3561</v>
      </c>
      <c r="AB606" s="4" t="str">
        <f t="shared" si="105"/>
        <v/>
      </c>
      <c r="AC606" s="4" t="str">
        <f t="shared" si="106"/>
        <v>Unknown</v>
      </c>
      <c r="AD606" s="4" t="s">
        <v>457</v>
      </c>
      <c r="AF606" s="4">
        <v>16</v>
      </c>
      <c r="AG606" s="4">
        <f t="shared" si="107"/>
        <v>16</v>
      </c>
      <c r="AK606" s="4" t="s">
        <v>3573</v>
      </c>
      <c r="AL606" s="4" t="str">
        <f t="shared" si="108"/>
        <v>Found</v>
      </c>
      <c r="AN606" s="6">
        <v>7.65</v>
      </c>
      <c r="AO606" s="4" t="str">
        <f t="shared" si="109"/>
        <v>Low</v>
      </c>
    </row>
    <row r="607" spans="1:41">
      <c r="A607">
        <v>3</v>
      </c>
      <c r="B607" t="str">
        <f t="shared" si="99"/>
        <v>Third Class</v>
      </c>
      <c r="C607">
        <v>1</v>
      </c>
      <c r="E607" t="str">
        <f t="shared" si="100"/>
        <v>Survived</v>
      </c>
      <c r="F607" t="s">
        <v>1539</v>
      </c>
      <c r="G607" t="s">
        <v>848</v>
      </c>
      <c r="H607" t="s">
        <v>1541</v>
      </c>
      <c r="I607" t="str">
        <f t="shared" si="101"/>
        <v>Mr. Abelseth Olaus</v>
      </c>
      <c r="J607" t="s">
        <v>20</v>
      </c>
      <c r="K607" t="str">
        <f t="shared" si="102"/>
        <v>Male</v>
      </c>
      <c r="L607">
        <v>25</v>
      </c>
      <c r="O607">
        <f t="shared" si="103"/>
        <v>25</v>
      </c>
      <c r="P607">
        <v>0</v>
      </c>
      <c r="R607" s="4">
        <v>0</v>
      </c>
      <c r="T607" s="5">
        <v>7.65</v>
      </c>
      <c r="W607" s="4">
        <v>25</v>
      </c>
      <c r="X607" s="4" t="str">
        <f t="shared" si="104"/>
        <v>Young Adult</v>
      </c>
      <c r="Y607" s="4" t="s">
        <v>609</v>
      </c>
      <c r="AA607" s="4" t="s">
        <v>609</v>
      </c>
      <c r="AB607" s="4" t="str">
        <f t="shared" si="105"/>
        <v>F</v>
      </c>
      <c r="AC607" s="4" t="str">
        <f t="shared" si="106"/>
        <v>F</v>
      </c>
      <c r="AD607" s="4" t="s">
        <v>457</v>
      </c>
      <c r="AF607" s="4" t="s">
        <v>78</v>
      </c>
      <c r="AG607" s="4" t="str">
        <f t="shared" si="107"/>
        <v>A</v>
      </c>
      <c r="AK607" s="4" t="s">
        <v>3573</v>
      </c>
      <c r="AL607" s="4" t="str">
        <f t="shared" si="108"/>
        <v>Found</v>
      </c>
      <c r="AN607" s="6">
        <v>7.65</v>
      </c>
      <c r="AO607" s="4" t="str">
        <f t="shared" si="109"/>
        <v>Low</v>
      </c>
    </row>
    <row r="608" spans="1:41">
      <c r="A608">
        <v>3</v>
      </c>
      <c r="B608" t="str">
        <f t="shared" si="99"/>
        <v>Third Class</v>
      </c>
      <c r="C608">
        <v>1</v>
      </c>
      <c r="E608" t="str">
        <f t="shared" si="100"/>
        <v>Survived</v>
      </c>
      <c r="F608" t="s">
        <v>1542</v>
      </c>
      <c r="G608" t="s">
        <v>848</v>
      </c>
      <c r="H608" t="s">
        <v>1201</v>
      </c>
      <c r="I608" t="str">
        <f t="shared" si="101"/>
        <v>Mr. Abrahamsson Abraham</v>
      </c>
      <c r="J608" t="s">
        <v>20</v>
      </c>
      <c r="K608" t="str">
        <f t="shared" si="102"/>
        <v>Male</v>
      </c>
      <c r="L608">
        <v>20</v>
      </c>
      <c r="O608">
        <f t="shared" si="103"/>
        <v>20</v>
      </c>
      <c r="P608">
        <v>0</v>
      </c>
      <c r="R608" s="4">
        <v>0</v>
      </c>
      <c r="T608" s="5">
        <v>7.9249999999999998</v>
      </c>
      <c r="W608" s="4">
        <v>20</v>
      </c>
      <c r="X608" s="4" t="str">
        <f t="shared" si="104"/>
        <v>Young Adult</v>
      </c>
      <c r="Y608" s="4" t="s">
        <v>3561</v>
      </c>
      <c r="AB608" s="4" t="str">
        <f t="shared" si="105"/>
        <v/>
      </c>
      <c r="AC608" s="4" t="str">
        <f t="shared" si="106"/>
        <v>Unknown</v>
      </c>
      <c r="AD608" s="4" t="s">
        <v>457</v>
      </c>
      <c r="AF608" s="4">
        <v>15</v>
      </c>
      <c r="AG608" s="4">
        <f t="shared" si="107"/>
        <v>15</v>
      </c>
      <c r="AK608" s="4" t="s">
        <v>3573</v>
      </c>
      <c r="AL608" s="4" t="str">
        <f t="shared" si="108"/>
        <v>Found</v>
      </c>
      <c r="AN608" s="6">
        <v>7.9249999999999998</v>
      </c>
      <c r="AO608" s="4" t="str">
        <f t="shared" si="109"/>
        <v>Low</v>
      </c>
    </row>
    <row r="609" spans="1:41">
      <c r="A609">
        <v>3</v>
      </c>
      <c r="B609" t="str">
        <f t="shared" si="99"/>
        <v>Third Class</v>
      </c>
      <c r="C609">
        <v>1</v>
      </c>
      <c r="E609" t="str">
        <f t="shared" si="100"/>
        <v>Survived</v>
      </c>
      <c r="F609" t="s">
        <v>1544</v>
      </c>
      <c r="G609" t="s">
        <v>849</v>
      </c>
      <c r="H609" t="s">
        <v>921</v>
      </c>
      <c r="I609" t="str">
        <f t="shared" si="101"/>
        <v>Mrs. Abrahim Joseph</v>
      </c>
      <c r="J609" t="s">
        <v>47</v>
      </c>
      <c r="K609" t="str">
        <f t="shared" si="102"/>
        <v>Female</v>
      </c>
      <c r="L609">
        <v>18</v>
      </c>
      <c r="O609">
        <f t="shared" si="103"/>
        <v>18</v>
      </c>
      <c r="P609">
        <v>0</v>
      </c>
      <c r="R609" s="4">
        <v>0</v>
      </c>
      <c r="T609" s="5">
        <v>7.2291999999999996</v>
      </c>
      <c r="W609" s="4">
        <v>18</v>
      </c>
      <c r="X609" s="4" t="str">
        <f t="shared" si="104"/>
        <v>Young Adult</v>
      </c>
      <c r="Y609" s="4" t="s">
        <v>3561</v>
      </c>
      <c r="AB609" s="4" t="str">
        <f t="shared" si="105"/>
        <v/>
      </c>
      <c r="AC609" s="4" t="str">
        <f t="shared" si="106"/>
        <v>Unknown</v>
      </c>
      <c r="AD609" s="4" t="s">
        <v>3566</v>
      </c>
      <c r="AF609" s="4" t="s">
        <v>62</v>
      </c>
      <c r="AG609" s="4" t="str">
        <f t="shared" si="107"/>
        <v>C</v>
      </c>
      <c r="AK609" s="4" t="s">
        <v>3573</v>
      </c>
      <c r="AL609" s="4" t="str">
        <f t="shared" si="108"/>
        <v>Found</v>
      </c>
      <c r="AN609" s="6">
        <v>7.2291999999999996</v>
      </c>
      <c r="AO609" s="4" t="str">
        <f t="shared" si="109"/>
        <v>Low</v>
      </c>
    </row>
    <row r="610" spans="1:41">
      <c r="A610">
        <v>3</v>
      </c>
      <c r="B610" t="str">
        <f t="shared" si="99"/>
        <v>Third Class</v>
      </c>
      <c r="C610">
        <v>0</v>
      </c>
      <c r="E610" t="str">
        <f t="shared" si="100"/>
        <v>Died</v>
      </c>
      <c r="F610" t="s">
        <v>1545</v>
      </c>
      <c r="G610" t="s">
        <v>848</v>
      </c>
      <c r="H610" t="s">
        <v>898</v>
      </c>
      <c r="I610" t="str">
        <f t="shared" si="101"/>
        <v>Mr. Adahl Mauritz</v>
      </c>
      <c r="J610" t="s">
        <v>20</v>
      </c>
      <c r="K610" t="str">
        <f t="shared" si="102"/>
        <v>Male</v>
      </c>
      <c r="L610">
        <v>30</v>
      </c>
      <c r="O610">
        <f t="shared" si="103"/>
        <v>30</v>
      </c>
      <c r="P610">
        <v>0</v>
      </c>
      <c r="R610" s="4">
        <v>0</v>
      </c>
      <c r="T610" s="5">
        <v>7.25</v>
      </c>
      <c r="W610" s="4">
        <v>30</v>
      </c>
      <c r="X610" s="4" t="str">
        <f t="shared" si="104"/>
        <v>Adult</v>
      </c>
      <c r="Y610" s="4" t="s">
        <v>3561</v>
      </c>
      <c r="AB610" s="4" t="str">
        <f t="shared" si="105"/>
        <v/>
      </c>
      <c r="AC610" s="4" t="str">
        <f t="shared" si="106"/>
        <v>Unknown</v>
      </c>
      <c r="AD610" s="4" t="s">
        <v>457</v>
      </c>
      <c r="AG610" s="4" t="str">
        <f t="shared" si="107"/>
        <v>Not Applicable</v>
      </c>
      <c r="AH610" s="4">
        <v>72</v>
      </c>
      <c r="AK610" s="4">
        <v>72</v>
      </c>
      <c r="AL610" s="4" t="str">
        <f t="shared" si="108"/>
        <v>Found</v>
      </c>
      <c r="AN610" s="6">
        <v>7.25</v>
      </c>
      <c r="AO610" s="4" t="str">
        <f t="shared" si="109"/>
        <v>Low</v>
      </c>
    </row>
    <row r="611" spans="1:41">
      <c r="A611">
        <v>3</v>
      </c>
      <c r="B611" t="str">
        <f t="shared" si="99"/>
        <v>Third Class</v>
      </c>
      <c r="C611">
        <v>0</v>
      </c>
      <c r="E611" t="str">
        <f t="shared" si="100"/>
        <v>Died</v>
      </c>
      <c r="F611" t="s">
        <v>1547</v>
      </c>
      <c r="G611" t="s">
        <v>848</v>
      </c>
      <c r="H611" t="s">
        <v>862</v>
      </c>
      <c r="I611" t="str">
        <f t="shared" si="101"/>
        <v>Mr. Adams John</v>
      </c>
      <c r="J611" t="s">
        <v>20</v>
      </c>
      <c r="K611" t="str">
        <f t="shared" si="102"/>
        <v>Male</v>
      </c>
      <c r="L611">
        <v>26</v>
      </c>
      <c r="O611">
        <f t="shared" si="103"/>
        <v>26</v>
      </c>
      <c r="P611">
        <v>0</v>
      </c>
      <c r="R611" s="4">
        <v>0</v>
      </c>
      <c r="T611" s="5">
        <v>8.0500000000000007</v>
      </c>
      <c r="W611" s="4">
        <v>26</v>
      </c>
      <c r="X611" s="4" t="str">
        <f t="shared" si="104"/>
        <v>Young Adult</v>
      </c>
      <c r="Y611" s="4" t="s">
        <v>3561</v>
      </c>
      <c r="AB611" s="4" t="str">
        <f t="shared" si="105"/>
        <v/>
      </c>
      <c r="AC611" s="4" t="str">
        <f t="shared" si="106"/>
        <v>Unknown</v>
      </c>
      <c r="AD611" s="4" t="s">
        <v>457</v>
      </c>
      <c r="AG611" s="4" t="str">
        <f t="shared" si="107"/>
        <v>Not Applicable</v>
      </c>
      <c r="AH611" s="4">
        <v>103</v>
      </c>
      <c r="AK611" s="4">
        <v>103</v>
      </c>
      <c r="AL611" s="4" t="str">
        <f t="shared" si="108"/>
        <v>Found</v>
      </c>
      <c r="AN611" s="6">
        <v>8.0500000000000007</v>
      </c>
      <c r="AO611" s="4" t="str">
        <f t="shared" si="109"/>
        <v>Low</v>
      </c>
    </row>
    <row r="612" spans="1:41">
      <c r="A612">
        <v>3</v>
      </c>
      <c r="B612" t="str">
        <f t="shared" si="99"/>
        <v>Third Class</v>
      </c>
      <c r="C612">
        <v>0</v>
      </c>
      <c r="E612" t="str">
        <f t="shared" si="100"/>
        <v>Died</v>
      </c>
      <c r="F612" t="s">
        <v>1548</v>
      </c>
      <c r="G612" t="s">
        <v>849</v>
      </c>
      <c r="H612" t="s">
        <v>1105</v>
      </c>
      <c r="I612" t="str">
        <f t="shared" si="101"/>
        <v>Mrs. Ahlin Johan</v>
      </c>
      <c r="J612" t="s">
        <v>47</v>
      </c>
      <c r="K612" t="str">
        <f t="shared" si="102"/>
        <v>Female</v>
      </c>
      <c r="L612">
        <v>40</v>
      </c>
      <c r="O612">
        <f t="shared" si="103"/>
        <v>40</v>
      </c>
      <c r="P612">
        <v>1</v>
      </c>
      <c r="R612" s="4">
        <v>0</v>
      </c>
      <c r="T612" s="5">
        <v>9.4749999999999996</v>
      </c>
      <c r="W612" s="4">
        <v>40</v>
      </c>
      <c r="X612" s="4" t="str">
        <f t="shared" si="104"/>
        <v>Adult</v>
      </c>
      <c r="Y612" s="4" t="s">
        <v>3561</v>
      </c>
      <c r="AB612" s="4" t="str">
        <f t="shared" si="105"/>
        <v/>
      </c>
      <c r="AC612" s="4" t="str">
        <f t="shared" si="106"/>
        <v>Unknown</v>
      </c>
      <c r="AD612" s="4" t="s">
        <v>457</v>
      </c>
      <c r="AG612" s="4" t="str">
        <f t="shared" si="107"/>
        <v>Not Applicable</v>
      </c>
      <c r="AK612" s="4" t="s">
        <v>3573</v>
      </c>
      <c r="AL612" s="4" t="str">
        <f t="shared" si="108"/>
        <v>Found</v>
      </c>
      <c r="AN612" s="6">
        <v>9.4749999999999996</v>
      </c>
      <c r="AO612" s="4" t="str">
        <f t="shared" si="109"/>
        <v>Low</v>
      </c>
    </row>
    <row r="613" spans="1:41">
      <c r="A613">
        <v>3</v>
      </c>
      <c r="B613" t="str">
        <f t="shared" si="99"/>
        <v>Third Class</v>
      </c>
      <c r="C613">
        <v>1</v>
      </c>
      <c r="E613" t="str">
        <f t="shared" si="100"/>
        <v>Survived</v>
      </c>
      <c r="F613" t="s">
        <v>1549</v>
      </c>
      <c r="G613" t="s">
        <v>845</v>
      </c>
      <c r="H613" t="s">
        <v>1217</v>
      </c>
      <c r="I613" t="str">
        <f t="shared" si="101"/>
        <v>Master. Aks Philip</v>
      </c>
      <c r="J613" t="s">
        <v>20</v>
      </c>
      <c r="K613" t="str">
        <f t="shared" si="102"/>
        <v>Male</v>
      </c>
      <c r="L613">
        <v>0.83330000000000004</v>
      </c>
      <c r="O613">
        <f t="shared" si="103"/>
        <v>1</v>
      </c>
      <c r="P613">
        <v>0</v>
      </c>
      <c r="R613" s="4">
        <v>1</v>
      </c>
      <c r="T613" s="5">
        <v>9.35</v>
      </c>
      <c r="W613" s="4">
        <v>1</v>
      </c>
      <c r="X613" s="4" t="str">
        <f t="shared" si="104"/>
        <v>Child</v>
      </c>
      <c r="Y613" s="4" t="s">
        <v>3561</v>
      </c>
      <c r="AB613" s="4" t="str">
        <f t="shared" si="105"/>
        <v/>
      </c>
      <c r="AC613" s="4" t="str">
        <f t="shared" si="106"/>
        <v>Unknown</v>
      </c>
      <c r="AD613" s="4" t="s">
        <v>457</v>
      </c>
      <c r="AF613" s="4">
        <v>11</v>
      </c>
      <c r="AG613" s="4">
        <f t="shared" si="107"/>
        <v>11</v>
      </c>
      <c r="AK613" s="4" t="s">
        <v>3573</v>
      </c>
      <c r="AL613" s="4" t="str">
        <f t="shared" si="108"/>
        <v>Found</v>
      </c>
      <c r="AN613" s="6">
        <v>9.35</v>
      </c>
      <c r="AO613" s="4" t="str">
        <f t="shared" si="109"/>
        <v>Low</v>
      </c>
    </row>
    <row r="614" spans="1:41">
      <c r="A614">
        <v>3</v>
      </c>
      <c r="B614" t="str">
        <f t="shared" si="99"/>
        <v>Third Class</v>
      </c>
      <c r="C614">
        <v>1</v>
      </c>
      <c r="E614" t="str">
        <f t="shared" si="100"/>
        <v>Survived</v>
      </c>
      <c r="F614" t="s">
        <v>1549</v>
      </c>
      <c r="G614" t="s">
        <v>849</v>
      </c>
      <c r="H614" t="s">
        <v>1550</v>
      </c>
      <c r="I614" t="str">
        <f t="shared" si="101"/>
        <v>Mrs. Aks Sam</v>
      </c>
      <c r="J614" t="s">
        <v>47</v>
      </c>
      <c r="K614" t="str">
        <f t="shared" si="102"/>
        <v>Female</v>
      </c>
      <c r="L614">
        <v>18</v>
      </c>
      <c r="O614">
        <f t="shared" si="103"/>
        <v>18</v>
      </c>
      <c r="P614">
        <v>0</v>
      </c>
      <c r="R614" s="4">
        <v>1</v>
      </c>
      <c r="T614" s="5">
        <v>9.35</v>
      </c>
      <c r="W614" s="4">
        <v>18</v>
      </c>
      <c r="X614" s="4" t="str">
        <f t="shared" si="104"/>
        <v>Young Adult</v>
      </c>
      <c r="Y614" s="4" t="s">
        <v>3561</v>
      </c>
      <c r="AB614" s="4" t="str">
        <f t="shared" si="105"/>
        <v/>
      </c>
      <c r="AC614" s="4" t="str">
        <f t="shared" si="106"/>
        <v>Unknown</v>
      </c>
      <c r="AD614" s="4" t="s">
        <v>457</v>
      </c>
      <c r="AF614" s="4">
        <v>13</v>
      </c>
      <c r="AG614" s="4">
        <f t="shared" si="107"/>
        <v>13</v>
      </c>
      <c r="AK614" s="4" t="s">
        <v>3573</v>
      </c>
      <c r="AL614" s="4" t="str">
        <f t="shared" si="108"/>
        <v>Found</v>
      </c>
      <c r="AN614" s="6">
        <v>9.35</v>
      </c>
      <c r="AO614" s="4" t="str">
        <f t="shared" si="109"/>
        <v>Low</v>
      </c>
    </row>
    <row r="615" spans="1:41">
      <c r="A615">
        <v>3</v>
      </c>
      <c r="B615" t="str">
        <f t="shared" si="99"/>
        <v>Third Class</v>
      </c>
      <c r="C615">
        <v>1</v>
      </c>
      <c r="E615" t="str">
        <f t="shared" si="100"/>
        <v>Survived</v>
      </c>
      <c r="F615" t="s">
        <v>1551</v>
      </c>
      <c r="G615" t="s">
        <v>848</v>
      </c>
      <c r="H615" t="s">
        <v>1552</v>
      </c>
      <c r="I615" t="str">
        <f t="shared" si="101"/>
        <v>Mr. Albimona Nassef</v>
      </c>
      <c r="J615" t="s">
        <v>20</v>
      </c>
      <c r="K615" t="str">
        <f t="shared" si="102"/>
        <v>Male</v>
      </c>
      <c r="L615">
        <v>26</v>
      </c>
      <c r="O615">
        <f t="shared" si="103"/>
        <v>26</v>
      </c>
      <c r="P615">
        <v>0</v>
      </c>
      <c r="R615" s="4">
        <v>0</v>
      </c>
      <c r="T615" s="5">
        <v>18.787500000000001</v>
      </c>
      <c r="W615" s="4">
        <v>26</v>
      </c>
      <c r="X615" s="4" t="str">
        <f t="shared" si="104"/>
        <v>Young Adult</v>
      </c>
      <c r="Y615" s="4" t="s">
        <v>3561</v>
      </c>
      <c r="AB615" s="4" t="str">
        <f t="shared" si="105"/>
        <v/>
      </c>
      <c r="AC615" s="4" t="str">
        <f t="shared" si="106"/>
        <v>Unknown</v>
      </c>
      <c r="AD615" s="4" t="s">
        <v>3566</v>
      </c>
      <c r="AF615" s="4">
        <v>15</v>
      </c>
      <c r="AG615" s="4">
        <f t="shared" si="107"/>
        <v>15</v>
      </c>
      <c r="AK615" s="4" t="s">
        <v>3573</v>
      </c>
      <c r="AL615" s="4" t="str">
        <f t="shared" si="108"/>
        <v>Found</v>
      </c>
      <c r="AN615" s="6">
        <v>18.787500000000001</v>
      </c>
      <c r="AO615" s="4" t="str">
        <f t="shared" si="109"/>
        <v>Mid</v>
      </c>
    </row>
    <row r="616" spans="1:41">
      <c r="A616">
        <v>3</v>
      </c>
      <c r="B616" t="str">
        <f t="shared" si="99"/>
        <v>Third Class</v>
      </c>
      <c r="C616">
        <v>0</v>
      </c>
      <c r="E616" t="str">
        <f t="shared" si="100"/>
        <v>Died</v>
      </c>
      <c r="F616" t="s">
        <v>932</v>
      </c>
      <c r="G616" t="s">
        <v>848</v>
      </c>
      <c r="H616" t="s">
        <v>924</v>
      </c>
      <c r="I616" t="str">
        <f t="shared" si="101"/>
        <v>Mr. Alexander William</v>
      </c>
      <c r="J616" t="s">
        <v>20</v>
      </c>
      <c r="K616" t="str">
        <f t="shared" si="102"/>
        <v>Male</v>
      </c>
      <c r="L616">
        <v>26</v>
      </c>
      <c r="O616">
        <f t="shared" si="103"/>
        <v>26</v>
      </c>
      <c r="P616">
        <v>0</v>
      </c>
      <c r="R616" s="4">
        <v>0</v>
      </c>
      <c r="T616" s="5">
        <v>7.8875000000000002</v>
      </c>
      <c r="W616" s="4">
        <v>26</v>
      </c>
      <c r="X616" s="4" t="str">
        <f t="shared" si="104"/>
        <v>Young Adult</v>
      </c>
      <c r="Y616" s="4" t="s">
        <v>3561</v>
      </c>
      <c r="AB616" s="4" t="str">
        <f t="shared" si="105"/>
        <v/>
      </c>
      <c r="AC616" s="4" t="str">
        <f t="shared" si="106"/>
        <v>Unknown</v>
      </c>
      <c r="AD616" s="4" t="s">
        <v>457</v>
      </c>
      <c r="AG616" s="4" t="str">
        <f t="shared" si="107"/>
        <v>Not Applicable</v>
      </c>
      <c r="AK616" s="4" t="s">
        <v>3573</v>
      </c>
      <c r="AL616" s="4" t="str">
        <f t="shared" si="108"/>
        <v>Found</v>
      </c>
      <c r="AN616" s="6">
        <v>7.8875000000000002</v>
      </c>
      <c r="AO616" s="4" t="str">
        <f t="shared" si="109"/>
        <v>Low</v>
      </c>
    </row>
    <row r="617" spans="1:41">
      <c r="A617">
        <v>3</v>
      </c>
      <c r="B617" t="str">
        <f t="shared" si="99"/>
        <v>Third Class</v>
      </c>
      <c r="C617">
        <v>0</v>
      </c>
      <c r="E617" t="str">
        <f t="shared" si="100"/>
        <v>Died</v>
      </c>
      <c r="F617" t="s">
        <v>1553</v>
      </c>
      <c r="G617" t="s">
        <v>848</v>
      </c>
      <c r="H617" t="s">
        <v>1554</v>
      </c>
      <c r="I617" t="str">
        <f t="shared" si="101"/>
        <v>Mr. Alhomaki Ilmari</v>
      </c>
      <c r="J617" t="s">
        <v>20</v>
      </c>
      <c r="K617" t="str">
        <f t="shared" si="102"/>
        <v>Male</v>
      </c>
      <c r="L617">
        <v>20</v>
      </c>
      <c r="O617">
        <f t="shared" si="103"/>
        <v>20</v>
      </c>
      <c r="P617">
        <v>0</v>
      </c>
      <c r="R617" s="4">
        <v>0</v>
      </c>
      <c r="T617" s="5">
        <v>7.9249999999999998</v>
      </c>
      <c r="W617" s="4">
        <v>20</v>
      </c>
      <c r="X617" s="4" t="str">
        <f t="shared" si="104"/>
        <v>Young Adult</v>
      </c>
      <c r="Y617" s="4" t="s">
        <v>3561</v>
      </c>
      <c r="AB617" s="4" t="str">
        <f t="shared" si="105"/>
        <v/>
      </c>
      <c r="AC617" s="4" t="str">
        <f t="shared" si="106"/>
        <v>Unknown</v>
      </c>
      <c r="AD617" s="4" t="s">
        <v>457</v>
      </c>
      <c r="AG617" s="4" t="str">
        <f t="shared" si="107"/>
        <v>Not Applicable</v>
      </c>
      <c r="AK617" s="4" t="s">
        <v>3573</v>
      </c>
      <c r="AL617" s="4" t="str">
        <f t="shared" si="108"/>
        <v>Found</v>
      </c>
      <c r="AN617" s="6">
        <v>7.9249999999999998</v>
      </c>
      <c r="AO617" s="4" t="str">
        <f t="shared" si="109"/>
        <v>Low</v>
      </c>
    </row>
    <row r="618" spans="1:41">
      <c r="A618">
        <v>3</v>
      </c>
      <c r="B618" t="str">
        <f t="shared" si="99"/>
        <v>Third Class</v>
      </c>
      <c r="C618">
        <v>0</v>
      </c>
      <c r="E618" t="str">
        <f t="shared" si="100"/>
        <v>Died</v>
      </c>
      <c r="F618" t="s">
        <v>1555</v>
      </c>
      <c r="G618" t="s">
        <v>848</v>
      </c>
      <c r="H618" t="s">
        <v>1556</v>
      </c>
      <c r="I618" t="str">
        <f t="shared" si="101"/>
        <v>Mr. Ali Ahmed</v>
      </c>
      <c r="J618" t="s">
        <v>20</v>
      </c>
      <c r="K618" t="str">
        <f t="shared" si="102"/>
        <v>Male</v>
      </c>
      <c r="L618">
        <v>24</v>
      </c>
      <c r="O618">
        <f t="shared" si="103"/>
        <v>24</v>
      </c>
      <c r="P618">
        <v>0</v>
      </c>
      <c r="R618" s="4">
        <v>0</v>
      </c>
      <c r="T618" s="5">
        <v>7.05</v>
      </c>
      <c r="W618" s="4">
        <v>24</v>
      </c>
      <c r="X618" s="4" t="str">
        <f t="shared" si="104"/>
        <v>Young Adult</v>
      </c>
      <c r="Y618" s="4" t="s">
        <v>3561</v>
      </c>
      <c r="AB618" s="4" t="str">
        <f t="shared" si="105"/>
        <v/>
      </c>
      <c r="AC618" s="4" t="str">
        <f t="shared" si="106"/>
        <v>Unknown</v>
      </c>
      <c r="AD618" s="4" t="s">
        <v>457</v>
      </c>
      <c r="AG618" s="4" t="str">
        <f t="shared" si="107"/>
        <v>Not Applicable</v>
      </c>
      <c r="AK618" s="4" t="s">
        <v>3573</v>
      </c>
      <c r="AL618" s="4" t="str">
        <f t="shared" si="108"/>
        <v>Found</v>
      </c>
      <c r="AN618" s="6">
        <v>7.05</v>
      </c>
      <c r="AO618" s="4" t="str">
        <f t="shared" si="109"/>
        <v>Low</v>
      </c>
    </row>
    <row r="619" spans="1:41">
      <c r="A619">
        <v>3</v>
      </c>
      <c r="B619" t="str">
        <f t="shared" si="99"/>
        <v>Third Class</v>
      </c>
      <c r="C619">
        <v>0</v>
      </c>
      <c r="E619" t="str">
        <f t="shared" si="100"/>
        <v>Died</v>
      </c>
      <c r="F619" t="s">
        <v>1555</v>
      </c>
      <c r="G619" t="s">
        <v>848</v>
      </c>
      <c r="H619" t="s">
        <v>924</v>
      </c>
      <c r="I619" t="str">
        <f t="shared" si="101"/>
        <v>Mr. Ali William</v>
      </c>
      <c r="J619" t="s">
        <v>20</v>
      </c>
      <c r="K619" t="str">
        <f t="shared" si="102"/>
        <v>Male</v>
      </c>
      <c r="L619">
        <v>25</v>
      </c>
      <c r="O619">
        <f t="shared" si="103"/>
        <v>25</v>
      </c>
      <c r="P619">
        <v>0</v>
      </c>
      <c r="R619" s="4">
        <v>0</v>
      </c>
      <c r="T619" s="5">
        <v>7.05</v>
      </c>
      <c r="W619" s="4">
        <v>25</v>
      </c>
      <c r="X619" s="4" t="str">
        <f t="shared" si="104"/>
        <v>Young Adult</v>
      </c>
      <c r="Y619" s="4" t="s">
        <v>3561</v>
      </c>
      <c r="AB619" s="4" t="str">
        <f t="shared" si="105"/>
        <v/>
      </c>
      <c r="AC619" s="4" t="str">
        <f t="shared" si="106"/>
        <v>Unknown</v>
      </c>
      <c r="AD619" s="4" t="s">
        <v>457</v>
      </c>
      <c r="AG619" s="4" t="str">
        <f t="shared" si="107"/>
        <v>Not Applicable</v>
      </c>
      <c r="AH619" s="4">
        <v>79</v>
      </c>
      <c r="AK619" s="4">
        <v>79</v>
      </c>
      <c r="AL619" s="4" t="str">
        <f t="shared" si="108"/>
        <v>Found</v>
      </c>
      <c r="AN619" s="6">
        <v>7.05</v>
      </c>
      <c r="AO619" s="4" t="str">
        <f t="shared" si="109"/>
        <v>Low</v>
      </c>
    </row>
    <row r="620" spans="1:41">
      <c r="A620">
        <v>3</v>
      </c>
      <c r="B620" t="str">
        <f t="shared" si="99"/>
        <v>Third Class</v>
      </c>
      <c r="C620">
        <v>0</v>
      </c>
      <c r="E620" t="str">
        <f t="shared" si="100"/>
        <v>Died</v>
      </c>
      <c r="F620" t="s">
        <v>841</v>
      </c>
      <c r="G620" t="s">
        <v>848</v>
      </c>
      <c r="H620" t="s">
        <v>924</v>
      </c>
      <c r="I620" t="str">
        <f t="shared" si="101"/>
        <v>Mr. Allen William</v>
      </c>
      <c r="J620" t="s">
        <v>20</v>
      </c>
      <c r="K620" t="str">
        <f t="shared" si="102"/>
        <v>Male</v>
      </c>
      <c r="L620">
        <v>35</v>
      </c>
      <c r="O620">
        <f t="shared" si="103"/>
        <v>35</v>
      </c>
      <c r="P620">
        <v>0</v>
      </c>
      <c r="R620" s="4">
        <v>0</v>
      </c>
      <c r="T620" s="5">
        <v>8.0500000000000007</v>
      </c>
      <c r="W620" s="4">
        <v>35</v>
      </c>
      <c r="X620" s="4" t="str">
        <f t="shared" si="104"/>
        <v>Adult</v>
      </c>
      <c r="Y620" s="4" t="s">
        <v>3561</v>
      </c>
      <c r="AB620" s="4" t="str">
        <f t="shared" si="105"/>
        <v/>
      </c>
      <c r="AC620" s="4" t="str">
        <f t="shared" si="106"/>
        <v>Unknown</v>
      </c>
      <c r="AD620" s="4" t="s">
        <v>457</v>
      </c>
      <c r="AG620" s="4" t="str">
        <f t="shared" si="107"/>
        <v>Not Applicable</v>
      </c>
      <c r="AK620" s="4" t="s">
        <v>3573</v>
      </c>
      <c r="AL620" s="4" t="str">
        <f t="shared" si="108"/>
        <v>Found</v>
      </c>
      <c r="AN620" s="6">
        <v>8.0500000000000007</v>
      </c>
      <c r="AO620" s="4" t="str">
        <f t="shared" si="109"/>
        <v>Low</v>
      </c>
    </row>
    <row r="621" spans="1:41">
      <c r="A621">
        <v>3</v>
      </c>
      <c r="B621" t="str">
        <f t="shared" si="99"/>
        <v>Third Class</v>
      </c>
      <c r="C621">
        <v>0</v>
      </c>
      <c r="E621" t="str">
        <f t="shared" si="100"/>
        <v>Died</v>
      </c>
      <c r="F621" t="s">
        <v>1557</v>
      </c>
      <c r="G621" t="s">
        <v>848</v>
      </c>
      <c r="H621" t="s">
        <v>1558</v>
      </c>
      <c r="I621" t="str">
        <f t="shared" si="101"/>
        <v>Mr. Allum Owen</v>
      </c>
      <c r="J621" t="s">
        <v>20</v>
      </c>
      <c r="K621" t="str">
        <f t="shared" si="102"/>
        <v>Male</v>
      </c>
      <c r="L621">
        <v>18</v>
      </c>
      <c r="O621">
        <f t="shared" si="103"/>
        <v>18</v>
      </c>
      <c r="P621">
        <v>0</v>
      </c>
      <c r="R621" s="4">
        <v>0</v>
      </c>
      <c r="T621" s="5">
        <v>8.3000000000000007</v>
      </c>
      <c r="W621" s="4">
        <v>18</v>
      </c>
      <c r="X621" s="4" t="str">
        <f t="shared" si="104"/>
        <v>Young Adult</v>
      </c>
      <c r="Y621" s="4" t="s">
        <v>3561</v>
      </c>
      <c r="AB621" s="4" t="str">
        <f t="shared" si="105"/>
        <v/>
      </c>
      <c r="AC621" s="4" t="str">
        <f t="shared" si="106"/>
        <v>Unknown</v>
      </c>
      <c r="AD621" s="4" t="s">
        <v>457</v>
      </c>
      <c r="AG621" s="4" t="str">
        <f t="shared" si="107"/>
        <v>Not Applicable</v>
      </c>
      <c r="AH621" s="4">
        <v>259</v>
      </c>
      <c r="AK621" s="4">
        <v>259</v>
      </c>
      <c r="AL621" s="4" t="str">
        <f t="shared" si="108"/>
        <v>Found</v>
      </c>
      <c r="AN621" s="6">
        <v>8.3000000000000007</v>
      </c>
      <c r="AO621" s="4" t="str">
        <f t="shared" si="109"/>
        <v>Low</v>
      </c>
    </row>
    <row r="622" spans="1:41">
      <c r="A622">
        <v>3</v>
      </c>
      <c r="B622" t="str">
        <f t="shared" si="99"/>
        <v>Third Class</v>
      </c>
      <c r="C622">
        <v>0</v>
      </c>
      <c r="E622" t="str">
        <f t="shared" si="100"/>
        <v>Died</v>
      </c>
      <c r="F622" t="s">
        <v>1559</v>
      </c>
      <c r="G622" t="s">
        <v>848</v>
      </c>
      <c r="H622" t="s">
        <v>995</v>
      </c>
      <c r="I622" t="str">
        <f t="shared" si="101"/>
        <v>Mr. Andersen Albert</v>
      </c>
      <c r="J622" t="s">
        <v>20</v>
      </c>
      <c r="K622" t="str">
        <f t="shared" si="102"/>
        <v>Male</v>
      </c>
      <c r="L622">
        <v>32</v>
      </c>
      <c r="O622">
        <f t="shared" si="103"/>
        <v>32</v>
      </c>
      <c r="P622">
        <v>0</v>
      </c>
      <c r="R622" s="4">
        <v>0</v>
      </c>
      <c r="T622" s="5">
        <v>22.524999999999999</v>
      </c>
      <c r="W622" s="4">
        <v>32</v>
      </c>
      <c r="X622" s="4" t="str">
        <f t="shared" si="104"/>
        <v>Adult</v>
      </c>
      <c r="Y622" s="4" t="s">
        <v>3561</v>
      </c>
      <c r="AB622" s="4" t="str">
        <f t="shared" si="105"/>
        <v/>
      </c>
      <c r="AC622" s="4" t="str">
        <f t="shared" si="106"/>
        <v>Unknown</v>
      </c>
      <c r="AD622" s="4" t="s">
        <v>457</v>
      </c>
      <c r="AG622" s="4" t="str">
        <f t="shared" si="107"/>
        <v>Not Applicable</v>
      </c>
      <c r="AH622" s="4">
        <v>260</v>
      </c>
      <c r="AK622" s="4">
        <v>260</v>
      </c>
      <c r="AL622" s="4" t="str">
        <f t="shared" si="108"/>
        <v>Found</v>
      </c>
      <c r="AN622" s="6">
        <v>22.524999999999999</v>
      </c>
      <c r="AO622" s="4" t="str">
        <f t="shared" si="109"/>
        <v>Mid</v>
      </c>
    </row>
    <row r="623" spans="1:41">
      <c r="A623">
        <v>3</v>
      </c>
      <c r="B623" t="str">
        <f t="shared" si="99"/>
        <v>Third Class</v>
      </c>
      <c r="C623">
        <v>1</v>
      </c>
      <c r="E623" t="str">
        <f t="shared" si="100"/>
        <v>Survived</v>
      </c>
      <c r="F623" t="s">
        <v>1560</v>
      </c>
      <c r="G623" t="s">
        <v>842</v>
      </c>
      <c r="H623" t="s">
        <v>1561</v>
      </c>
      <c r="I623" t="str">
        <f t="shared" si="101"/>
        <v>Miss. Andersen-Jensen Carla</v>
      </c>
      <c r="J623" t="s">
        <v>47</v>
      </c>
      <c r="K623" t="str">
        <f t="shared" si="102"/>
        <v>Female</v>
      </c>
      <c r="L623">
        <v>19</v>
      </c>
      <c r="O623">
        <f t="shared" si="103"/>
        <v>19</v>
      </c>
      <c r="P623">
        <v>1</v>
      </c>
      <c r="R623" s="4">
        <v>0</v>
      </c>
      <c r="T623" s="5">
        <v>7.8541999999999996</v>
      </c>
      <c r="W623" s="4">
        <v>19</v>
      </c>
      <c r="X623" s="4" t="str">
        <f t="shared" si="104"/>
        <v>Young Adult</v>
      </c>
      <c r="Y623" s="4" t="s">
        <v>3561</v>
      </c>
      <c r="AB623" s="4" t="str">
        <f t="shared" si="105"/>
        <v/>
      </c>
      <c r="AC623" s="4" t="str">
        <f t="shared" si="106"/>
        <v>Unknown</v>
      </c>
      <c r="AD623" s="4" t="s">
        <v>457</v>
      </c>
      <c r="AF623" s="4">
        <v>16</v>
      </c>
      <c r="AG623" s="4">
        <f t="shared" si="107"/>
        <v>16</v>
      </c>
      <c r="AK623" s="4" t="s">
        <v>3573</v>
      </c>
      <c r="AL623" s="4" t="str">
        <f t="shared" si="108"/>
        <v>Found</v>
      </c>
      <c r="AN623" s="6">
        <v>7.8541999999999996</v>
      </c>
      <c r="AO623" s="4" t="str">
        <f t="shared" si="109"/>
        <v>Low</v>
      </c>
    </row>
    <row r="624" spans="1:41">
      <c r="A624">
        <v>3</v>
      </c>
      <c r="B624" t="str">
        <f t="shared" si="99"/>
        <v>Third Class</v>
      </c>
      <c r="C624">
        <v>0</v>
      </c>
      <c r="E624" t="str">
        <f t="shared" si="100"/>
        <v>Died</v>
      </c>
      <c r="F624" t="s">
        <v>1562</v>
      </c>
      <c r="G624" t="s">
        <v>845</v>
      </c>
      <c r="H624" t="s">
        <v>1563</v>
      </c>
      <c r="I624" t="str">
        <f t="shared" si="101"/>
        <v>Master. Andersson Sigvard</v>
      </c>
      <c r="J624" t="s">
        <v>20</v>
      </c>
      <c r="K624" t="str">
        <f t="shared" si="102"/>
        <v>Male</v>
      </c>
      <c r="L624">
        <v>4</v>
      </c>
      <c r="O624">
        <f t="shared" si="103"/>
        <v>4</v>
      </c>
      <c r="P624">
        <v>4</v>
      </c>
      <c r="R624" s="4">
        <v>2</v>
      </c>
      <c r="T624" s="5">
        <v>31.274999999999999</v>
      </c>
      <c r="W624" s="4">
        <v>4</v>
      </c>
      <c r="X624" s="4" t="str">
        <f t="shared" si="104"/>
        <v>Child</v>
      </c>
      <c r="Y624" s="4" t="s">
        <v>3561</v>
      </c>
      <c r="AB624" s="4" t="str">
        <f t="shared" si="105"/>
        <v/>
      </c>
      <c r="AC624" s="4" t="str">
        <f t="shared" si="106"/>
        <v>Unknown</v>
      </c>
      <c r="AD624" s="4" t="s">
        <v>457</v>
      </c>
      <c r="AG624" s="4" t="str">
        <f t="shared" si="107"/>
        <v>Not Applicable</v>
      </c>
      <c r="AK624" s="4" t="s">
        <v>3573</v>
      </c>
      <c r="AL624" s="4" t="str">
        <f t="shared" si="108"/>
        <v>Found</v>
      </c>
      <c r="AN624" s="6">
        <v>31.274999999999999</v>
      </c>
      <c r="AO624" s="4" t="str">
        <f t="shared" si="109"/>
        <v>Mid</v>
      </c>
    </row>
    <row r="625" spans="1:41">
      <c r="A625">
        <v>3</v>
      </c>
      <c r="B625" t="str">
        <f t="shared" si="99"/>
        <v>Third Class</v>
      </c>
      <c r="C625">
        <v>0</v>
      </c>
      <c r="E625" t="str">
        <f t="shared" si="100"/>
        <v>Died</v>
      </c>
      <c r="F625" t="s">
        <v>1562</v>
      </c>
      <c r="G625" t="s">
        <v>842</v>
      </c>
      <c r="H625" t="s">
        <v>1566</v>
      </c>
      <c r="I625" t="str">
        <f t="shared" si="101"/>
        <v>Miss. Andersson Ebba</v>
      </c>
      <c r="J625" t="s">
        <v>47</v>
      </c>
      <c r="K625" t="str">
        <f t="shared" si="102"/>
        <v>Female</v>
      </c>
      <c r="L625">
        <v>6</v>
      </c>
      <c r="O625">
        <f t="shared" si="103"/>
        <v>6</v>
      </c>
      <c r="P625">
        <v>4</v>
      </c>
      <c r="R625" s="4">
        <v>2</v>
      </c>
      <c r="T625" s="5">
        <v>31.274999999999999</v>
      </c>
      <c r="W625" s="4">
        <v>6</v>
      </c>
      <c r="X625" s="4" t="str">
        <f t="shared" si="104"/>
        <v>Child</v>
      </c>
      <c r="Y625" s="4" t="s">
        <v>3561</v>
      </c>
      <c r="AB625" s="4" t="str">
        <f t="shared" si="105"/>
        <v/>
      </c>
      <c r="AC625" s="4" t="str">
        <f t="shared" si="106"/>
        <v>Unknown</v>
      </c>
      <c r="AD625" s="4" t="s">
        <v>457</v>
      </c>
      <c r="AG625" s="4" t="str">
        <f t="shared" si="107"/>
        <v>Not Applicable</v>
      </c>
      <c r="AK625" s="4" t="s">
        <v>3573</v>
      </c>
      <c r="AL625" s="4" t="str">
        <f t="shared" si="108"/>
        <v>Found</v>
      </c>
      <c r="AN625" s="6">
        <v>31.274999999999999</v>
      </c>
      <c r="AO625" s="4" t="str">
        <f t="shared" si="109"/>
        <v>Mid</v>
      </c>
    </row>
    <row r="626" spans="1:41">
      <c r="A626">
        <v>3</v>
      </c>
      <c r="B626" t="str">
        <f t="shared" si="99"/>
        <v>Third Class</v>
      </c>
      <c r="C626">
        <v>0</v>
      </c>
      <c r="E626" t="str">
        <f t="shared" si="100"/>
        <v>Died</v>
      </c>
      <c r="F626" t="s">
        <v>1562</v>
      </c>
      <c r="G626" t="s">
        <v>842</v>
      </c>
      <c r="H626" t="s">
        <v>1567</v>
      </c>
      <c r="I626" t="str">
        <f t="shared" si="101"/>
        <v>Miss. Andersson Ellis</v>
      </c>
      <c r="J626" t="s">
        <v>47</v>
      </c>
      <c r="K626" t="str">
        <f t="shared" si="102"/>
        <v>Female</v>
      </c>
      <c r="L626">
        <v>2</v>
      </c>
      <c r="O626">
        <f t="shared" si="103"/>
        <v>2</v>
      </c>
      <c r="P626">
        <v>4</v>
      </c>
      <c r="R626" s="4">
        <v>2</v>
      </c>
      <c r="T626" s="5">
        <v>31.274999999999999</v>
      </c>
      <c r="W626" s="4">
        <v>2</v>
      </c>
      <c r="X626" s="4" t="str">
        <f t="shared" si="104"/>
        <v>Child</v>
      </c>
      <c r="Y626" s="4" t="s">
        <v>3561</v>
      </c>
      <c r="AB626" s="4" t="str">
        <f t="shared" si="105"/>
        <v/>
      </c>
      <c r="AC626" s="4" t="str">
        <f t="shared" si="106"/>
        <v>Unknown</v>
      </c>
      <c r="AD626" s="4" t="s">
        <v>457</v>
      </c>
      <c r="AG626" s="4" t="str">
        <f t="shared" si="107"/>
        <v>Not Applicable</v>
      </c>
      <c r="AK626" s="4" t="s">
        <v>3573</v>
      </c>
      <c r="AL626" s="4" t="str">
        <f t="shared" si="108"/>
        <v>Found</v>
      </c>
      <c r="AN626" s="6">
        <v>31.274999999999999</v>
      </c>
      <c r="AO626" s="4" t="str">
        <f t="shared" si="109"/>
        <v>Mid</v>
      </c>
    </row>
    <row r="627" spans="1:41">
      <c r="A627">
        <v>3</v>
      </c>
      <c r="B627" t="str">
        <f t="shared" si="99"/>
        <v>Third Class</v>
      </c>
      <c r="C627">
        <v>1</v>
      </c>
      <c r="E627" t="str">
        <f t="shared" si="100"/>
        <v>Survived</v>
      </c>
      <c r="F627" t="s">
        <v>1562</v>
      </c>
      <c r="G627" t="s">
        <v>842</v>
      </c>
      <c r="H627" t="s">
        <v>1568</v>
      </c>
      <c r="I627" t="str">
        <f t="shared" si="101"/>
        <v>Miss. Andersson Erna</v>
      </c>
      <c r="J627" t="s">
        <v>47</v>
      </c>
      <c r="K627" t="str">
        <f t="shared" si="102"/>
        <v>Female</v>
      </c>
      <c r="L627">
        <v>17</v>
      </c>
      <c r="O627">
        <f t="shared" si="103"/>
        <v>17</v>
      </c>
      <c r="P627">
        <v>4</v>
      </c>
      <c r="R627" s="4">
        <v>2</v>
      </c>
      <c r="T627" s="5">
        <v>7.9249999999999998</v>
      </c>
      <c r="W627" s="4">
        <v>17</v>
      </c>
      <c r="X627" s="4" t="str">
        <f t="shared" si="104"/>
        <v>Teenager</v>
      </c>
      <c r="Y627" s="4" t="s">
        <v>3561</v>
      </c>
      <c r="AB627" s="4" t="str">
        <f t="shared" si="105"/>
        <v/>
      </c>
      <c r="AC627" s="4" t="str">
        <f t="shared" si="106"/>
        <v>Unknown</v>
      </c>
      <c r="AD627" s="4" t="s">
        <v>457</v>
      </c>
      <c r="AF627" s="4" t="s">
        <v>59</v>
      </c>
      <c r="AG627" s="4" t="str">
        <f t="shared" si="107"/>
        <v>D</v>
      </c>
      <c r="AK627" s="4" t="s">
        <v>3573</v>
      </c>
      <c r="AL627" s="4" t="str">
        <f t="shared" si="108"/>
        <v>Found</v>
      </c>
      <c r="AN627" s="6">
        <v>7.9249999999999998</v>
      </c>
      <c r="AO627" s="4" t="str">
        <f t="shared" si="109"/>
        <v>Low</v>
      </c>
    </row>
    <row r="628" spans="1:41">
      <c r="A628">
        <v>3</v>
      </c>
      <c r="B628" t="str">
        <f t="shared" si="99"/>
        <v>Third Class</v>
      </c>
      <c r="C628">
        <v>0</v>
      </c>
      <c r="E628" t="str">
        <f t="shared" si="100"/>
        <v>Died</v>
      </c>
      <c r="F628" t="s">
        <v>1562</v>
      </c>
      <c r="G628" t="s">
        <v>842</v>
      </c>
      <c r="H628" t="s">
        <v>1229</v>
      </c>
      <c r="I628" t="str">
        <f t="shared" si="101"/>
        <v>Miss. Andersson Ida</v>
      </c>
      <c r="J628" t="s">
        <v>47</v>
      </c>
      <c r="K628" t="str">
        <f t="shared" si="102"/>
        <v>Female</v>
      </c>
      <c r="L628">
        <v>38</v>
      </c>
      <c r="O628">
        <f t="shared" si="103"/>
        <v>38</v>
      </c>
      <c r="P628">
        <v>4</v>
      </c>
      <c r="R628" s="4">
        <v>2</v>
      </c>
      <c r="T628" s="5">
        <v>7.7750000000000004</v>
      </c>
      <c r="W628" s="4">
        <v>38</v>
      </c>
      <c r="X628" s="4" t="str">
        <f t="shared" si="104"/>
        <v>Adult</v>
      </c>
      <c r="Y628" s="4" t="s">
        <v>3561</v>
      </c>
      <c r="AB628" s="4" t="str">
        <f t="shared" si="105"/>
        <v/>
      </c>
      <c r="AC628" s="4" t="str">
        <f t="shared" si="106"/>
        <v>Unknown</v>
      </c>
      <c r="AD628" s="4" t="s">
        <v>457</v>
      </c>
      <c r="AG628" s="4" t="str">
        <f t="shared" si="107"/>
        <v>Not Applicable</v>
      </c>
      <c r="AK628" s="4" t="s">
        <v>3573</v>
      </c>
      <c r="AL628" s="4" t="str">
        <f t="shared" si="108"/>
        <v>Found</v>
      </c>
      <c r="AN628" s="6">
        <v>7.7750000000000004</v>
      </c>
      <c r="AO628" s="4" t="str">
        <f t="shared" si="109"/>
        <v>Low</v>
      </c>
    </row>
    <row r="629" spans="1:41">
      <c r="A629">
        <v>3</v>
      </c>
      <c r="B629" t="str">
        <f t="shared" si="99"/>
        <v>Third Class</v>
      </c>
      <c r="C629">
        <v>0</v>
      </c>
      <c r="E629" t="str">
        <f t="shared" si="100"/>
        <v>Died</v>
      </c>
      <c r="F629" t="s">
        <v>1562</v>
      </c>
      <c r="G629" t="s">
        <v>842</v>
      </c>
      <c r="H629" t="s">
        <v>1295</v>
      </c>
      <c r="I629" t="str">
        <f t="shared" si="101"/>
        <v>Miss. Andersson Ingeborg</v>
      </c>
      <c r="J629" t="s">
        <v>47</v>
      </c>
      <c r="K629" t="str">
        <f t="shared" si="102"/>
        <v>Female</v>
      </c>
      <c r="L629">
        <v>9</v>
      </c>
      <c r="O629">
        <f t="shared" si="103"/>
        <v>9</v>
      </c>
      <c r="P629">
        <v>4</v>
      </c>
      <c r="R629" s="4">
        <v>2</v>
      </c>
      <c r="T629" s="5">
        <v>31.274999999999999</v>
      </c>
      <c r="W629" s="4">
        <v>9</v>
      </c>
      <c r="X629" s="4" t="str">
        <f t="shared" si="104"/>
        <v>Child</v>
      </c>
      <c r="Y629" s="4" t="s">
        <v>3561</v>
      </c>
      <c r="AB629" s="4" t="str">
        <f t="shared" si="105"/>
        <v/>
      </c>
      <c r="AC629" s="4" t="str">
        <f t="shared" si="106"/>
        <v>Unknown</v>
      </c>
      <c r="AD629" s="4" t="s">
        <v>457</v>
      </c>
      <c r="AG629" s="4" t="str">
        <f t="shared" si="107"/>
        <v>Not Applicable</v>
      </c>
      <c r="AK629" s="4" t="s">
        <v>3573</v>
      </c>
      <c r="AL629" s="4" t="str">
        <f t="shared" si="108"/>
        <v>Found</v>
      </c>
      <c r="AN629" s="6">
        <v>31.274999999999999</v>
      </c>
      <c r="AO629" s="4" t="str">
        <f t="shared" si="109"/>
        <v>Mid</v>
      </c>
    </row>
    <row r="630" spans="1:41">
      <c r="A630">
        <v>3</v>
      </c>
      <c r="B630" t="str">
        <f t="shared" si="99"/>
        <v>Third Class</v>
      </c>
      <c r="C630">
        <v>0</v>
      </c>
      <c r="E630" t="str">
        <f t="shared" si="100"/>
        <v>Died</v>
      </c>
      <c r="F630" t="s">
        <v>1562</v>
      </c>
      <c r="G630" t="s">
        <v>842</v>
      </c>
      <c r="H630" t="s">
        <v>1569</v>
      </c>
      <c r="I630" t="str">
        <f t="shared" si="101"/>
        <v>Miss. Andersson Sigrid</v>
      </c>
      <c r="J630" t="s">
        <v>47</v>
      </c>
      <c r="K630" t="str">
        <f t="shared" si="102"/>
        <v>Female</v>
      </c>
      <c r="L630">
        <v>11</v>
      </c>
      <c r="O630">
        <f t="shared" si="103"/>
        <v>11</v>
      </c>
      <c r="P630">
        <v>4</v>
      </c>
      <c r="R630" s="4">
        <v>2</v>
      </c>
      <c r="T630" s="5">
        <v>31.274999999999999</v>
      </c>
      <c r="W630" s="4">
        <v>11</v>
      </c>
      <c r="X630" s="4" t="str">
        <f t="shared" si="104"/>
        <v>Teenager</v>
      </c>
      <c r="Y630" s="4" t="s">
        <v>3561</v>
      </c>
      <c r="AB630" s="4" t="str">
        <f t="shared" si="105"/>
        <v/>
      </c>
      <c r="AC630" s="4" t="str">
        <f t="shared" si="106"/>
        <v>Unknown</v>
      </c>
      <c r="AD630" s="4" t="s">
        <v>457</v>
      </c>
      <c r="AG630" s="4" t="str">
        <f t="shared" si="107"/>
        <v>Not Applicable</v>
      </c>
      <c r="AK630" s="4" t="s">
        <v>3573</v>
      </c>
      <c r="AL630" s="4" t="str">
        <f t="shared" si="108"/>
        <v>Found</v>
      </c>
      <c r="AN630" s="6">
        <v>31.274999999999999</v>
      </c>
      <c r="AO630" s="4" t="str">
        <f t="shared" si="109"/>
        <v>Mid</v>
      </c>
    </row>
    <row r="631" spans="1:41">
      <c r="A631">
        <v>3</v>
      </c>
      <c r="B631" t="str">
        <f t="shared" si="99"/>
        <v>Third Class</v>
      </c>
      <c r="C631">
        <v>0</v>
      </c>
      <c r="E631" t="str">
        <f t="shared" si="100"/>
        <v>Died</v>
      </c>
      <c r="F631" t="s">
        <v>1562</v>
      </c>
      <c r="G631" t="s">
        <v>848</v>
      </c>
      <c r="H631" t="s">
        <v>1570</v>
      </c>
      <c r="I631" t="str">
        <f t="shared" si="101"/>
        <v>Mr. Andersson Anders</v>
      </c>
      <c r="J631" t="s">
        <v>20</v>
      </c>
      <c r="K631" t="str">
        <f t="shared" si="102"/>
        <v>Male</v>
      </c>
      <c r="L631">
        <v>39</v>
      </c>
      <c r="O631">
        <f t="shared" si="103"/>
        <v>39</v>
      </c>
      <c r="P631">
        <v>1</v>
      </c>
      <c r="R631" s="4">
        <v>5</v>
      </c>
      <c r="T631" s="5">
        <v>31.274999999999999</v>
      </c>
      <c r="W631" s="4">
        <v>39</v>
      </c>
      <c r="X631" s="4" t="str">
        <f t="shared" si="104"/>
        <v>Adult</v>
      </c>
      <c r="Y631" s="4" t="s">
        <v>3561</v>
      </c>
      <c r="AB631" s="4" t="str">
        <f t="shared" si="105"/>
        <v/>
      </c>
      <c r="AC631" s="4" t="str">
        <f t="shared" si="106"/>
        <v>Unknown</v>
      </c>
      <c r="AD631" s="4" t="s">
        <v>457</v>
      </c>
      <c r="AG631" s="4" t="str">
        <f t="shared" si="107"/>
        <v>Not Applicable</v>
      </c>
      <c r="AK631" s="4" t="s">
        <v>3573</v>
      </c>
      <c r="AL631" s="4" t="str">
        <f t="shared" si="108"/>
        <v>Found</v>
      </c>
      <c r="AN631" s="6">
        <v>31.274999999999999</v>
      </c>
      <c r="AO631" s="4" t="str">
        <f t="shared" si="109"/>
        <v>Mid</v>
      </c>
    </row>
    <row r="632" spans="1:41">
      <c r="A632">
        <v>3</v>
      </c>
      <c r="B632" t="str">
        <f t="shared" si="99"/>
        <v>Third Class</v>
      </c>
      <c r="C632">
        <v>1</v>
      </c>
      <c r="E632" t="str">
        <f t="shared" si="100"/>
        <v>Survived</v>
      </c>
      <c r="F632" t="s">
        <v>1562</v>
      </c>
      <c r="G632" t="s">
        <v>848</v>
      </c>
      <c r="H632" t="s">
        <v>1434</v>
      </c>
      <c r="I632" t="str">
        <f t="shared" si="101"/>
        <v>Mr. Andersson August</v>
      </c>
      <c r="J632" t="s">
        <v>20</v>
      </c>
      <c r="K632" t="str">
        <f t="shared" si="102"/>
        <v>Male</v>
      </c>
      <c r="L632">
        <v>27</v>
      </c>
      <c r="O632">
        <f t="shared" si="103"/>
        <v>27</v>
      </c>
      <c r="P632">
        <v>0</v>
      </c>
      <c r="R632" s="4">
        <v>0</v>
      </c>
      <c r="T632" s="5">
        <v>7.7957999999999998</v>
      </c>
      <c r="W632" s="4">
        <v>27</v>
      </c>
      <c r="X632" s="4" t="str">
        <f t="shared" si="104"/>
        <v>Young Adult</v>
      </c>
      <c r="Y632" s="4" t="s">
        <v>3561</v>
      </c>
      <c r="AB632" s="4" t="str">
        <f t="shared" si="105"/>
        <v/>
      </c>
      <c r="AC632" s="4" t="str">
        <f t="shared" si="106"/>
        <v>Unknown</v>
      </c>
      <c r="AD632" s="4" t="s">
        <v>457</v>
      </c>
      <c r="AF632" s="4" t="s">
        <v>78</v>
      </c>
      <c r="AG632" s="4" t="str">
        <f t="shared" si="107"/>
        <v>A</v>
      </c>
      <c r="AK632" s="4" t="s">
        <v>3573</v>
      </c>
      <c r="AL632" s="4" t="str">
        <f t="shared" si="108"/>
        <v>Found</v>
      </c>
      <c r="AN632" s="6">
        <v>7.7957999999999998</v>
      </c>
      <c r="AO632" s="4" t="str">
        <f t="shared" si="109"/>
        <v>Low</v>
      </c>
    </row>
    <row r="633" spans="1:41">
      <c r="A633">
        <v>3</v>
      </c>
      <c r="B633" t="str">
        <f t="shared" si="99"/>
        <v>Third Class</v>
      </c>
      <c r="C633">
        <v>0</v>
      </c>
      <c r="E633" t="str">
        <f t="shared" si="100"/>
        <v>Died</v>
      </c>
      <c r="F633" t="s">
        <v>1562</v>
      </c>
      <c r="G633" t="s">
        <v>848</v>
      </c>
      <c r="H633" t="s">
        <v>1105</v>
      </c>
      <c r="I633" t="str">
        <f t="shared" si="101"/>
        <v>Mr. Andersson Johan</v>
      </c>
      <c r="J633" t="s">
        <v>20</v>
      </c>
      <c r="K633" t="str">
        <f t="shared" si="102"/>
        <v>Male</v>
      </c>
      <c r="L633">
        <v>26</v>
      </c>
      <c r="O633">
        <f t="shared" si="103"/>
        <v>26</v>
      </c>
      <c r="P633">
        <v>0</v>
      </c>
      <c r="R633" s="4">
        <v>0</v>
      </c>
      <c r="T633" s="5">
        <v>7.7750000000000004</v>
      </c>
      <c r="W633" s="4">
        <v>26</v>
      </c>
      <c r="X633" s="4" t="str">
        <f t="shared" si="104"/>
        <v>Young Adult</v>
      </c>
      <c r="Y633" s="4" t="s">
        <v>3561</v>
      </c>
      <c r="AB633" s="4" t="str">
        <f t="shared" si="105"/>
        <v/>
      </c>
      <c r="AC633" s="4" t="str">
        <f t="shared" si="106"/>
        <v>Unknown</v>
      </c>
      <c r="AD633" s="4" t="s">
        <v>457</v>
      </c>
      <c r="AG633" s="4" t="str">
        <f t="shared" si="107"/>
        <v>Not Applicable</v>
      </c>
      <c r="AK633" s="4" t="s">
        <v>3573</v>
      </c>
      <c r="AL633" s="4" t="str">
        <f t="shared" si="108"/>
        <v>Found</v>
      </c>
      <c r="AN633" s="6">
        <v>7.7750000000000004</v>
      </c>
      <c r="AO633" s="4" t="str">
        <f t="shared" si="109"/>
        <v>Low</v>
      </c>
    </row>
    <row r="634" spans="1:41">
      <c r="A634">
        <v>3</v>
      </c>
      <c r="B634" t="str">
        <f t="shared" si="99"/>
        <v>Third Class</v>
      </c>
      <c r="C634">
        <v>0</v>
      </c>
      <c r="E634" t="str">
        <f t="shared" si="100"/>
        <v>Died</v>
      </c>
      <c r="F634" t="s">
        <v>1562</v>
      </c>
      <c r="G634" t="s">
        <v>849</v>
      </c>
      <c r="H634" t="s">
        <v>1570</v>
      </c>
      <c r="I634" t="str">
        <f t="shared" si="101"/>
        <v>Mrs. Andersson Anders</v>
      </c>
      <c r="J634" t="s">
        <v>47</v>
      </c>
      <c r="K634" t="str">
        <f t="shared" si="102"/>
        <v>Female</v>
      </c>
      <c r="L634">
        <v>39</v>
      </c>
      <c r="O634">
        <f t="shared" si="103"/>
        <v>39</v>
      </c>
      <c r="P634">
        <v>1</v>
      </c>
      <c r="R634" s="4">
        <v>5</v>
      </c>
      <c r="T634" s="5">
        <v>31.274999999999999</v>
      </c>
      <c r="W634" s="4">
        <v>39</v>
      </c>
      <c r="X634" s="4" t="str">
        <f t="shared" si="104"/>
        <v>Adult</v>
      </c>
      <c r="Y634" s="4" t="s">
        <v>3561</v>
      </c>
      <c r="AB634" s="4" t="str">
        <f t="shared" si="105"/>
        <v/>
      </c>
      <c r="AC634" s="4" t="str">
        <f t="shared" si="106"/>
        <v>Unknown</v>
      </c>
      <c r="AD634" s="4" t="s">
        <v>457</v>
      </c>
      <c r="AG634" s="4" t="str">
        <f t="shared" si="107"/>
        <v>Not Applicable</v>
      </c>
      <c r="AK634" s="4" t="s">
        <v>3573</v>
      </c>
      <c r="AL634" s="4" t="str">
        <f t="shared" si="108"/>
        <v>Found</v>
      </c>
      <c r="AN634" s="6">
        <v>31.274999999999999</v>
      </c>
      <c r="AO634" s="4" t="str">
        <f t="shared" si="109"/>
        <v>Mid</v>
      </c>
    </row>
    <row r="635" spans="1:41">
      <c r="A635">
        <v>3</v>
      </c>
      <c r="B635" t="str">
        <f t="shared" si="99"/>
        <v>Third Class</v>
      </c>
      <c r="C635">
        <v>0</v>
      </c>
      <c r="E635" t="str">
        <f t="shared" si="100"/>
        <v>Died</v>
      </c>
      <c r="F635" t="s">
        <v>1572</v>
      </c>
      <c r="G635" t="s">
        <v>848</v>
      </c>
      <c r="H635" t="s">
        <v>963</v>
      </c>
      <c r="I635" t="str">
        <f t="shared" si="101"/>
        <v>Mr. Andreasson Paul</v>
      </c>
      <c r="J635" t="s">
        <v>20</v>
      </c>
      <c r="K635" t="str">
        <f t="shared" si="102"/>
        <v>Male</v>
      </c>
      <c r="L635">
        <v>20</v>
      </c>
      <c r="O635">
        <f t="shared" si="103"/>
        <v>20</v>
      </c>
      <c r="P635">
        <v>0</v>
      </c>
      <c r="R635" s="4">
        <v>0</v>
      </c>
      <c r="T635" s="5">
        <v>7.8541999999999996</v>
      </c>
      <c r="W635" s="4">
        <v>20</v>
      </c>
      <c r="X635" s="4" t="str">
        <f t="shared" si="104"/>
        <v>Young Adult</v>
      </c>
      <c r="Y635" s="4" t="s">
        <v>3561</v>
      </c>
      <c r="AB635" s="4" t="str">
        <f t="shared" si="105"/>
        <v/>
      </c>
      <c r="AC635" s="4" t="str">
        <f t="shared" si="106"/>
        <v>Unknown</v>
      </c>
      <c r="AD635" s="4" t="s">
        <v>457</v>
      </c>
      <c r="AG635" s="4" t="str">
        <f t="shared" si="107"/>
        <v>Not Applicable</v>
      </c>
      <c r="AK635" s="4" t="s">
        <v>3573</v>
      </c>
      <c r="AL635" s="4" t="str">
        <f t="shared" si="108"/>
        <v>Found</v>
      </c>
      <c r="AN635" s="6">
        <v>7.8541999999999996</v>
      </c>
      <c r="AO635" s="4" t="str">
        <f t="shared" si="109"/>
        <v>Low</v>
      </c>
    </row>
    <row r="636" spans="1:41">
      <c r="A636">
        <v>3</v>
      </c>
      <c r="B636" t="str">
        <f t="shared" si="99"/>
        <v>Third Class</v>
      </c>
      <c r="C636">
        <v>0</v>
      </c>
      <c r="E636" t="str">
        <f t="shared" si="100"/>
        <v>Died</v>
      </c>
      <c r="F636" t="s">
        <v>1574</v>
      </c>
      <c r="G636" t="s">
        <v>848</v>
      </c>
      <c r="H636" t="s">
        <v>1575</v>
      </c>
      <c r="I636" t="str">
        <f t="shared" si="101"/>
        <v>Mr. Angheloff Minko</v>
      </c>
      <c r="J636" t="s">
        <v>20</v>
      </c>
      <c r="K636" t="str">
        <f t="shared" si="102"/>
        <v>Male</v>
      </c>
      <c r="L636">
        <v>26</v>
      </c>
      <c r="O636">
        <f t="shared" si="103"/>
        <v>26</v>
      </c>
      <c r="P636">
        <v>0</v>
      </c>
      <c r="R636" s="4">
        <v>0</v>
      </c>
      <c r="T636" s="5">
        <v>7.8958000000000004</v>
      </c>
      <c r="W636" s="4">
        <v>26</v>
      </c>
      <c r="X636" s="4" t="str">
        <f t="shared" si="104"/>
        <v>Young Adult</v>
      </c>
      <c r="Y636" s="4" t="s">
        <v>3561</v>
      </c>
      <c r="AB636" s="4" t="str">
        <f t="shared" si="105"/>
        <v/>
      </c>
      <c r="AC636" s="4" t="str">
        <f t="shared" si="106"/>
        <v>Unknown</v>
      </c>
      <c r="AD636" s="4" t="s">
        <v>457</v>
      </c>
      <c r="AG636" s="4" t="str">
        <f t="shared" si="107"/>
        <v>Not Applicable</v>
      </c>
      <c r="AK636" s="4" t="s">
        <v>3573</v>
      </c>
      <c r="AL636" s="4" t="str">
        <f t="shared" si="108"/>
        <v>Found</v>
      </c>
      <c r="AN636" s="6">
        <v>7.8958000000000004</v>
      </c>
      <c r="AO636" s="4" t="str">
        <f t="shared" si="109"/>
        <v>Low</v>
      </c>
    </row>
    <row r="637" spans="1:41">
      <c r="A637">
        <v>3</v>
      </c>
      <c r="B637" t="str">
        <f t="shared" si="99"/>
        <v>Third Class</v>
      </c>
      <c r="C637">
        <v>0</v>
      </c>
      <c r="E637" t="str">
        <f t="shared" si="100"/>
        <v>Died</v>
      </c>
      <c r="F637" t="s">
        <v>1576</v>
      </c>
      <c r="G637" t="s">
        <v>848</v>
      </c>
      <c r="H637" t="s">
        <v>1577</v>
      </c>
      <c r="I637" t="str">
        <f t="shared" si="101"/>
        <v>Mr. Arnold-Franchi Josef</v>
      </c>
      <c r="J637" t="s">
        <v>20</v>
      </c>
      <c r="K637" t="str">
        <f t="shared" si="102"/>
        <v>Male</v>
      </c>
      <c r="L637">
        <v>25</v>
      </c>
      <c r="O637">
        <f t="shared" si="103"/>
        <v>25</v>
      </c>
      <c r="P637">
        <v>1</v>
      </c>
      <c r="R637" s="4">
        <v>0</v>
      </c>
      <c r="T637" s="5">
        <v>17.8</v>
      </c>
      <c r="W637" s="4">
        <v>25</v>
      </c>
      <c r="X637" s="4" t="str">
        <f t="shared" si="104"/>
        <v>Young Adult</v>
      </c>
      <c r="Y637" s="4" t="s">
        <v>3561</v>
      </c>
      <c r="AB637" s="4" t="str">
        <f t="shared" si="105"/>
        <v/>
      </c>
      <c r="AC637" s="4" t="str">
        <f t="shared" si="106"/>
        <v>Unknown</v>
      </c>
      <c r="AD637" s="4" t="s">
        <v>457</v>
      </c>
      <c r="AG637" s="4" t="str">
        <f t="shared" si="107"/>
        <v>Not Applicable</v>
      </c>
      <c r="AK637" s="4" t="s">
        <v>3573</v>
      </c>
      <c r="AL637" s="4" t="str">
        <f t="shared" si="108"/>
        <v>Found</v>
      </c>
      <c r="AN637" s="6">
        <v>17.8</v>
      </c>
      <c r="AO637" s="4" t="str">
        <f t="shared" si="109"/>
        <v>Mid</v>
      </c>
    </row>
    <row r="638" spans="1:41">
      <c r="A638">
        <v>3</v>
      </c>
      <c r="B638" t="str">
        <f t="shared" si="99"/>
        <v>Third Class</v>
      </c>
      <c r="C638">
        <v>0</v>
      </c>
      <c r="E638" t="str">
        <f t="shared" si="100"/>
        <v>Died</v>
      </c>
      <c r="F638" t="s">
        <v>1576</v>
      </c>
      <c r="G638" t="s">
        <v>849</v>
      </c>
      <c r="H638" t="s">
        <v>1577</v>
      </c>
      <c r="I638" t="str">
        <f t="shared" si="101"/>
        <v>Mrs. Arnold-Franchi Josef</v>
      </c>
      <c r="J638" t="s">
        <v>47</v>
      </c>
      <c r="K638" t="str">
        <f t="shared" si="102"/>
        <v>Female</v>
      </c>
      <c r="L638">
        <v>18</v>
      </c>
      <c r="O638">
        <f t="shared" si="103"/>
        <v>18</v>
      </c>
      <c r="P638">
        <v>1</v>
      </c>
      <c r="R638" s="4">
        <v>0</v>
      </c>
      <c r="T638" s="5">
        <v>17.8</v>
      </c>
      <c r="W638" s="4">
        <v>18</v>
      </c>
      <c r="X638" s="4" t="str">
        <f t="shared" si="104"/>
        <v>Young Adult</v>
      </c>
      <c r="Y638" s="4" t="s">
        <v>3561</v>
      </c>
      <c r="AB638" s="4" t="str">
        <f t="shared" si="105"/>
        <v/>
      </c>
      <c r="AC638" s="4" t="str">
        <f t="shared" si="106"/>
        <v>Unknown</v>
      </c>
      <c r="AD638" s="4" t="s">
        <v>457</v>
      </c>
      <c r="AG638" s="4" t="str">
        <f t="shared" si="107"/>
        <v>Not Applicable</v>
      </c>
      <c r="AK638" s="4" t="s">
        <v>3573</v>
      </c>
      <c r="AL638" s="4" t="str">
        <f t="shared" si="108"/>
        <v>Found</v>
      </c>
      <c r="AN638" s="6">
        <v>17.8</v>
      </c>
      <c r="AO638" s="4" t="str">
        <f t="shared" si="109"/>
        <v>Mid</v>
      </c>
    </row>
    <row r="639" spans="1:41">
      <c r="A639">
        <v>3</v>
      </c>
      <c r="B639" t="str">
        <f t="shared" si="99"/>
        <v>Third Class</v>
      </c>
      <c r="C639">
        <v>0</v>
      </c>
      <c r="E639" t="str">
        <f t="shared" si="100"/>
        <v>Died</v>
      </c>
      <c r="F639" t="s">
        <v>1578</v>
      </c>
      <c r="G639" t="s">
        <v>848</v>
      </c>
      <c r="H639" t="s">
        <v>1497</v>
      </c>
      <c r="I639" t="str">
        <f t="shared" si="101"/>
        <v>Mr. Aronsson Ernst</v>
      </c>
      <c r="J639" t="s">
        <v>20</v>
      </c>
      <c r="K639" t="str">
        <f t="shared" si="102"/>
        <v>Male</v>
      </c>
      <c r="L639">
        <v>24</v>
      </c>
      <c r="O639">
        <f t="shared" si="103"/>
        <v>24</v>
      </c>
      <c r="P639">
        <v>0</v>
      </c>
      <c r="R639" s="4">
        <v>0</v>
      </c>
      <c r="T639" s="5">
        <v>7.7750000000000004</v>
      </c>
      <c r="W639" s="4">
        <v>24</v>
      </c>
      <c r="X639" s="4" t="str">
        <f t="shared" si="104"/>
        <v>Young Adult</v>
      </c>
      <c r="Y639" s="4" t="s">
        <v>3561</v>
      </c>
      <c r="AB639" s="4" t="str">
        <f t="shared" si="105"/>
        <v/>
      </c>
      <c r="AC639" s="4" t="str">
        <f t="shared" si="106"/>
        <v>Unknown</v>
      </c>
      <c r="AD639" s="4" t="s">
        <v>457</v>
      </c>
      <c r="AG639" s="4" t="str">
        <f t="shared" si="107"/>
        <v>Not Applicable</v>
      </c>
      <c r="AK639" s="4" t="s">
        <v>3573</v>
      </c>
      <c r="AL639" s="4" t="str">
        <f t="shared" si="108"/>
        <v>Found</v>
      </c>
      <c r="AN639" s="6">
        <v>7.7750000000000004</v>
      </c>
      <c r="AO639" s="4" t="str">
        <f t="shared" si="109"/>
        <v>Low</v>
      </c>
    </row>
    <row r="640" spans="1:41">
      <c r="A640">
        <v>3</v>
      </c>
      <c r="B640" t="str">
        <f t="shared" si="99"/>
        <v>Third Class</v>
      </c>
      <c r="C640">
        <v>0</v>
      </c>
      <c r="E640" t="str">
        <f t="shared" si="100"/>
        <v>Died</v>
      </c>
      <c r="F640" t="s">
        <v>1579</v>
      </c>
      <c r="G640" t="s">
        <v>848</v>
      </c>
      <c r="H640" t="s">
        <v>1580</v>
      </c>
      <c r="I640" t="str">
        <f t="shared" si="101"/>
        <v>Mr. Asim Adola</v>
      </c>
      <c r="J640" t="s">
        <v>20</v>
      </c>
      <c r="K640" t="str">
        <f t="shared" si="102"/>
        <v>Male</v>
      </c>
      <c r="L640">
        <v>35</v>
      </c>
      <c r="O640">
        <f t="shared" si="103"/>
        <v>35</v>
      </c>
      <c r="P640">
        <v>0</v>
      </c>
      <c r="R640" s="4">
        <v>0</v>
      </c>
      <c r="T640" s="5">
        <v>7.05</v>
      </c>
      <c r="W640" s="4">
        <v>35</v>
      </c>
      <c r="X640" s="4" t="str">
        <f t="shared" si="104"/>
        <v>Adult</v>
      </c>
      <c r="Y640" s="4" t="s">
        <v>3561</v>
      </c>
      <c r="AB640" s="4" t="str">
        <f t="shared" si="105"/>
        <v/>
      </c>
      <c r="AC640" s="4" t="str">
        <f t="shared" si="106"/>
        <v>Unknown</v>
      </c>
      <c r="AD640" s="4" t="s">
        <v>457</v>
      </c>
      <c r="AG640" s="4" t="str">
        <f t="shared" si="107"/>
        <v>Not Applicable</v>
      </c>
      <c r="AK640" s="4" t="s">
        <v>3573</v>
      </c>
      <c r="AL640" s="4" t="str">
        <f t="shared" si="108"/>
        <v>Found</v>
      </c>
      <c r="AN640" s="6">
        <v>7.05</v>
      </c>
      <c r="AO640" s="4" t="str">
        <f t="shared" si="109"/>
        <v>Low</v>
      </c>
    </row>
    <row r="641" spans="1:41">
      <c r="A641">
        <v>3</v>
      </c>
      <c r="B641" t="str">
        <f t="shared" si="99"/>
        <v>Third Class</v>
      </c>
      <c r="C641">
        <v>0</v>
      </c>
      <c r="E641" t="str">
        <f t="shared" si="100"/>
        <v>Died</v>
      </c>
      <c r="F641" t="s">
        <v>1581</v>
      </c>
      <c r="G641" t="s">
        <v>845</v>
      </c>
      <c r="H641" t="s">
        <v>1104</v>
      </c>
      <c r="I641" t="str">
        <f t="shared" si="101"/>
        <v>Master. Asplund Carl</v>
      </c>
      <c r="J641" t="s">
        <v>20</v>
      </c>
      <c r="K641" t="str">
        <f t="shared" si="102"/>
        <v>Male</v>
      </c>
      <c r="L641">
        <v>5</v>
      </c>
      <c r="O641">
        <f t="shared" si="103"/>
        <v>5</v>
      </c>
      <c r="P641">
        <v>4</v>
      </c>
      <c r="R641" s="4">
        <v>2</v>
      </c>
      <c r="T641" s="5">
        <v>31.387499999999999</v>
      </c>
      <c r="W641" s="4">
        <v>5</v>
      </c>
      <c r="X641" s="4" t="str">
        <f t="shared" si="104"/>
        <v>Child</v>
      </c>
      <c r="Y641" s="4" t="s">
        <v>3561</v>
      </c>
      <c r="AB641" s="4" t="str">
        <f t="shared" si="105"/>
        <v/>
      </c>
      <c r="AC641" s="4" t="str">
        <f t="shared" si="106"/>
        <v>Unknown</v>
      </c>
      <c r="AD641" s="4" t="s">
        <v>457</v>
      </c>
      <c r="AG641" s="4" t="str">
        <f t="shared" si="107"/>
        <v>Not Applicable</v>
      </c>
      <c r="AK641" s="4" t="s">
        <v>3573</v>
      </c>
      <c r="AL641" s="4" t="str">
        <f t="shared" si="108"/>
        <v>Found</v>
      </c>
      <c r="AN641" s="6">
        <v>31.387499999999999</v>
      </c>
      <c r="AO641" s="4" t="str">
        <f t="shared" si="109"/>
        <v>Mid</v>
      </c>
    </row>
    <row r="642" spans="1:41">
      <c r="A642">
        <v>3</v>
      </c>
      <c r="B642" t="str">
        <f t="shared" si="99"/>
        <v>Third Class</v>
      </c>
      <c r="C642">
        <v>0</v>
      </c>
      <c r="E642" t="str">
        <f t="shared" si="100"/>
        <v>Died</v>
      </c>
      <c r="F642" t="s">
        <v>1581</v>
      </c>
      <c r="G642" t="s">
        <v>845</v>
      </c>
      <c r="H642" t="s">
        <v>1143</v>
      </c>
      <c r="I642" t="str">
        <f t="shared" si="101"/>
        <v>Master. Asplund Clarence</v>
      </c>
      <c r="J642" t="s">
        <v>20</v>
      </c>
      <c r="K642" t="str">
        <f t="shared" si="102"/>
        <v>Male</v>
      </c>
      <c r="L642">
        <v>9</v>
      </c>
      <c r="O642">
        <f t="shared" si="103"/>
        <v>9</v>
      </c>
      <c r="P642">
        <v>4</v>
      </c>
      <c r="R642" s="4">
        <v>2</v>
      </c>
      <c r="T642" s="5">
        <v>31.387499999999999</v>
      </c>
      <c r="W642" s="4">
        <v>9</v>
      </c>
      <c r="X642" s="4" t="str">
        <f t="shared" si="104"/>
        <v>Child</v>
      </c>
      <c r="Y642" s="4" t="s">
        <v>3561</v>
      </c>
      <c r="AB642" s="4" t="str">
        <f t="shared" si="105"/>
        <v/>
      </c>
      <c r="AC642" s="4" t="str">
        <f t="shared" si="106"/>
        <v>Unknown</v>
      </c>
      <c r="AD642" s="4" t="s">
        <v>457</v>
      </c>
      <c r="AG642" s="4" t="str">
        <f t="shared" si="107"/>
        <v>Not Applicable</v>
      </c>
      <c r="AK642" s="4" t="s">
        <v>3573</v>
      </c>
      <c r="AL642" s="4" t="str">
        <f t="shared" si="108"/>
        <v>Found</v>
      </c>
      <c r="AN642" s="6">
        <v>31.387499999999999</v>
      </c>
      <c r="AO642" s="4" t="str">
        <f t="shared" si="109"/>
        <v>Mid</v>
      </c>
    </row>
    <row r="643" spans="1:41">
      <c r="A643">
        <v>3</v>
      </c>
      <c r="B643" t="str">
        <f t="shared" ref="B643:B706" si="110">IF(A643=1,"First Class",IF(A643=2,"Second Class",IF(A643=3,"Third Class"," ")))</f>
        <v>Third Class</v>
      </c>
      <c r="C643">
        <v>1</v>
      </c>
      <c r="E643" t="str">
        <f t="shared" ref="E643:E706" si="111">IF(C643=1,"Survived",IF(C643=0,"Died"))</f>
        <v>Survived</v>
      </c>
      <c r="F643" t="s">
        <v>1581</v>
      </c>
      <c r="G643" t="s">
        <v>845</v>
      </c>
      <c r="H643" t="s">
        <v>1573</v>
      </c>
      <c r="I643" t="str">
        <f t="shared" ref="I643:I706" si="112">_xlfn.CONCAT(G643," ",F643," ",H643)</f>
        <v>Master. Asplund Edvin</v>
      </c>
      <c r="J643" t="s">
        <v>20</v>
      </c>
      <c r="K643" t="str">
        <f t="shared" ref="K643:K706" si="113">PROPER(J643)</f>
        <v>Male</v>
      </c>
      <c r="L643">
        <v>3</v>
      </c>
      <c r="O643">
        <f t="shared" ref="O643:O706" si="114">IF(L643&lt;1,1,ROUND(L643,0))</f>
        <v>3</v>
      </c>
      <c r="P643">
        <v>4</v>
      </c>
      <c r="R643" s="4">
        <v>2</v>
      </c>
      <c r="T643" s="5">
        <v>31.387499999999999</v>
      </c>
      <c r="W643" s="4">
        <v>3</v>
      </c>
      <c r="X643" s="4" t="str">
        <f t="shared" ref="X643:X706" si="115">IF(W643&lt;10,"Child",IF(W643&lt;18,"Teenager",IF(W643&lt;30,"Young Adult",IF(W643&lt;60,"Adult","Old Adult"))))</f>
        <v>Child</v>
      </c>
      <c r="Y643" s="4" t="s">
        <v>3561</v>
      </c>
      <c r="AB643" s="4" t="str">
        <f t="shared" ref="AB643:AB706" si="116">LEFT(AA643,1)</f>
        <v/>
      </c>
      <c r="AC643" s="4" t="str">
        <f t="shared" ref="AC643:AC706" si="117">IF(AB643="","Unknown",LEFT(AB643,1))</f>
        <v>Unknown</v>
      </c>
      <c r="AD643" s="4" t="s">
        <v>457</v>
      </c>
      <c r="AF643" s="4">
        <v>15</v>
      </c>
      <c r="AG643" s="4">
        <f t="shared" ref="AG643:AG706" si="118">IF(AF643="",IF(E643=1,"Unknown","Not Applicable"),AF643)</f>
        <v>15</v>
      </c>
      <c r="AK643" s="4" t="s">
        <v>3573</v>
      </c>
      <c r="AL643" s="4" t="str">
        <f t="shared" ref="AL643:AL706" si="119">IF(AK643="","Not Found","Found")</f>
        <v>Found</v>
      </c>
      <c r="AN643" s="6">
        <v>31.387499999999999</v>
      </c>
      <c r="AO643" s="4" t="str">
        <f t="shared" ref="AO643:AO706" si="120">IF(AN643&lt;=10,"Low",IF(AN643&lt;=50,"Mid","High"))</f>
        <v>Mid</v>
      </c>
    </row>
    <row r="644" spans="1:41">
      <c r="A644">
        <v>3</v>
      </c>
      <c r="B644" t="str">
        <f t="shared" si="110"/>
        <v>Third Class</v>
      </c>
      <c r="C644">
        <v>0</v>
      </c>
      <c r="E644" t="str">
        <f t="shared" si="111"/>
        <v>Died</v>
      </c>
      <c r="F644" t="s">
        <v>1581</v>
      </c>
      <c r="G644" t="s">
        <v>845</v>
      </c>
      <c r="H644" t="s">
        <v>1582</v>
      </c>
      <c r="I644" t="str">
        <f t="shared" si="112"/>
        <v>Master. Asplund Filip</v>
      </c>
      <c r="J644" t="s">
        <v>20</v>
      </c>
      <c r="K644" t="str">
        <f t="shared" si="113"/>
        <v>Male</v>
      </c>
      <c r="L644">
        <v>13</v>
      </c>
      <c r="O644">
        <f t="shared" si="114"/>
        <v>13</v>
      </c>
      <c r="P644">
        <v>4</v>
      </c>
      <c r="R644" s="4">
        <v>2</v>
      </c>
      <c r="T644" s="5">
        <v>31.387499999999999</v>
      </c>
      <c r="W644" s="4">
        <v>13</v>
      </c>
      <c r="X644" s="4" t="str">
        <f t="shared" si="115"/>
        <v>Teenager</v>
      </c>
      <c r="Y644" s="4" t="s">
        <v>3561</v>
      </c>
      <c r="AB644" s="4" t="str">
        <f t="shared" si="116"/>
        <v/>
      </c>
      <c r="AC644" s="4" t="str">
        <f t="shared" si="117"/>
        <v>Unknown</v>
      </c>
      <c r="AD644" s="4" t="s">
        <v>457</v>
      </c>
      <c r="AG644" s="4" t="str">
        <f t="shared" si="118"/>
        <v>Not Applicable</v>
      </c>
      <c r="AK644" s="4" t="s">
        <v>3573</v>
      </c>
      <c r="AL644" s="4" t="str">
        <f t="shared" si="119"/>
        <v>Found</v>
      </c>
      <c r="AN644" s="6">
        <v>31.387499999999999</v>
      </c>
      <c r="AO644" s="4" t="str">
        <f t="shared" si="120"/>
        <v>Mid</v>
      </c>
    </row>
    <row r="645" spans="1:41">
      <c r="A645">
        <v>3</v>
      </c>
      <c r="B645" t="str">
        <f t="shared" si="110"/>
        <v>Third Class</v>
      </c>
      <c r="C645">
        <v>1</v>
      </c>
      <c r="E645" t="str">
        <f t="shared" si="111"/>
        <v>Survived</v>
      </c>
      <c r="F645" t="s">
        <v>1581</v>
      </c>
      <c r="G645" t="s">
        <v>842</v>
      </c>
      <c r="H645" t="s">
        <v>1584</v>
      </c>
      <c r="I645" t="str">
        <f t="shared" si="112"/>
        <v>Miss. Asplund Lillian</v>
      </c>
      <c r="J645" t="s">
        <v>47</v>
      </c>
      <c r="K645" t="str">
        <f t="shared" si="113"/>
        <v>Female</v>
      </c>
      <c r="L645">
        <v>5</v>
      </c>
      <c r="O645">
        <f t="shared" si="114"/>
        <v>5</v>
      </c>
      <c r="P645">
        <v>4</v>
      </c>
      <c r="R645" s="4">
        <v>2</v>
      </c>
      <c r="T645" s="5">
        <v>31.387499999999999</v>
      </c>
      <c r="W645" s="4">
        <v>5</v>
      </c>
      <c r="X645" s="4" t="str">
        <f t="shared" si="115"/>
        <v>Child</v>
      </c>
      <c r="Y645" s="4" t="s">
        <v>3561</v>
      </c>
      <c r="AB645" s="4" t="str">
        <f t="shared" si="116"/>
        <v/>
      </c>
      <c r="AC645" s="4" t="str">
        <f t="shared" si="117"/>
        <v>Unknown</v>
      </c>
      <c r="AD645" s="4" t="s">
        <v>457</v>
      </c>
      <c r="AF645" s="4">
        <v>15</v>
      </c>
      <c r="AG645" s="4">
        <f t="shared" si="118"/>
        <v>15</v>
      </c>
      <c r="AK645" s="4" t="s">
        <v>3573</v>
      </c>
      <c r="AL645" s="4" t="str">
        <f t="shared" si="119"/>
        <v>Found</v>
      </c>
      <c r="AN645" s="6">
        <v>31.387499999999999</v>
      </c>
      <c r="AO645" s="4" t="str">
        <f t="shared" si="120"/>
        <v>Mid</v>
      </c>
    </row>
    <row r="646" spans="1:41">
      <c r="A646">
        <v>3</v>
      </c>
      <c r="B646" t="str">
        <f t="shared" si="110"/>
        <v>Third Class</v>
      </c>
      <c r="C646">
        <v>0</v>
      </c>
      <c r="E646" t="str">
        <f t="shared" si="111"/>
        <v>Died</v>
      </c>
      <c r="F646" t="s">
        <v>1581</v>
      </c>
      <c r="G646" t="s">
        <v>848</v>
      </c>
      <c r="H646" t="s">
        <v>1104</v>
      </c>
      <c r="I646" t="str">
        <f t="shared" si="112"/>
        <v>Mr. Asplund Carl</v>
      </c>
      <c r="J646" t="s">
        <v>20</v>
      </c>
      <c r="K646" t="str">
        <f t="shared" si="113"/>
        <v>Male</v>
      </c>
      <c r="L646">
        <v>40</v>
      </c>
      <c r="O646">
        <f t="shared" si="114"/>
        <v>40</v>
      </c>
      <c r="P646">
        <v>1</v>
      </c>
      <c r="R646" s="4">
        <v>5</v>
      </c>
      <c r="T646" s="5">
        <v>31.387499999999999</v>
      </c>
      <c r="W646" s="4">
        <v>40</v>
      </c>
      <c r="X646" s="4" t="str">
        <f t="shared" si="115"/>
        <v>Adult</v>
      </c>
      <c r="Y646" s="4" t="s">
        <v>3561</v>
      </c>
      <c r="AB646" s="4" t="str">
        <f t="shared" si="116"/>
        <v/>
      </c>
      <c r="AC646" s="4" t="str">
        <f t="shared" si="117"/>
        <v>Unknown</v>
      </c>
      <c r="AD646" s="4" t="s">
        <v>457</v>
      </c>
      <c r="AG646" s="4" t="str">
        <f t="shared" si="118"/>
        <v>Not Applicable</v>
      </c>
      <c r="AH646" s="4">
        <v>142</v>
      </c>
      <c r="AK646" s="4">
        <v>142</v>
      </c>
      <c r="AL646" s="4" t="str">
        <f t="shared" si="119"/>
        <v>Found</v>
      </c>
      <c r="AN646" s="6">
        <v>31.387499999999999</v>
      </c>
      <c r="AO646" s="4" t="str">
        <f t="shared" si="120"/>
        <v>Mid</v>
      </c>
    </row>
    <row r="647" spans="1:41">
      <c r="A647">
        <v>3</v>
      </c>
      <c r="B647" t="str">
        <f t="shared" si="110"/>
        <v>Third Class</v>
      </c>
      <c r="C647">
        <v>1</v>
      </c>
      <c r="E647" t="str">
        <f t="shared" si="111"/>
        <v>Survived</v>
      </c>
      <c r="F647" t="s">
        <v>1581</v>
      </c>
      <c r="G647" t="s">
        <v>848</v>
      </c>
      <c r="H647" t="s">
        <v>1105</v>
      </c>
      <c r="I647" t="str">
        <f t="shared" si="112"/>
        <v>Mr. Asplund Johan</v>
      </c>
      <c r="J647" t="s">
        <v>20</v>
      </c>
      <c r="K647" t="str">
        <f t="shared" si="113"/>
        <v>Male</v>
      </c>
      <c r="L647">
        <v>23</v>
      </c>
      <c r="O647">
        <f t="shared" si="114"/>
        <v>23</v>
      </c>
      <c r="P647">
        <v>0</v>
      </c>
      <c r="R647" s="4">
        <v>0</v>
      </c>
      <c r="T647" s="5">
        <v>7.7957999999999998</v>
      </c>
      <c r="W647" s="4">
        <v>23</v>
      </c>
      <c r="X647" s="4" t="str">
        <f t="shared" si="115"/>
        <v>Young Adult</v>
      </c>
      <c r="Y647" s="4" t="s">
        <v>3561</v>
      </c>
      <c r="AB647" s="4" t="str">
        <f t="shared" si="116"/>
        <v/>
      </c>
      <c r="AC647" s="4" t="str">
        <f t="shared" si="117"/>
        <v>Unknown</v>
      </c>
      <c r="AD647" s="4" t="s">
        <v>457</v>
      </c>
      <c r="AF647" s="4">
        <v>13</v>
      </c>
      <c r="AG647" s="4">
        <f t="shared" si="118"/>
        <v>13</v>
      </c>
      <c r="AK647" s="4" t="s">
        <v>3573</v>
      </c>
      <c r="AL647" s="4" t="str">
        <f t="shared" si="119"/>
        <v>Found</v>
      </c>
      <c r="AN647" s="6">
        <v>7.7957999999999998</v>
      </c>
      <c r="AO647" s="4" t="str">
        <f t="shared" si="120"/>
        <v>Low</v>
      </c>
    </row>
    <row r="648" spans="1:41">
      <c r="A648">
        <v>3</v>
      </c>
      <c r="B648" t="str">
        <f t="shared" si="110"/>
        <v>Third Class</v>
      </c>
      <c r="C648">
        <v>1</v>
      </c>
      <c r="E648" t="str">
        <f t="shared" si="111"/>
        <v>Survived</v>
      </c>
      <c r="F648" t="s">
        <v>1581</v>
      </c>
      <c r="G648" t="s">
        <v>849</v>
      </c>
      <c r="H648" t="s">
        <v>1104</v>
      </c>
      <c r="I648" t="str">
        <f t="shared" si="112"/>
        <v>Mrs. Asplund Carl</v>
      </c>
      <c r="J648" t="s">
        <v>47</v>
      </c>
      <c r="K648" t="str">
        <f t="shared" si="113"/>
        <v>Female</v>
      </c>
      <c r="L648">
        <v>38</v>
      </c>
      <c r="O648">
        <f t="shared" si="114"/>
        <v>38</v>
      </c>
      <c r="P648">
        <v>1</v>
      </c>
      <c r="R648" s="4">
        <v>5</v>
      </c>
      <c r="T648" s="5">
        <v>31.387499999999999</v>
      </c>
      <c r="W648" s="4">
        <v>38</v>
      </c>
      <c r="X648" s="4" t="str">
        <f t="shared" si="115"/>
        <v>Adult</v>
      </c>
      <c r="Y648" s="4" t="s">
        <v>3561</v>
      </c>
      <c r="AB648" s="4" t="str">
        <f t="shared" si="116"/>
        <v/>
      </c>
      <c r="AC648" s="4" t="str">
        <f t="shared" si="117"/>
        <v>Unknown</v>
      </c>
      <c r="AD648" s="4" t="s">
        <v>457</v>
      </c>
      <c r="AF648" s="4">
        <v>15</v>
      </c>
      <c r="AG648" s="4">
        <f t="shared" si="118"/>
        <v>15</v>
      </c>
      <c r="AK648" s="4" t="s">
        <v>3573</v>
      </c>
      <c r="AL648" s="4" t="str">
        <f t="shared" si="119"/>
        <v>Found</v>
      </c>
      <c r="AN648" s="6">
        <v>31.387499999999999</v>
      </c>
      <c r="AO648" s="4" t="str">
        <f t="shared" si="120"/>
        <v>Mid</v>
      </c>
    </row>
    <row r="649" spans="1:41">
      <c r="A649">
        <v>3</v>
      </c>
      <c r="B649" t="str">
        <f t="shared" si="110"/>
        <v>Third Class</v>
      </c>
      <c r="C649">
        <v>1</v>
      </c>
      <c r="E649" t="str">
        <f t="shared" si="111"/>
        <v>Survived</v>
      </c>
      <c r="F649" t="s">
        <v>1587</v>
      </c>
      <c r="G649" t="s">
        <v>1588</v>
      </c>
      <c r="H649" t="s">
        <v>849</v>
      </c>
      <c r="I649" t="str">
        <f t="shared" si="112"/>
        <v>Khalil Assaf Mrs.</v>
      </c>
      <c r="J649" t="s">
        <v>47</v>
      </c>
      <c r="K649" t="str">
        <f t="shared" si="113"/>
        <v>Female</v>
      </c>
      <c r="L649">
        <v>45</v>
      </c>
      <c r="O649">
        <f t="shared" si="114"/>
        <v>45</v>
      </c>
      <c r="P649">
        <v>0</v>
      </c>
      <c r="R649" s="4">
        <v>0</v>
      </c>
      <c r="T649" s="5">
        <v>7.2249999999999996</v>
      </c>
      <c r="W649" s="4">
        <v>45</v>
      </c>
      <c r="X649" s="4" t="str">
        <f t="shared" si="115"/>
        <v>Adult</v>
      </c>
      <c r="Y649" s="4" t="s">
        <v>3561</v>
      </c>
      <c r="AB649" s="4" t="str">
        <f t="shared" si="116"/>
        <v/>
      </c>
      <c r="AC649" s="4" t="str">
        <f t="shared" si="117"/>
        <v>Unknown</v>
      </c>
      <c r="AD649" s="4" t="s">
        <v>3566</v>
      </c>
      <c r="AF649" s="4" t="s">
        <v>62</v>
      </c>
      <c r="AG649" s="4" t="str">
        <f t="shared" si="118"/>
        <v>C</v>
      </c>
      <c r="AK649" s="4" t="s">
        <v>3573</v>
      </c>
      <c r="AL649" s="4" t="str">
        <f t="shared" si="119"/>
        <v>Found</v>
      </c>
      <c r="AN649" s="6">
        <v>7.2249999999999996</v>
      </c>
      <c r="AO649" s="4" t="str">
        <f t="shared" si="120"/>
        <v>Low</v>
      </c>
    </row>
    <row r="650" spans="1:41">
      <c r="A650">
        <v>3</v>
      </c>
      <c r="B650" t="str">
        <f t="shared" si="110"/>
        <v>Third Class</v>
      </c>
      <c r="C650">
        <v>0</v>
      </c>
      <c r="E650" t="str">
        <f t="shared" si="111"/>
        <v>Died</v>
      </c>
      <c r="F650" t="s">
        <v>1587</v>
      </c>
      <c r="G650" t="s">
        <v>848</v>
      </c>
      <c r="H650" t="s">
        <v>1589</v>
      </c>
      <c r="I650" t="str">
        <f t="shared" si="112"/>
        <v>Mr. Assaf Gerios</v>
      </c>
      <c r="J650" t="s">
        <v>20</v>
      </c>
      <c r="K650" t="str">
        <f t="shared" si="113"/>
        <v>Male</v>
      </c>
      <c r="L650">
        <v>21</v>
      </c>
      <c r="O650">
        <f t="shared" si="114"/>
        <v>21</v>
      </c>
      <c r="P650">
        <v>0</v>
      </c>
      <c r="R650" s="4">
        <v>0</v>
      </c>
      <c r="T650" s="5">
        <v>7.2249999999999996</v>
      </c>
      <c r="W650" s="4">
        <v>21</v>
      </c>
      <c r="X650" s="4" t="str">
        <f t="shared" si="115"/>
        <v>Young Adult</v>
      </c>
      <c r="Y650" s="4" t="s">
        <v>3561</v>
      </c>
      <c r="AB650" s="4" t="str">
        <f t="shared" si="116"/>
        <v/>
      </c>
      <c r="AC650" s="4" t="str">
        <f t="shared" si="117"/>
        <v>Unknown</v>
      </c>
      <c r="AD650" s="4" t="s">
        <v>3566</v>
      </c>
      <c r="AG650" s="4" t="str">
        <f t="shared" si="118"/>
        <v>Not Applicable</v>
      </c>
      <c r="AK650" s="4" t="s">
        <v>3573</v>
      </c>
      <c r="AL650" s="4" t="str">
        <f t="shared" si="119"/>
        <v>Found</v>
      </c>
      <c r="AN650" s="6">
        <v>7.2249999999999996</v>
      </c>
      <c r="AO650" s="4" t="str">
        <f t="shared" si="120"/>
        <v>Low</v>
      </c>
    </row>
    <row r="651" spans="1:41">
      <c r="A651">
        <v>3</v>
      </c>
      <c r="B651" t="str">
        <f t="shared" si="110"/>
        <v>Third Class</v>
      </c>
      <c r="C651">
        <v>0</v>
      </c>
      <c r="E651" t="str">
        <f t="shared" si="111"/>
        <v>Died</v>
      </c>
      <c r="F651" t="s">
        <v>1590</v>
      </c>
      <c r="G651" t="s">
        <v>848</v>
      </c>
      <c r="H651" t="s">
        <v>1555</v>
      </c>
      <c r="I651" t="str">
        <f t="shared" si="112"/>
        <v>Mr. Assam Ali</v>
      </c>
      <c r="J651" t="s">
        <v>20</v>
      </c>
      <c r="K651" t="str">
        <f t="shared" si="113"/>
        <v>Male</v>
      </c>
      <c r="L651">
        <v>23</v>
      </c>
      <c r="O651">
        <f t="shared" si="114"/>
        <v>23</v>
      </c>
      <c r="P651">
        <v>0</v>
      </c>
      <c r="R651" s="4">
        <v>0</v>
      </c>
      <c r="T651" s="5">
        <v>7.05</v>
      </c>
      <c r="W651" s="4">
        <v>23</v>
      </c>
      <c r="X651" s="4" t="str">
        <f t="shared" si="115"/>
        <v>Young Adult</v>
      </c>
      <c r="Y651" s="4" t="s">
        <v>3561</v>
      </c>
      <c r="AB651" s="4" t="str">
        <f t="shared" si="116"/>
        <v/>
      </c>
      <c r="AC651" s="4" t="str">
        <f t="shared" si="117"/>
        <v>Unknown</v>
      </c>
      <c r="AD651" s="4" t="s">
        <v>457</v>
      </c>
      <c r="AG651" s="4" t="str">
        <f t="shared" si="118"/>
        <v>Not Applicable</v>
      </c>
      <c r="AK651" s="4" t="s">
        <v>3573</v>
      </c>
      <c r="AL651" s="4" t="str">
        <f t="shared" si="119"/>
        <v>Found</v>
      </c>
      <c r="AN651" s="6">
        <v>7.05</v>
      </c>
      <c r="AO651" s="4" t="str">
        <f t="shared" si="120"/>
        <v>Low</v>
      </c>
    </row>
    <row r="652" spans="1:41">
      <c r="A652">
        <v>3</v>
      </c>
      <c r="B652" t="str">
        <f t="shared" si="110"/>
        <v>Third Class</v>
      </c>
      <c r="C652">
        <v>0</v>
      </c>
      <c r="E652" t="str">
        <f t="shared" si="111"/>
        <v>Died</v>
      </c>
      <c r="F652" t="s">
        <v>1591</v>
      </c>
      <c r="G652" t="s">
        <v>842</v>
      </c>
      <c r="H652" t="s">
        <v>1592</v>
      </c>
      <c r="I652" t="str">
        <f t="shared" si="112"/>
        <v>Miss. Attalah Malake</v>
      </c>
      <c r="J652" t="s">
        <v>47</v>
      </c>
      <c r="K652" t="str">
        <f t="shared" si="113"/>
        <v>Female</v>
      </c>
      <c r="L652">
        <v>17</v>
      </c>
      <c r="O652">
        <f t="shared" si="114"/>
        <v>17</v>
      </c>
      <c r="P652">
        <v>0</v>
      </c>
      <c r="R652" s="4">
        <v>0</v>
      </c>
      <c r="T652" s="5">
        <v>14.458299999999999</v>
      </c>
      <c r="W652" s="4">
        <v>17</v>
      </c>
      <c r="X652" s="4" t="str">
        <f t="shared" si="115"/>
        <v>Teenager</v>
      </c>
      <c r="Y652" s="4" t="s">
        <v>3561</v>
      </c>
      <c r="AB652" s="4" t="str">
        <f t="shared" si="116"/>
        <v/>
      </c>
      <c r="AC652" s="4" t="str">
        <f t="shared" si="117"/>
        <v>Unknown</v>
      </c>
      <c r="AD652" s="4" t="s">
        <v>3566</v>
      </c>
      <c r="AG652" s="4" t="str">
        <f t="shared" si="118"/>
        <v>Not Applicable</v>
      </c>
      <c r="AK652" s="4" t="s">
        <v>3573</v>
      </c>
      <c r="AL652" s="4" t="str">
        <f t="shared" si="119"/>
        <v>Found</v>
      </c>
      <c r="AN652" s="6">
        <v>14.458299999999999</v>
      </c>
      <c r="AO652" s="4" t="str">
        <f t="shared" si="120"/>
        <v>Mid</v>
      </c>
    </row>
    <row r="653" spans="1:41">
      <c r="A653">
        <v>3</v>
      </c>
      <c r="B653" t="str">
        <f t="shared" si="110"/>
        <v>Third Class</v>
      </c>
      <c r="C653">
        <v>0</v>
      </c>
      <c r="E653" t="str">
        <f t="shared" si="111"/>
        <v>Died</v>
      </c>
      <c r="F653" t="s">
        <v>1591</v>
      </c>
      <c r="G653" t="s">
        <v>848</v>
      </c>
      <c r="H653" t="s">
        <v>1593</v>
      </c>
      <c r="I653" t="str">
        <f t="shared" si="112"/>
        <v>Mr. Attalah Sleiman</v>
      </c>
      <c r="J653" t="s">
        <v>20</v>
      </c>
      <c r="K653" t="str">
        <f t="shared" si="113"/>
        <v>Male</v>
      </c>
      <c r="L653">
        <v>30</v>
      </c>
      <c r="O653">
        <f t="shared" si="114"/>
        <v>30</v>
      </c>
      <c r="P653">
        <v>0</v>
      </c>
      <c r="R653" s="4">
        <v>0</v>
      </c>
      <c r="T653" s="5">
        <v>7.2249999999999996</v>
      </c>
      <c r="W653" s="4">
        <v>30</v>
      </c>
      <c r="X653" s="4" t="str">
        <f t="shared" si="115"/>
        <v>Adult</v>
      </c>
      <c r="Y653" s="4" t="s">
        <v>3561</v>
      </c>
      <c r="AB653" s="4" t="str">
        <f t="shared" si="116"/>
        <v/>
      </c>
      <c r="AC653" s="4" t="str">
        <f t="shared" si="117"/>
        <v>Unknown</v>
      </c>
      <c r="AD653" s="4" t="s">
        <v>3566</v>
      </c>
      <c r="AG653" s="4" t="str">
        <f t="shared" si="118"/>
        <v>Not Applicable</v>
      </c>
      <c r="AK653" s="4" t="s">
        <v>3573</v>
      </c>
      <c r="AL653" s="4" t="str">
        <f t="shared" si="119"/>
        <v>Found</v>
      </c>
      <c r="AN653" s="6">
        <v>7.2249999999999996</v>
      </c>
      <c r="AO653" s="4" t="str">
        <f t="shared" si="120"/>
        <v>Low</v>
      </c>
    </row>
    <row r="654" spans="1:41">
      <c r="A654">
        <v>3</v>
      </c>
      <c r="B654" t="str">
        <f t="shared" si="110"/>
        <v>Third Class</v>
      </c>
      <c r="C654">
        <v>0</v>
      </c>
      <c r="E654" t="str">
        <f t="shared" si="111"/>
        <v>Died</v>
      </c>
      <c r="F654" t="s">
        <v>1594</v>
      </c>
      <c r="G654" t="s">
        <v>848</v>
      </c>
      <c r="H654" t="s">
        <v>995</v>
      </c>
      <c r="I654" t="str">
        <f t="shared" si="112"/>
        <v>Mr. Augustsson Albert</v>
      </c>
      <c r="J654" t="s">
        <v>20</v>
      </c>
      <c r="K654" t="str">
        <f t="shared" si="113"/>
        <v>Male</v>
      </c>
      <c r="L654">
        <v>23</v>
      </c>
      <c r="O654">
        <f t="shared" si="114"/>
        <v>23</v>
      </c>
      <c r="P654">
        <v>0</v>
      </c>
      <c r="R654" s="4">
        <v>0</v>
      </c>
      <c r="T654" s="5">
        <v>7.8541999999999996</v>
      </c>
      <c r="W654" s="4">
        <v>23</v>
      </c>
      <c r="X654" s="4" t="str">
        <f t="shared" si="115"/>
        <v>Young Adult</v>
      </c>
      <c r="Y654" s="4" t="s">
        <v>3561</v>
      </c>
      <c r="AB654" s="4" t="str">
        <f t="shared" si="116"/>
        <v/>
      </c>
      <c r="AC654" s="4" t="str">
        <f t="shared" si="117"/>
        <v>Unknown</v>
      </c>
      <c r="AD654" s="4" t="s">
        <v>457</v>
      </c>
      <c r="AG654" s="4" t="str">
        <f t="shared" si="118"/>
        <v>Not Applicable</v>
      </c>
      <c r="AK654" s="4" t="s">
        <v>3573</v>
      </c>
      <c r="AL654" s="4" t="str">
        <f t="shared" si="119"/>
        <v>Found</v>
      </c>
      <c r="AN654" s="6">
        <v>7.8541999999999996</v>
      </c>
      <c r="AO654" s="4" t="str">
        <f t="shared" si="120"/>
        <v>Low</v>
      </c>
    </row>
    <row r="655" spans="1:41">
      <c r="A655">
        <v>3</v>
      </c>
      <c r="B655" t="str">
        <f t="shared" si="110"/>
        <v>Third Class</v>
      </c>
      <c r="C655">
        <v>1</v>
      </c>
      <c r="E655" t="str">
        <f t="shared" si="111"/>
        <v>Survived</v>
      </c>
      <c r="F655" t="s">
        <v>1595</v>
      </c>
      <c r="G655" t="s">
        <v>842</v>
      </c>
      <c r="H655" t="s">
        <v>1596</v>
      </c>
      <c r="I655" t="str">
        <f t="shared" si="112"/>
        <v>Miss. Ayoub Banoura</v>
      </c>
      <c r="J655" t="s">
        <v>47</v>
      </c>
      <c r="K655" t="str">
        <f t="shared" si="113"/>
        <v>Female</v>
      </c>
      <c r="L655">
        <v>13</v>
      </c>
      <c r="O655">
        <f t="shared" si="114"/>
        <v>13</v>
      </c>
      <c r="P655">
        <v>0</v>
      </c>
      <c r="R655" s="4">
        <v>0</v>
      </c>
      <c r="T655" s="5">
        <v>7.2291999999999996</v>
      </c>
      <c r="W655" s="4">
        <v>13</v>
      </c>
      <c r="X655" s="4" t="str">
        <f t="shared" si="115"/>
        <v>Teenager</v>
      </c>
      <c r="Y655" s="4" t="s">
        <v>3561</v>
      </c>
      <c r="AB655" s="4" t="str">
        <f t="shared" si="116"/>
        <v/>
      </c>
      <c r="AC655" s="4" t="str">
        <f t="shared" si="117"/>
        <v>Unknown</v>
      </c>
      <c r="AD655" s="4" t="s">
        <v>3566</v>
      </c>
      <c r="AF655" s="4" t="s">
        <v>62</v>
      </c>
      <c r="AG655" s="4" t="str">
        <f t="shared" si="118"/>
        <v>C</v>
      </c>
      <c r="AK655" s="4" t="s">
        <v>3573</v>
      </c>
      <c r="AL655" s="4" t="str">
        <f t="shared" si="119"/>
        <v>Found</v>
      </c>
      <c r="AN655" s="6">
        <v>7.2291999999999996</v>
      </c>
      <c r="AO655" s="4" t="str">
        <f t="shared" si="120"/>
        <v>Low</v>
      </c>
    </row>
    <row r="656" spans="1:41">
      <c r="A656">
        <v>3</v>
      </c>
      <c r="B656" t="str">
        <f t="shared" si="110"/>
        <v>Third Class</v>
      </c>
      <c r="C656">
        <v>0</v>
      </c>
      <c r="E656" t="str">
        <f t="shared" si="111"/>
        <v>Died</v>
      </c>
      <c r="F656" t="s">
        <v>1597</v>
      </c>
      <c r="G656" t="s">
        <v>848</v>
      </c>
      <c r="H656" t="s">
        <v>1598</v>
      </c>
      <c r="I656" t="str">
        <f t="shared" si="112"/>
        <v>Mr. Baccos Raffull</v>
      </c>
      <c r="J656" t="s">
        <v>20</v>
      </c>
      <c r="K656" t="str">
        <f t="shared" si="113"/>
        <v>Male</v>
      </c>
      <c r="L656">
        <v>20</v>
      </c>
      <c r="O656">
        <f t="shared" si="114"/>
        <v>20</v>
      </c>
      <c r="P656">
        <v>0</v>
      </c>
      <c r="R656" s="4">
        <v>0</v>
      </c>
      <c r="T656" s="5">
        <v>7.2249999999999996</v>
      </c>
      <c r="W656" s="4">
        <v>20</v>
      </c>
      <c r="X656" s="4" t="str">
        <f t="shared" si="115"/>
        <v>Young Adult</v>
      </c>
      <c r="Y656" s="4" t="s">
        <v>3561</v>
      </c>
      <c r="AB656" s="4" t="str">
        <f t="shared" si="116"/>
        <v/>
      </c>
      <c r="AC656" s="4" t="str">
        <f t="shared" si="117"/>
        <v>Unknown</v>
      </c>
      <c r="AD656" s="4" t="s">
        <v>3566</v>
      </c>
      <c r="AG656" s="4" t="str">
        <f t="shared" si="118"/>
        <v>Not Applicable</v>
      </c>
      <c r="AK656" s="4" t="s">
        <v>3573</v>
      </c>
      <c r="AL656" s="4" t="str">
        <f t="shared" si="119"/>
        <v>Found</v>
      </c>
      <c r="AN656" s="6">
        <v>7.2249999999999996</v>
      </c>
      <c r="AO656" s="4" t="str">
        <f t="shared" si="120"/>
        <v>Low</v>
      </c>
    </row>
    <row r="657" spans="1:41">
      <c r="A657">
        <v>3</v>
      </c>
      <c r="B657" t="str">
        <f t="shared" si="110"/>
        <v>Third Class</v>
      </c>
      <c r="C657">
        <v>0</v>
      </c>
      <c r="E657" t="str">
        <f t="shared" si="111"/>
        <v>Died</v>
      </c>
      <c r="F657" t="s">
        <v>1599</v>
      </c>
      <c r="G657" t="s">
        <v>848</v>
      </c>
      <c r="H657" t="s">
        <v>887</v>
      </c>
      <c r="I657" t="str">
        <f t="shared" si="112"/>
        <v>Mr. Backstrom Karl</v>
      </c>
      <c r="J657" t="s">
        <v>20</v>
      </c>
      <c r="K657" t="str">
        <f t="shared" si="113"/>
        <v>Male</v>
      </c>
      <c r="L657">
        <v>32</v>
      </c>
      <c r="O657">
        <f t="shared" si="114"/>
        <v>32</v>
      </c>
      <c r="P657">
        <v>1</v>
      </c>
      <c r="R657" s="4">
        <v>0</v>
      </c>
      <c r="T657" s="5">
        <v>15.85</v>
      </c>
      <c r="W657" s="4">
        <v>32</v>
      </c>
      <c r="X657" s="4" t="str">
        <f t="shared" si="115"/>
        <v>Adult</v>
      </c>
      <c r="Y657" s="4" t="s">
        <v>3561</v>
      </c>
      <c r="AB657" s="4" t="str">
        <f t="shared" si="116"/>
        <v/>
      </c>
      <c r="AC657" s="4" t="str">
        <f t="shared" si="117"/>
        <v>Unknown</v>
      </c>
      <c r="AD657" s="4" t="s">
        <v>457</v>
      </c>
      <c r="AF657" s="4" t="s">
        <v>59</v>
      </c>
      <c r="AG657" s="4" t="str">
        <f t="shared" si="118"/>
        <v>D</v>
      </c>
      <c r="AK657" s="4" t="s">
        <v>3573</v>
      </c>
      <c r="AL657" s="4" t="str">
        <f t="shared" si="119"/>
        <v>Found</v>
      </c>
      <c r="AN657" s="6">
        <v>15.85</v>
      </c>
      <c r="AO657" s="4" t="str">
        <f t="shared" si="120"/>
        <v>Mid</v>
      </c>
    </row>
    <row r="658" spans="1:41">
      <c r="A658">
        <v>3</v>
      </c>
      <c r="B658" t="str">
        <f t="shared" si="110"/>
        <v>Third Class</v>
      </c>
      <c r="C658">
        <v>1</v>
      </c>
      <c r="E658" t="str">
        <f t="shared" si="111"/>
        <v>Survived</v>
      </c>
      <c r="F658" t="s">
        <v>1599</v>
      </c>
      <c r="G658" t="s">
        <v>849</v>
      </c>
      <c r="H658" t="s">
        <v>887</v>
      </c>
      <c r="I658" t="str">
        <f t="shared" si="112"/>
        <v>Mrs. Backstrom Karl</v>
      </c>
      <c r="J658" t="s">
        <v>47</v>
      </c>
      <c r="K658" t="str">
        <f t="shared" si="113"/>
        <v>Female</v>
      </c>
      <c r="L658">
        <v>33</v>
      </c>
      <c r="O658">
        <f t="shared" si="114"/>
        <v>33</v>
      </c>
      <c r="P658">
        <v>3</v>
      </c>
      <c r="R658" s="4">
        <v>0</v>
      </c>
      <c r="T658" s="5">
        <v>15.85</v>
      </c>
      <c r="W658" s="4">
        <v>33</v>
      </c>
      <c r="X658" s="4" t="str">
        <f t="shared" si="115"/>
        <v>Adult</v>
      </c>
      <c r="Y658" s="4" t="s">
        <v>3561</v>
      </c>
      <c r="AB658" s="4" t="str">
        <f t="shared" si="116"/>
        <v/>
      </c>
      <c r="AC658" s="4" t="str">
        <f t="shared" si="117"/>
        <v>Unknown</v>
      </c>
      <c r="AD658" s="4" t="s">
        <v>457</v>
      </c>
      <c r="AG658" s="4" t="str">
        <f t="shared" si="118"/>
        <v>Not Applicable</v>
      </c>
      <c r="AK658" s="4" t="s">
        <v>3573</v>
      </c>
      <c r="AL658" s="4" t="str">
        <f t="shared" si="119"/>
        <v>Found</v>
      </c>
      <c r="AN658" s="6">
        <v>15.85</v>
      </c>
      <c r="AO658" s="4" t="str">
        <f t="shared" si="120"/>
        <v>Mid</v>
      </c>
    </row>
    <row r="659" spans="1:41">
      <c r="A659">
        <v>3</v>
      </c>
      <c r="B659" t="str">
        <f t="shared" si="110"/>
        <v>Third Class</v>
      </c>
      <c r="C659">
        <v>1</v>
      </c>
      <c r="E659" t="str">
        <f t="shared" si="111"/>
        <v>Survived</v>
      </c>
      <c r="F659" t="s">
        <v>1600</v>
      </c>
      <c r="G659" t="s">
        <v>842</v>
      </c>
      <c r="H659" t="s">
        <v>1601</v>
      </c>
      <c r="I659" t="str">
        <f t="shared" si="112"/>
        <v>Miss. Baclini Eugenie</v>
      </c>
      <c r="J659" t="s">
        <v>47</v>
      </c>
      <c r="K659" t="str">
        <f t="shared" si="113"/>
        <v>Female</v>
      </c>
      <c r="L659">
        <v>0.75</v>
      </c>
      <c r="O659">
        <f t="shared" si="114"/>
        <v>1</v>
      </c>
      <c r="P659">
        <v>2</v>
      </c>
      <c r="R659" s="4">
        <v>1</v>
      </c>
      <c r="T659" s="5">
        <v>19.258299999999998</v>
      </c>
      <c r="W659" s="4">
        <v>1</v>
      </c>
      <c r="X659" s="4" t="str">
        <f t="shared" si="115"/>
        <v>Child</v>
      </c>
      <c r="Y659" s="4" t="s">
        <v>3561</v>
      </c>
      <c r="AB659" s="4" t="str">
        <f t="shared" si="116"/>
        <v/>
      </c>
      <c r="AC659" s="4" t="str">
        <f t="shared" si="117"/>
        <v>Unknown</v>
      </c>
      <c r="AD659" s="4" t="s">
        <v>3566</v>
      </c>
      <c r="AF659" s="4" t="s">
        <v>62</v>
      </c>
      <c r="AG659" s="4" t="str">
        <f t="shared" si="118"/>
        <v>C</v>
      </c>
      <c r="AK659" s="4" t="s">
        <v>3573</v>
      </c>
      <c r="AL659" s="4" t="str">
        <f t="shared" si="119"/>
        <v>Found</v>
      </c>
      <c r="AN659" s="6">
        <v>19.258299999999998</v>
      </c>
      <c r="AO659" s="4" t="str">
        <f t="shared" si="120"/>
        <v>Mid</v>
      </c>
    </row>
    <row r="660" spans="1:41">
      <c r="A660">
        <v>3</v>
      </c>
      <c r="B660" t="str">
        <f t="shared" si="110"/>
        <v>Third Class</v>
      </c>
      <c r="C660">
        <v>1</v>
      </c>
      <c r="E660" t="str">
        <f t="shared" si="111"/>
        <v>Survived</v>
      </c>
      <c r="F660" t="s">
        <v>1600</v>
      </c>
      <c r="G660" t="s">
        <v>842</v>
      </c>
      <c r="H660" t="s">
        <v>1001</v>
      </c>
      <c r="I660" t="str">
        <f t="shared" si="112"/>
        <v>Miss. Baclini Helene</v>
      </c>
      <c r="J660" t="s">
        <v>47</v>
      </c>
      <c r="K660" t="str">
        <f t="shared" si="113"/>
        <v>Female</v>
      </c>
      <c r="L660">
        <v>0.75</v>
      </c>
      <c r="O660">
        <f t="shared" si="114"/>
        <v>1</v>
      </c>
      <c r="P660">
        <v>2</v>
      </c>
      <c r="R660" s="4">
        <v>1</v>
      </c>
      <c r="T660" s="5">
        <v>19.258299999999998</v>
      </c>
      <c r="W660" s="4">
        <v>1</v>
      </c>
      <c r="X660" s="4" t="str">
        <f t="shared" si="115"/>
        <v>Child</v>
      </c>
      <c r="Y660" s="4" t="s">
        <v>3561</v>
      </c>
      <c r="AB660" s="4" t="str">
        <f t="shared" si="116"/>
        <v/>
      </c>
      <c r="AC660" s="4" t="str">
        <f t="shared" si="117"/>
        <v>Unknown</v>
      </c>
      <c r="AD660" s="4" t="s">
        <v>3566</v>
      </c>
      <c r="AF660" s="4" t="s">
        <v>62</v>
      </c>
      <c r="AG660" s="4" t="str">
        <f t="shared" si="118"/>
        <v>C</v>
      </c>
      <c r="AK660" s="4" t="s">
        <v>3573</v>
      </c>
      <c r="AL660" s="4" t="str">
        <f t="shared" si="119"/>
        <v>Found</v>
      </c>
      <c r="AN660" s="6">
        <v>19.258299999999998</v>
      </c>
      <c r="AO660" s="4" t="str">
        <f t="shared" si="120"/>
        <v>Mid</v>
      </c>
    </row>
    <row r="661" spans="1:41">
      <c r="A661">
        <v>3</v>
      </c>
      <c r="B661" t="str">
        <f t="shared" si="110"/>
        <v>Third Class</v>
      </c>
      <c r="C661">
        <v>1</v>
      </c>
      <c r="E661" t="str">
        <f t="shared" si="111"/>
        <v>Survived</v>
      </c>
      <c r="F661" t="s">
        <v>1600</v>
      </c>
      <c r="G661" t="s">
        <v>842</v>
      </c>
      <c r="H661" t="s">
        <v>1262</v>
      </c>
      <c r="I661" t="str">
        <f t="shared" si="112"/>
        <v>Miss. Baclini Marie</v>
      </c>
      <c r="J661" t="s">
        <v>47</v>
      </c>
      <c r="K661" t="str">
        <f t="shared" si="113"/>
        <v>Female</v>
      </c>
      <c r="L661">
        <v>5</v>
      </c>
      <c r="O661">
        <f t="shared" si="114"/>
        <v>5</v>
      </c>
      <c r="P661">
        <v>2</v>
      </c>
      <c r="R661" s="4">
        <v>1</v>
      </c>
      <c r="T661" s="5">
        <v>19.258299999999998</v>
      </c>
      <c r="W661" s="4">
        <v>5</v>
      </c>
      <c r="X661" s="4" t="str">
        <f t="shared" si="115"/>
        <v>Child</v>
      </c>
      <c r="Y661" s="4" t="s">
        <v>3561</v>
      </c>
      <c r="AB661" s="4" t="str">
        <f t="shared" si="116"/>
        <v/>
      </c>
      <c r="AC661" s="4" t="str">
        <f t="shared" si="117"/>
        <v>Unknown</v>
      </c>
      <c r="AD661" s="4" t="s">
        <v>3566</v>
      </c>
      <c r="AF661" s="4" t="s">
        <v>62</v>
      </c>
      <c r="AG661" s="4" t="str">
        <f t="shared" si="118"/>
        <v>C</v>
      </c>
      <c r="AK661" s="4" t="s">
        <v>3573</v>
      </c>
      <c r="AL661" s="4" t="str">
        <f t="shared" si="119"/>
        <v>Found</v>
      </c>
      <c r="AN661" s="6">
        <v>19.258299999999998</v>
      </c>
      <c r="AO661" s="4" t="str">
        <f t="shared" si="120"/>
        <v>Mid</v>
      </c>
    </row>
    <row r="662" spans="1:41">
      <c r="A662">
        <v>3</v>
      </c>
      <c r="B662" t="str">
        <f t="shared" si="110"/>
        <v>Third Class</v>
      </c>
      <c r="C662">
        <v>1</v>
      </c>
      <c r="E662" t="str">
        <f t="shared" si="111"/>
        <v>Survived</v>
      </c>
      <c r="F662" t="s">
        <v>1600</v>
      </c>
      <c r="G662" t="s">
        <v>849</v>
      </c>
      <c r="H662" t="s">
        <v>1289</v>
      </c>
      <c r="I662" t="str">
        <f t="shared" si="112"/>
        <v>Mrs. Baclini Solomon</v>
      </c>
      <c r="J662" t="s">
        <v>47</v>
      </c>
      <c r="K662" t="str">
        <f t="shared" si="113"/>
        <v>Female</v>
      </c>
      <c r="L662">
        <v>24</v>
      </c>
      <c r="O662">
        <f t="shared" si="114"/>
        <v>24</v>
      </c>
      <c r="P662">
        <v>0</v>
      </c>
      <c r="R662" s="4">
        <v>3</v>
      </c>
      <c r="T662" s="5">
        <v>19.258299999999998</v>
      </c>
      <c r="W662" s="4">
        <v>24</v>
      </c>
      <c r="X662" s="4" t="str">
        <f t="shared" si="115"/>
        <v>Young Adult</v>
      </c>
      <c r="Y662" s="4" t="s">
        <v>3561</v>
      </c>
      <c r="AB662" s="4" t="str">
        <f t="shared" si="116"/>
        <v/>
      </c>
      <c r="AC662" s="4" t="str">
        <f t="shared" si="117"/>
        <v>Unknown</v>
      </c>
      <c r="AD662" s="4" t="s">
        <v>3566</v>
      </c>
      <c r="AF662" s="4" t="s">
        <v>62</v>
      </c>
      <c r="AG662" s="4" t="str">
        <f t="shared" si="118"/>
        <v>C</v>
      </c>
      <c r="AK662" s="4" t="s">
        <v>3573</v>
      </c>
      <c r="AL662" s="4" t="str">
        <f t="shared" si="119"/>
        <v>Found</v>
      </c>
      <c r="AN662" s="6">
        <v>19.258299999999998</v>
      </c>
      <c r="AO662" s="4" t="str">
        <f t="shared" si="120"/>
        <v>Mid</v>
      </c>
    </row>
    <row r="663" spans="1:41">
      <c r="A663">
        <v>3</v>
      </c>
      <c r="B663" t="str">
        <f t="shared" si="110"/>
        <v>Third Class</v>
      </c>
      <c r="C663">
        <v>1</v>
      </c>
      <c r="E663" t="str">
        <f t="shared" si="111"/>
        <v>Survived</v>
      </c>
      <c r="F663" t="s">
        <v>1602</v>
      </c>
      <c r="G663" t="s">
        <v>842</v>
      </c>
      <c r="H663" t="s">
        <v>1192</v>
      </c>
      <c r="I663" t="str">
        <f t="shared" si="112"/>
        <v>Miss. Badman Emily</v>
      </c>
      <c r="J663" t="s">
        <v>47</v>
      </c>
      <c r="K663" t="str">
        <f t="shared" si="113"/>
        <v>Female</v>
      </c>
      <c r="L663">
        <v>18</v>
      </c>
      <c r="O663">
        <f t="shared" si="114"/>
        <v>18</v>
      </c>
      <c r="P663">
        <v>0</v>
      </c>
      <c r="R663" s="4">
        <v>0</v>
      </c>
      <c r="T663" s="5">
        <v>8.0500000000000007</v>
      </c>
      <c r="W663" s="4">
        <v>18</v>
      </c>
      <c r="X663" s="4" t="str">
        <f t="shared" si="115"/>
        <v>Young Adult</v>
      </c>
      <c r="Y663" s="4" t="s">
        <v>3561</v>
      </c>
      <c r="AB663" s="4" t="str">
        <f t="shared" si="116"/>
        <v/>
      </c>
      <c r="AC663" s="4" t="str">
        <f t="shared" si="117"/>
        <v>Unknown</v>
      </c>
      <c r="AD663" s="4" t="s">
        <v>457</v>
      </c>
      <c r="AF663" s="4" t="s">
        <v>62</v>
      </c>
      <c r="AG663" s="4" t="str">
        <f t="shared" si="118"/>
        <v>C</v>
      </c>
      <c r="AK663" s="4" t="s">
        <v>3573</v>
      </c>
      <c r="AL663" s="4" t="str">
        <f t="shared" si="119"/>
        <v>Found</v>
      </c>
      <c r="AN663" s="6">
        <v>8.0500000000000007</v>
      </c>
      <c r="AO663" s="4" t="str">
        <f t="shared" si="120"/>
        <v>Low</v>
      </c>
    </row>
    <row r="664" spans="1:41">
      <c r="A664">
        <v>3</v>
      </c>
      <c r="B664" t="str">
        <f t="shared" si="110"/>
        <v>Third Class</v>
      </c>
      <c r="C664">
        <v>0</v>
      </c>
      <c r="E664" t="str">
        <f t="shared" si="111"/>
        <v>Died</v>
      </c>
      <c r="F664" t="s">
        <v>1603</v>
      </c>
      <c r="G664" t="s">
        <v>848</v>
      </c>
      <c r="H664" t="s">
        <v>1604</v>
      </c>
      <c r="I664" t="str">
        <f t="shared" si="112"/>
        <v>Mr. Badt Mohamed</v>
      </c>
      <c r="J664" t="s">
        <v>20</v>
      </c>
      <c r="K664" t="str">
        <f t="shared" si="113"/>
        <v>Male</v>
      </c>
      <c r="L664">
        <v>40</v>
      </c>
      <c r="O664">
        <f t="shared" si="114"/>
        <v>40</v>
      </c>
      <c r="P664">
        <v>0</v>
      </c>
      <c r="R664" s="4">
        <v>0</v>
      </c>
      <c r="T664" s="5">
        <v>7.2249999999999996</v>
      </c>
      <c r="W664" s="4">
        <v>40</v>
      </c>
      <c r="X664" s="4" t="str">
        <f t="shared" si="115"/>
        <v>Adult</v>
      </c>
      <c r="Y664" s="4" t="s">
        <v>3561</v>
      </c>
      <c r="AB664" s="4" t="str">
        <f t="shared" si="116"/>
        <v/>
      </c>
      <c r="AC664" s="4" t="str">
        <f t="shared" si="117"/>
        <v>Unknown</v>
      </c>
      <c r="AD664" s="4" t="s">
        <v>3566</v>
      </c>
      <c r="AG664" s="4" t="str">
        <f t="shared" si="118"/>
        <v>Not Applicable</v>
      </c>
      <c r="AK664" s="4" t="s">
        <v>3573</v>
      </c>
      <c r="AL664" s="4" t="str">
        <f t="shared" si="119"/>
        <v>Found</v>
      </c>
      <c r="AN664" s="6">
        <v>7.2249999999999996</v>
      </c>
      <c r="AO664" s="4" t="str">
        <f t="shared" si="120"/>
        <v>Low</v>
      </c>
    </row>
    <row r="665" spans="1:41">
      <c r="A665">
        <v>3</v>
      </c>
      <c r="B665" t="str">
        <f t="shared" si="110"/>
        <v>Third Class</v>
      </c>
      <c r="C665">
        <v>0</v>
      </c>
      <c r="E665" t="str">
        <f t="shared" si="111"/>
        <v>Died</v>
      </c>
      <c r="F665" t="s">
        <v>1605</v>
      </c>
      <c r="G665" t="s">
        <v>848</v>
      </c>
      <c r="H665" t="s">
        <v>1606</v>
      </c>
      <c r="I665" t="str">
        <f t="shared" si="112"/>
        <v>Mr. Balkic Cerin</v>
      </c>
      <c r="J665" t="s">
        <v>20</v>
      </c>
      <c r="K665" t="str">
        <f t="shared" si="113"/>
        <v>Male</v>
      </c>
      <c r="L665">
        <v>26</v>
      </c>
      <c r="O665">
        <f t="shared" si="114"/>
        <v>26</v>
      </c>
      <c r="P665">
        <v>0</v>
      </c>
      <c r="R665" s="4">
        <v>0</v>
      </c>
      <c r="T665" s="5">
        <v>7.8958000000000004</v>
      </c>
      <c r="W665" s="4">
        <v>26</v>
      </c>
      <c r="X665" s="4" t="str">
        <f t="shared" si="115"/>
        <v>Young Adult</v>
      </c>
      <c r="Y665" s="4" t="s">
        <v>3561</v>
      </c>
      <c r="AB665" s="4" t="str">
        <f t="shared" si="116"/>
        <v/>
      </c>
      <c r="AC665" s="4" t="str">
        <f t="shared" si="117"/>
        <v>Unknown</v>
      </c>
      <c r="AD665" s="4" t="s">
        <v>457</v>
      </c>
      <c r="AG665" s="4" t="str">
        <f t="shared" si="118"/>
        <v>Not Applicable</v>
      </c>
      <c r="AK665" s="4" t="s">
        <v>3573</v>
      </c>
      <c r="AL665" s="4" t="str">
        <f t="shared" si="119"/>
        <v>Found</v>
      </c>
      <c r="AN665" s="6">
        <v>7.8958000000000004</v>
      </c>
      <c r="AO665" s="4" t="str">
        <f t="shared" si="120"/>
        <v>Low</v>
      </c>
    </row>
    <row r="666" spans="1:41">
      <c r="A666">
        <v>3</v>
      </c>
      <c r="B666" t="str">
        <f t="shared" si="110"/>
        <v>Third Class</v>
      </c>
      <c r="C666">
        <v>1</v>
      </c>
      <c r="E666" t="str">
        <f t="shared" si="111"/>
        <v>Survived</v>
      </c>
      <c r="F666" t="s">
        <v>1607</v>
      </c>
      <c r="G666" t="s">
        <v>848</v>
      </c>
      <c r="H666" t="s">
        <v>1608</v>
      </c>
      <c r="I666" t="str">
        <f t="shared" si="112"/>
        <v>Mr. Barah Hanna</v>
      </c>
      <c r="J666" t="s">
        <v>20</v>
      </c>
      <c r="K666" t="str">
        <f t="shared" si="113"/>
        <v>Male</v>
      </c>
      <c r="L666">
        <v>20</v>
      </c>
      <c r="O666">
        <f t="shared" si="114"/>
        <v>20</v>
      </c>
      <c r="P666">
        <v>0</v>
      </c>
      <c r="R666" s="4">
        <v>0</v>
      </c>
      <c r="T666" s="5">
        <v>7.2291999999999996</v>
      </c>
      <c r="W666" s="4">
        <v>20</v>
      </c>
      <c r="X666" s="4" t="str">
        <f t="shared" si="115"/>
        <v>Young Adult</v>
      </c>
      <c r="Y666" s="4" t="s">
        <v>3561</v>
      </c>
      <c r="AB666" s="4" t="str">
        <f t="shared" si="116"/>
        <v/>
      </c>
      <c r="AC666" s="4" t="str">
        <f t="shared" si="117"/>
        <v>Unknown</v>
      </c>
      <c r="AD666" s="4" t="s">
        <v>3566</v>
      </c>
      <c r="AF666" s="4">
        <v>15</v>
      </c>
      <c r="AG666" s="4">
        <f t="shared" si="118"/>
        <v>15</v>
      </c>
      <c r="AK666" s="4" t="s">
        <v>3573</v>
      </c>
      <c r="AL666" s="4" t="str">
        <f t="shared" si="119"/>
        <v>Found</v>
      </c>
      <c r="AN666" s="6">
        <v>7.2291999999999996</v>
      </c>
      <c r="AO666" s="4" t="str">
        <f t="shared" si="120"/>
        <v>Low</v>
      </c>
    </row>
    <row r="667" spans="1:41">
      <c r="A667">
        <v>3</v>
      </c>
      <c r="B667" t="str">
        <f t="shared" si="110"/>
        <v>Third Class</v>
      </c>
      <c r="C667">
        <v>0</v>
      </c>
      <c r="E667" t="str">
        <f t="shared" si="111"/>
        <v>Died</v>
      </c>
      <c r="F667" t="s">
        <v>1528</v>
      </c>
      <c r="G667" t="s">
        <v>842</v>
      </c>
      <c r="H667" t="s">
        <v>1609</v>
      </c>
      <c r="I667" t="str">
        <f t="shared" si="112"/>
        <v>Miss. Barbara Saiide</v>
      </c>
      <c r="J667" t="s">
        <v>47</v>
      </c>
      <c r="K667" t="str">
        <f t="shared" si="113"/>
        <v>Female</v>
      </c>
      <c r="L667">
        <v>18</v>
      </c>
      <c r="O667">
        <f t="shared" si="114"/>
        <v>18</v>
      </c>
      <c r="P667">
        <v>0</v>
      </c>
      <c r="R667" s="4">
        <v>1</v>
      </c>
      <c r="T667" s="5">
        <v>14.4542</v>
      </c>
      <c r="W667" s="4">
        <v>18</v>
      </c>
      <c r="X667" s="4" t="str">
        <f t="shared" si="115"/>
        <v>Young Adult</v>
      </c>
      <c r="Y667" s="4" t="s">
        <v>3561</v>
      </c>
      <c r="AB667" s="4" t="str">
        <f t="shared" si="116"/>
        <v/>
      </c>
      <c r="AC667" s="4" t="str">
        <f t="shared" si="117"/>
        <v>Unknown</v>
      </c>
      <c r="AD667" s="4" t="s">
        <v>3566</v>
      </c>
      <c r="AG667" s="4" t="str">
        <f t="shared" si="118"/>
        <v>Not Applicable</v>
      </c>
      <c r="AK667" s="4" t="s">
        <v>3573</v>
      </c>
      <c r="AL667" s="4" t="str">
        <f t="shared" si="119"/>
        <v>Found</v>
      </c>
      <c r="AN667" s="6">
        <v>14.4542</v>
      </c>
      <c r="AO667" s="4" t="str">
        <f t="shared" si="120"/>
        <v>Mid</v>
      </c>
    </row>
    <row r="668" spans="1:41">
      <c r="A668">
        <v>3</v>
      </c>
      <c r="B668" t="str">
        <f t="shared" si="110"/>
        <v>Third Class</v>
      </c>
      <c r="C668">
        <v>0</v>
      </c>
      <c r="E668" t="str">
        <f t="shared" si="111"/>
        <v>Died</v>
      </c>
      <c r="F668" t="s">
        <v>1528</v>
      </c>
      <c r="G668" t="s">
        <v>849</v>
      </c>
      <c r="H668" t="s">
        <v>984</v>
      </c>
      <c r="I668" t="str">
        <f t="shared" si="112"/>
        <v>Mrs. Barbara (Catherine</v>
      </c>
      <c r="J668" t="s">
        <v>47</v>
      </c>
      <c r="K668" t="str">
        <f t="shared" si="113"/>
        <v>Female</v>
      </c>
      <c r="L668">
        <v>45</v>
      </c>
      <c r="O668">
        <f t="shared" si="114"/>
        <v>45</v>
      </c>
      <c r="P668">
        <v>0</v>
      </c>
      <c r="R668" s="4">
        <v>1</v>
      </c>
      <c r="T668" s="5">
        <v>14.4542</v>
      </c>
      <c r="W668" s="4">
        <v>45</v>
      </c>
      <c r="X668" s="4" t="str">
        <f t="shared" si="115"/>
        <v>Adult</v>
      </c>
      <c r="Y668" s="4" t="s">
        <v>3561</v>
      </c>
      <c r="AB668" s="4" t="str">
        <f t="shared" si="116"/>
        <v/>
      </c>
      <c r="AC668" s="4" t="str">
        <f t="shared" si="117"/>
        <v>Unknown</v>
      </c>
      <c r="AD668" s="4" t="s">
        <v>3566</v>
      </c>
      <c r="AG668" s="4" t="str">
        <f t="shared" si="118"/>
        <v>Not Applicable</v>
      </c>
      <c r="AK668" s="4" t="s">
        <v>3573</v>
      </c>
      <c r="AL668" s="4" t="str">
        <f t="shared" si="119"/>
        <v>Found</v>
      </c>
      <c r="AN668" s="6">
        <v>14.4542</v>
      </c>
      <c r="AO668" s="4" t="str">
        <f t="shared" si="120"/>
        <v>Mid</v>
      </c>
    </row>
    <row r="669" spans="1:41">
      <c r="A669">
        <v>3</v>
      </c>
      <c r="B669" t="str">
        <f t="shared" si="110"/>
        <v>Third Class</v>
      </c>
      <c r="C669">
        <v>0</v>
      </c>
      <c r="E669" t="str">
        <f t="shared" si="111"/>
        <v>Died</v>
      </c>
      <c r="F669" t="s">
        <v>1610</v>
      </c>
      <c r="G669" t="s">
        <v>842</v>
      </c>
      <c r="H669" t="s">
        <v>1335</v>
      </c>
      <c r="I669" t="str">
        <f t="shared" si="112"/>
        <v>Miss. Barry Julia</v>
      </c>
      <c r="J669" t="s">
        <v>47</v>
      </c>
      <c r="K669" t="str">
        <f t="shared" si="113"/>
        <v>Female</v>
      </c>
      <c r="L669">
        <v>27</v>
      </c>
      <c r="O669">
        <f t="shared" si="114"/>
        <v>27</v>
      </c>
      <c r="P669">
        <v>0</v>
      </c>
      <c r="R669" s="4">
        <v>0</v>
      </c>
      <c r="T669" s="5">
        <v>7.8792</v>
      </c>
      <c r="W669" s="4">
        <v>27</v>
      </c>
      <c r="X669" s="4" t="str">
        <f t="shared" si="115"/>
        <v>Young Adult</v>
      </c>
      <c r="Y669" s="4" t="s">
        <v>3561</v>
      </c>
      <c r="AB669" s="4" t="str">
        <f t="shared" si="116"/>
        <v/>
      </c>
      <c r="AC669" s="4" t="str">
        <f t="shared" si="117"/>
        <v>Unknown</v>
      </c>
      <c r="AD669" s="4" t="s">
        <v>3567</v>
      </c>
      <c r="AG669" s="4" t="str">
        <f t="shared" si="118"/>
        <v>Not Applicable</v>
      </c>
      <c r="AK669" s="4" t="s">
        <v>3573</v>
      </c>
      <c r="AL669" s="4" t="str">
        <f t="shared" si="119"/>
        <v>Found</v>
      </c>
      <c r="AN669" s="6">
        <v>7.8792</v>
      </c>
      <c r="AO669" s="4" t="str">
        <f t="shared" si="120"/>
        <v>Low</v>
      </c>
    </row>
    <row r="670" spans="1:41">
      <c r="A670">
        <v>3</v>
      </c>
      <c r="B670" t="str">
        <f t="shared" si="110"/>
        <v>Third Class</v>
      </c>
      <c r="C670">
        <v>0</v>
      </c>
      <c r="E670" t="str">
        <f t="shared" si="111"/>
        <v>Died</v>
      </c>
      <c r="F670" t="s">
        <v>1611</v>
      </c>
      <c r="G670" t="s">
        <v>848</v>
      </c>
      <c r="H670" t="s">
        <v>1052</v>
      </c>
      <c r="I670" t="str">
        <f t="shared" si="112"/>
        <v>Mr. Barton David</v>
      </c>
      <c r="J670" t="s">
        <v>20</v>
      </c>
      <c r="K670" t="str">
        <f t="shared" si="113"/>
        <v>Male</v>
      </c>
      <c r="L670">
        <v>22</v>
      </c>
      <c r="O670">
        <f t="shared" si="114"/>
        <v>22</v>
      </c>
      <c r="P670">
        <v>0</v>
      </c>
      <c r="R670" s="4">
        <v>0</v>
      </c>
      <c r="T670" s="5">
        <v>8.0500000000000007</v>
      </c>
      <c r="W670" s="4">
        <v>22</v>
      </c>
      <c r="X670" s="4" t="str">
        <f t="shared" si="115"/>
        <v>Young Adult</v>
      </c>
      <c r="Y670" s="4" t="s">
        <v>3561</v>
      </c>
      <c r="AB670" s="4" t="str">
        <f t="shared" si="116"/>
        <v/>
      </c>
      <c r="AC670" s="4" t="str">
        <f t="shared" si="117"/>
        <v>Unknown</v>
      </c>
      <c r="AD670" s="4" t="s">
        <v>457</v>
      </c>
      <c r="AG670" s="4" t="str">
        <f t="shared" si="118"/>
        <v>Not Applicable</v>
      </c>
      <c r="AK670" s="4" t="s">
        <v>3573</v>
      </c>
      <c r="AL670" s="4" t="str">
        <f t="shared" si="119"/>
        <v>Found</v>
      </c>
      <c r="AN670" s="6">
        <v>8.0500000000000007</v>
      </c>
      <c r="AO670" s="4" t="str">
        <f t="shared" si="120"/>
        <v>Low</v>
      </c>
    </row>
    <row r="671" spans="1:41">
      <c r="A671">
        <v>3</v>
      </c>
      <c r="B671" t="str">
        <f t="shared" si="110"/>
        <v>Third Class</v>
      </c>
      <c r="C671">
        <v>0</v>
      </c>
      <c r="E671" t="str">
        <f t="shared" si="111"/>
        <v>Died</v>
      </c>
      <c r="F671" t="s">
        <v>1612</v>
      </c>
      <c r="G671" t="s">
        <v>848</v>
      </c>
      <c r="H671" t="s">
        <v>924</v>
      </c>
      <c r="I671" t="str">
        <f t="shared" si="112"/>
        <v>Mr. Beavan William</v>
      </c>
      <c r="J671" t="s">
        <v>20</v>
      </c>
      <c r="K671" t="str">
        <f t="shared" si="113"/>
        <v>Male</v>
      </c>
      <c r="L671">
        <v>19</v>
      </c>
      <c r="O671">
        <f t="shared" si="114"/>
        <v>19</v>
      </c>
      <c r="P671">
        <v>0</v>
      </c>
      <c r="R671" s="4">
        <v>0</v>
      </c>
      <c r="T671" s="5">
        <v>8.0500000000000007</v>
      </c>
      <c r="W671" s="4">
        <v>19</v>
      </c>
      <c r="X671" s="4" t="str">
        <f t="shared" si="115"/>
        <v>Young Adult</v>
      </c>
      <c r="Y671" s="4" t="s">
        <v>3561</v>
      </c>
      <c r="AB671" s="4" t="str">
        <f t="shared" si="116"/>
        <v/>
      </c>
      <c r="AC671" s="4" t="str">
        <f t="shared" si="117"/>
        <v>Unknown</v>
      </c>
      <c r="AD671" s="4" t="s">
        <v>457</v>
      </c>
      <c r="AG671" s="4" t="str">
        <f t="shared" si="118"/>
        <v>Not Applicable</v>
      </c>
      <c r="AK671" s="4" t="s">
        <v>3573</v>
      </c>
      <c r="AL671" s="4" t="str">
        <f t="shared" si="119"/>
        <v>Found</v>
      </c>
      <c r="AN671" s="6">
        <v>8.0500000000000007</v>
      </c>
      <c r="AO671" s="4" t="str">
        <f t="shared" si="120"/>
        <v>Low</v>
      </c>
    </row>
    <row r="672" spans="1:41">
      <c r="A672">
        <v>3</v>
      </c>
      <c r="B672" t="str">
        <f t="shared" si="110"/>
        <v>Third Class</v>
      </c>
      <c r="C672">
        <v>0</v>
      </c>
      <c r="E672" t="str">
        <f t="shared" si="111"/>
        <v>Died</v>
      </c>
      <c r="F672" t="s">
        <v>1613</v>
      </c>
      <c r="G672" t="s">
        <v>848</v>
      </c>
      <c r="H672" t="s">
        <v>862</v>
      </c>
      <c r="I672" t="str">
        <f t="shared" si="112"/>
        <v>Mr. Bengtsson John</v>
      </c>
      <c r="J672" t="s">
        <v>20</v>
      </c>
      <c r="K672" t="str">
        <f t="shared" si="113"/>
        <v>Male</v>
      </c>
      <c r="L672">
        <v>26</v>
      </c>
      <c r="O672">
        <f t="shared" si="114"/>
        <v>26</v>
      </c>
      <c r="P672">
        <v>0</v>
      </c>
      <c r="R672" s="4">
        <v>0</v>
      </c>
      <c r="T672" s="5">
        <v>7.7750000000000004</v>
      </c>
      <c r="W672" s="4">
        <v>26</v>
      </c>
      <c r="X672" s="4" t="str">
        <f t="shared" si="115"/>
        <v>Young Adult</v>
      </c>
      <c r="Y672" s="4" t="s">
        <v>3561</v>
      </c>
      <c r="AB672" s="4" t="str">
        <f t="shared" si="116"/>
        <v/>
      </c>
      <c r="AC672" s="4" t="str">
        <f t="shared" si="117"/>
        <v>Unknown</v>
      </c>
      <c r="AD672" s="4" t="s">
        <v>457</v>
      </c>
      <c r="AG672" s="4" t="str">
        <f t="shared" si="118"/>
        <v>Not Applicable</v>
      </c>
      <c r="AK672" s="4" t="s">
        <v>3573</v>
      </c>
      <c r="AL672" s="4" t="str">
        <f t="shared" si="119"/>
        <v>Found</v>
      </c>
      <c r="AN672" s="6">
        <v>7.7750000000000004</v>
      </c>
      <c r="AO672" s="4" t="str">
        <f t="shared" si="120"/>
        <v>Low</v>
      </c>
    </row>
    <row r="673" spans="1:41">
      <c r="A673">
        <v>3</v>
      </c>
      <c r="B673" t="str">
        <f t="shared" si="110"/>
        <v>Third Class</v>
      </c>
      <c r="C673">
        <v>0</v>
      </c>
      <c r="E673" t="str">
        <f t="shared" si="111"/>
        <v>Died</v>
      </c>
      <c r="F673" t="s">
        <v>1615</v>
      </c>
      <c r="G673" t="s">
        <v>848</v>
      </c>
      <c r="H673" t="s">
        <v>887</v>
      </c>
      <c r="I673" t="str">
        <f t="shared" si="112"/>
        <v>Mr. Berglund Karl</v>
      </c>
      <c r="J673" t="s">
        <v>20</v>
      </c>
      <c r="K673" t="str">
        <f t="shared" si="113"/>
        <v>Male</v>
      </c>
      <c r="L673">
        <v>22</v>
      </c>
      <c r="O673">
        <f t="shared" si="114"/>
        <v>22</v>
      </c>
      <c r="P673">
        <v>0</v>
      </c>
      <c r="R673" s="4">
        <v>0</v>
      </c>
      <c r="T673" s="5">
        <v>9.35</v>
      </c>
      <c r="W673" s="4">
        <v>22</v>
      </c>
      <c r="X673" s="4" t="str">
        <f t="shared" si="115"/>
        <v>Young Adult</v>
      </c>
      <c r="Y673" s="4" t="s">
        <v>3561</v>
      </c>
      <c r="AB673" s="4" t="str">
        <f t="shared" si="116"/>
        <v/>
      </c>
      <c r="AC673" s="4" t="str">
        <f t="shared" si="117"/>
        <v>Unknown</v>
      </c>
      <c r="AD673" s="4" t="s">
        <v>457</v>
      </c>
      <c r="AG673" s="4" t="str">
        <f t="shared" si="118"/>
        <v>Not Applicable</v>
      </c>
      <c r="AK673" s="4" t="s">
        <v>3573</v>
      </c>
      <c r="AL673" s="4" t="str">
        <f t="shared" si="119"/>
        <v>Found</v>
      </c>
      <c r="AN673" s="6">
        <v>9.35</v>
      </c>
      <c r="AO673" s="4" t="str">
        <f t="shared" si="120"/>
        <v>Low</v>
      </c>
    </row>
    <row r="674" spans="1:41">
      <c r="A674">
        <v>3</v>
      </c>
      <c r="B674" t="str">
        <f t="shared" si="110"/>
        <v>Third Class</v>
      </c>
      <c r="C674">
        <v>0</v>
      </c>
      <c r="E674" t="str">
        <f t="shared" si="111"/>
        <v>Died</v>
      </c>
      <c r="F674" t="s">
        <v>1616</v>
      </c>
      <c r="G674" t="s">
        <v>845</v>
      </c>
      <c r="H674" t="s">
        <v>1617</v>
      </c>
      <c r="I674" t="str">
        <f t="shared" si="112"/>
        <v>Master. Betros Seman</v>
      </c>
      <c r="J674" t="s">
        <v>20</v>
      </c>
      <c r="K674" t="str">
        <f t="shared" si="113"/>
        <v>Male</v>
      </c>
      <c r="L674">
        <v>28</v>
      </c>
      <c r="O674">
        <f t="shared" si="114"/>
        <v>28</v>
      </c>
      <c r="P674">
        <v>0</v>
      </c>
      <c r="R674" s="4">
        <v>0</v>
      </c>
      <c r="T674" s="5">
        <v>7.2291999999999996</v>
      </c>
      <c r="W674" s="4">
        <v>28</v>
      </c>
      <c r="X674" s="4" t="str">
        <f t="shared" si="115"/>
        <v>Young Adult</v>
      </c>
      <c r="Y674" s="4" t="s">
        <v>3561</v>
      </c>
      <c r="AB674" s="4" t="str">
        <f t="shared" si="116"/>
        <v/>
      </c>
      <c r="AC674" s="4" t="str">
        <f t="shared" si="117"/>
        <v>Unknown</v>
      </c>
      <c r="AD674" s="4" t="s">
        <v>3566</v>
      </c>
      <c r="AG674" s="4" t="str">
        <f t="shared" si="118"/>
        <v>Not Applicable</v>
      </c>
      <c r="AK674" s="4" t="s">
        <v>3573</v>
      </c>
      <c r="AL674" s="4" t="str">
        <f t="shared" si="119"/>
        <v>Found</v>
      </c>
      <c r="AN674" s="6">
        <v>7.2291999999999996</v>
      </c>
      <c r="AO674" s="4" t="str">
        <f t="shared" si="120"/>
        <v>Low</v>
      </c>
    </row>
    <row r="675" spans="1:41">
      <c r="A675">
        <v>3</v>
      </c>
      <c r="B675" t="str">
        <f t="shared" si="110"/>
        <v>Third Class</v>
      </c>
      <c r="C675">
        <v>0</v>
      </c>
      <c r="E675" t="str">
        <f t="shared" si="111"/>
        <v>Died</v>
      </c>
      <c r="F675" t="s">
        <v>1616</v>
      </c>
      <c r="G675" t="s">
        <v>848</v>
      </c>
      <c r="H675" t="s">
        <v>1618</v>
      </c>
      <c r="I675" t="str">
        <f t="shared" si="112"/>
        <v>Mr. Betros Tannous</v>
      </c>
      <c r="J675" t="s">
        <v>20</v>
      </c>
      <c r="K675" t="str">
        <f t="shared" si="113"/>
        <v>Male</v>
      </c>
      <c r="L675">
        <v>20</v>
      </c>
      <c r="O675">
        <f t="shared" si="114"/>
        <v>20</v>
      </c>
      <c r="P675">
        <v>0</v>
      </c>
      <c r="R675" s="4">
        <v>0</v>
      </c>
      <c r="T675" s="5">
        <v>4.0125000000000002</v>
      </c>
      <c r="W675" s="4">
        <v>20</v>
      </c>
      <c r="X675" s="4" t="str">
        <f t="shared" si="115"/>
        <v>Young Adult</v>
      </c>
      <c r="Y675" s="4" t="s">
        <v>3561</v>
      </c>
      <c r="AB675" s="4" t="str">
        <f t="shared" si="116"/>
        <v/>
      </c>
      <c r="AC675" s="4" t="str">
        <f t="shared" si="117"/>
        <v>Unknown</v>
      </c>
      <c r="AD675" s="4" t="s">
        <v>3566</v>
      </c>
      <c r="AG675" s="4" t="str">
        <f t="shared" si="118"/>
        <v>Not Applicable</v>
      </c>
      <c r="AK675" s="4" t="s">
        <v>3573</v>
      </c>
      <c r="AL675" s="4" t="str">
        <f t="shared" si="119"/>
        <v>Found</v>
      </c>
      <c r="AN675" s="6">
        <v>4.0125000000000002</v>
      </c>
      <c r="AO675" s="4" t="str">
        <f t="shared" si="120"/>
        <v>Low</v>
      </c>
    </row>
    <row r="676" spans="1:41">
      <c r="A676">
        <v>3</v>
      </c>
      <c r="B676" t="str">
        <f t="shared" si="110"/>
        <v>Third Class</v>
      </c>
      <c r="C676">
        <v>1</v>
      </c>
      <c r="E676" t="str">
        <f t="shared" si="111"/>
        <v>Survived</v>
      </c>
      <c r="F676" t="s">
        <v>1619</v>
      </c>
      <c r="G676" t="s">
        <v>848</v>
      </c>
      <c r="H676" t="s">
        <v>1620</v>
      </c>
      <c r="I676" t="str">
        <f t="shared" si="112"/>
        <v>Mr. Bing Lee</v>
      </c>
      <c r="J676" t="s">
        <v>20</v>
      </c>
      <c r="K676" t="str">
        <f t="shared" si="113"/>
        <v>Male</v>
      </c>
      <c r="L676">
        <v>32</v>
      </c>
      <c r="O676">
        <f t="shared" si="114"/>
        <v>32</v>
      </c>
      <c r="P676">
        <v>0</v>
      </c>
      <c r="R676" s="4">
        <v>0</v>
      </c>
      <c r="T676" s="5">
        <v>56.495800000000003</v>
      </c>
      <c r="W676" s="4">
        <v>32</v>
      </c>
      <c r="X676" s="4" t="str">
        <f t="shared" si="115"/>
        <v>Adult</v>
      </c>
      <c r="Y676" s="4" t="s">
        <v>3561</v>
      </c>
      <c r="AB676" s="4" t="str">
        <f t="shared" si="116"/>
        <v/>
      </c>
      <c r="AC676" s="4" t="str">
        <f t="shared" si="117"/>
        <v>Unknown</v>
      </c>
      <c r="AD676" s="4" t="s">
        <v>457</v>
      </c>
      <c r="AF676" s="4" t="s">
        <v>62</v>
      </c>
      <c r="AG676" s="4" t="str">
        <f t="shared" si="118"/>
        <v>C</v>
      </c>
      <c r="AK676" s="4" t="s">
        <v>3573</v>
      </c>
      <c r="AL676" s="4" t="str">
        <f t="shared" si="119"/>
        <v>Found</v>
      </c>
      <c r="AN676" s="6">
        <v>56.495800000000003</v>
      </c>
      <c r="AO676" s="4" t="str">
        <f t="shared" si="120"/>
        <v>High</v>
      </c>
    </row>
    <row r="677" spans="1:41">
      <c r="A677">
        <v>3</v>
      </c>
      <c r="B677" t="str">
        <f t="shared" si="110"/>
        <v>Third Class</v>
      </c>
      <c r="C677">
        <v>0</v>
      </c>
      <c r="E677" t="str">
        <f t="shared" si="111"/>
        <v>Died</v>
      </c>
      <c r="F677" t="s">
        <v>1621</v>
      </c>
      <c r="G677" t="s">
        <v>848</v>
      </c>
      <c r="H677" t="s">
        <v>1365</v>
      </c>
      <c r="I677" t="str">
        <f t="shared" si="112"/>
        <v>Mr. Birkeland Hans</v>
      </c>
      <c r="J677" t="s">
        <v>20</v>
      </c>
      <c r="K677" t="str">
        <f t="shared" si="113"/>
        <v>Male</v>
      </c>
      <c r="L677">
        <v>21</v>
      </c>
      <c r="O677">
        <f t="shared" si="114"/>
        <v>21</v>
      </c>
      <c r="P677">
        <v>0</v>
      </c>
      <c r="R677" s="4">
        <v>0</v>
      </c>
      <c r="T677" s="5">
        <v>7.7750000000000004</v>
      </c>
      <c r="W677" s="4">
        <v>21</v>
      </c>
      <c r="X677" s="4" t="str">
        <f t="shared" si="115"/>
        <v>Young Adult</v>
      </c>
      <c r="Y677" s="4" t="s">
        <v>3561</v>
      </c>
      <c r="AB677" s="4" t="str">
        <f t="shared" si="116"/>
        <v/>
      </c>
      <c r="AC677" s="4" t="str">
        <f t="shared" si="117"/>
        <v>Unknown</v>
      </c>
      <c r="AD677" s="4" t="s">
        <v>457</v>
      </c>
      <c r="AG677" s="4" t="str">
        <f t="shared" si="118"/>
        <v>Not Applicable</v>
      </c>
      <c r="AK677" s="4" t="s">
        <v>3573</v>
      </c>
      <c r="AL677" s="4" t="str">
        <f t="shared" si="119"/>
        <v>Found</v>
      </c>
      <c r="AN677" s="6">
        <v>7.7750000000000004</v>
      </c>
      <c r="AO677" s="4" t="str">
        <f t="shared" si="120"/>
        <v>Low</v>
      </c>
    </row>
    <row r="678" spans="1:41">
      <c r="A678">
        <v>3</v>
      </c>
      <c r="B678" t="str">
        <f t="shared" si="110"/>
        <v>Third Class</v>
      </c>
      <c r="C678">
        <v>0</v>
      </c>
      <c r="E678" t="str">
        <f t="shared" si="111"/>
        <v>Died</v>
      </c>
      <c r="F678" t="s">
        <v>1622</v>
      </c>
      <c r="G678" t="s">
        <v>848</v>
      </c>
      <c r="H678" t="s">
        <v>1497</v>
      </c>
      <c r="I678" t="str">
        <f t="shared" si="112"/>
        <v>Mr. Bjorklund Ernst</v>
      </c>
      <c r="J678" t="s">
        <v>20</v>
      </c>
      <c r="K678" t="str">
        <f t="shared" si="113"/>
        <v>Male</v>
      </c>
      <c r="L678">
        <v>18</v>
      </c>
      <c r="O678">
        <f t="shared" si="114"/>
        <v>18</v>
      </c>
      <c r="P678">
        <v>0</v>
      </c>
      <c r="R678" s="4">
        <v>0</v>
      </c>
      <c r="T678" s="5">
        <v>7.75</v>
      </c>
      <c r="W678" s="4">
        <v>18</v>
      </c>
      <c r="X678" s="4" t="str">
        <f t="shared" si="115"/>
        <v>Young Adult</v>
      </c>
      <c r="Y678" s="4" t="s">
        <v>3561</v>
      </c>
      <c r="AB678" s="4" t="str">
        <f t="shared" si="116"/>
        <v/>
      </c>
      <c r="AC678" s="4" t="str">
        <f t="shared" si="117"/>
        <v>Unknown</v>
      </c>
      <c r="AD678" s="4" t="s">
        <v>457</v>
      </c>
      <c r="AG678" s="4" t="str">
        <f t="shared" si="118"/>
        <v>Not Applicable</v>
      </c>
      <c r="AK678" s="4" t="s">
        <v>3573</v>
      </c>
      <c r="AL678" s="4" t="str">
        <f t="shared" si="119"/>
        <v>Found</v>
      </c>
      <c r="AN678" s="6">
        <v>7.75</v>
      </c>
      <c r="AO678" s="4" t="str">
        <f t="shared" si="120"/>
        <v>Low</v>
      </c>
    </row>
    <row r="679" spans="1:41">
      <c r="A679">
        <v>3</v>
      </c>
      <c r="B679" t="str">
        <f t="shared" si="110"/>
        <v>Third Class</v>
      </c>
      <c r="C679">
        <v>0</v>
      </c>
      <c r="E679" t="str">
        <f t="shared" si="111"/>
        <v>Died</v>
      </c>
      <c r="F679" t="s">
        <v>1623</v>
      </c>
      <c r="G679" t="s">
        <v>848</v>
      </c>
      <c r="H679" t="s">
        <v>1624</v>
      </c>
      <c r="I679" t="str">
        <f t="shared" si="112"/>
        <v>Mr. Bostandyeff Guentcho</v>
      </c>
      <c r="J679" t="s">
        <v>20</v>
      </c>
      <c r="K679" t="str">
        <f t="shared" si="113"/>
        <v>Male</v>
      </c>
      <c r="L679">
        <v>26</v>
      </c>
      <c r="O679">
        <f t="shared" si="114"/>
        <v>26</v>
      </c>
      <c r="P679">
        <v>0</v>
      </c>
      <c r="R679" s="4">
        <v>0</v>
      </c>
      <c r="T679" s="5">
        <v>7.8958000000000004</v>
      </c>
      <c r="W679" s="4">
        <v>26</v>
      </c>
      <c r="X679" s="4" t="str">
        <f t="shared" si="115"/>
        <v>Young Adult</v>
      </c>
      <c r="Y679" s="4" t="s">
        <v>3561</v>
      </c>
      <c r="AB679" s="4" t="str">
        <f t="shared" si="116"/>
        <v/>
      </c>
      <c r="AC679" s="4" t="str">
        <f t="shared" si="117"/>
        <v>Unknown</v>
      </c>
      <c r="AD679" s="4" t="s">
        <v>457</v>
      </c>
      <c r="AG679" s="4" t="str">
        <f t="shared" si="118"/>
        <v>Not Applicable</v>
      </c>
      <c r="AK679" s="4" t="s">
        <v>3573</v>
      </c>
      <c r="AL679" s="4" t="str">
        <f t="shared" si="119"/>
        <v>Found</v>
      </c>
      <c r="AN679" s="6">
        <v>7.8958000000000004</v>
      </c>
      <c r="AO679" s="4" t="str">
        <f t="shared" si="120"/>
        <v>Low</v>
      </c>
    </row>
    <row r="680" spans="1:41">
      <c r="A680">
        <v>3</v>
      </c>
      <c r="B680" t="str">
        <f t="shared" si="110"/>
        <v>Third Class</v>
      </c>
      <c r="C680">
        <v>0</v>
      </c>
      <c r="E680" t="str">
        <f t="shared" si="111"/>
        <v>Died</v>
      </c>
      <c r="F680" t="s">
        <v>1625</v>
      </c>
      <c r="G680" t="s">
        <v>845</v>
      </c>
      <c r="H680" t="s">
        <v>1626</v>
      </c>
      <c r="I680" t="str">
        <f t="shared" si="112"/>
        <v>Master. Boulos Akar</v>
      </c>
      <c r="J680" t="s">
        <v>20</v>
      </c>
      <c r="K680" t="str">
        <f t="shared" si="113"/>
        <v>Male</v>
      </c>
      <c r="L680">
        <v>6</v>
      </c>
      <c r="O680">
        <f t="shared" si="114"/>
        <v>6</v>
      </c>
      <c r="P680">
        <v>1</v>
      </c>
      <c r="R680" s="4">
        <v>1</v>
      </c>
      <c r="T680" s="5">
        <v>15.245799999999999</v>
      </c>
      <c r="W680" s="4">
        <v>6</v>
      </c>
      <c r="X680" s="4" t="str">
        <f t="shared" si="115"/>
        <v>Child</v>
      </c>
      <c r="Y680" s="4" t="s">
        <v>3561</v>
      </c>
      <c r="AB680" s="4" t="str">
        <f t="shared" si="116"/>
        <v/>
      </c>
      <c r="AC680" s="4" t="str">
        <f t="shared" si="117"/>
        <v>Unknown</v>
      </c>
      <c r="AD680" s="4" t="s">
        <v>3566</v>
      </c>
      <c r="AG680" s="4" t="str">
        <f t="shared" si="118"/>
        <v>Not Applicable</v>
      </c>
      <c r="AK680" s="4" t="s">
        <v>3573</v>
      </c>
      <c r="AL680" s="4" t="str">
        <f t="shared" si="119"/>
        <v>Found</v>
      </c>
      <c r="AN680" s="6">
        <v>15.245799999999999</v>
      </c>
      <c r="AO680" s="4" t="str">
        <f t="shared" si="120"/>
        <v>Mid</v>
      </c>
    </row>
    <row r="681" spans="1:41">
      <c r="A681">
        <v>3</v>
      </c>
      <c r="B681" t="str">
        <f t="shared" si="110"/>
        <v>Third Class</v>
      </c>
      <c r="C681">
        <v>0</v>
      </c>
      <c r="E681" t="str">
        <f t="shared" si="111"/>
        <v>Died</v>
      </c>
      <c r="F681" t="s">
        <v>1625</v>
      </c>
      <c r="G681" t="s">
        <v>842</v>
      </c>
      <c r="H681" t="s">
        <v>1627</v>
      </c>
      <c r="I681" t="str">
        <f t="shared" si="112"/>
        <v>Miss. Boulos Nourelain</v>
      </c>
      <c r="J681" t="s">
        <v>47</v>
      </c>
      <c r="K681" t="str">
        <f t="shared" si="113"/>
        <v>Female</v>
      </c>
      <c r="L681">
        <v>9</v>
      </c>
      <c r="O681">
        <f t="shared" si="114"/>
        <v>9</v>
      </c>
      <c r="P681">
        <v>1</v>
      </c>
      <c r="R681" s="4">
        <v>1</v>
      </c>
      <c r="T681" s="5">
        <v>15.245799999999999</v>
      </c>
      <c r="W681" s="4">
        <v>9</v>
      </c>
      <c r="X681" s="4" t="str">
        <f t="shared" si="115"/>
        <v>Child</v>
      </c>
      <c r="Y681" s="4" t="s">
        <v>3561</v>
      </c>
      <c r="AB681" s="4" t="str">
        <f t="shared" si="116"/>
        <v/>
      </c>
      <c r="AC681" s="4" t="str">
        <f t="shared" si="117"/>
        <v>Unknown</v>
      </c>
      <c r="AD681" s="4" t="s">
        <v>3566</v>
      </c>
      <c r="AG681" s="4" t="str">
        <f t="shared" si="118"/>
        <v>Not Applicable</v>
      </c>
      <c r="AK681" s="4" t="s">
        <v>3573</v>
      </c>
      <c r="AL681" s="4" t="str">
        <f t="shared" si="119"/>
        <v>Found</v>
      </c>
      <c r="AN681" s="6">
        <v>15.245799999999999</v>
      </c>
      <c r="AO681" s="4" t="str">
        <f t="shared" si="120"/>
        <v>Mid</v>
      </c>
    </row>
    <row r="682" spans="1:41">
      <c r="A682">
        <v>3</v>
      </c>
      <c r="B682" t="str">
        <f t="shared" si="110"/>
        <v>Third Class</v>
      </c>
      <c r="C682">
        <v>0</v>
      </c>
      <c r="E682" t="str">
        <f t="shared" si="111"/>
        <v>Died</v>
      </c>
      <c r="F682" t="s">
        <v>1625</v>
      </c>
      <c r="G682" t="s">
        <v>848</v>
      </c>
      <c r="H682" t="s">
        <v>1608</v>
      </c>
      <c r="I682" t="str">
        <f t="shared" si="112"/>
        <v>Mr. Boulos Hanna</v>
      </c>
      <c r="J682" t="s">
        <v>20</v>
      </c>
      <c r="K682" t="str">
        <f t="shared" si="113"/>
        <v>Male</v>
      </c>
      <c r="L682">
        <v>28</v>
      </c>
      <c r="O682">
        <f t="shared" si="114"/>
        <v>28</v>
      </c>
      <c r="P682">
        <v>0</v>
      </c>
      <c r="R682" s="4">
        <v>0</v>
      </c>
      <c r="T682" s="5">
        <v>7.2249999999999996</v>
      </c>
      <c r="W682" s="4">
        <v>28</v>
      </c>
      <c r="X682" s="4" t="str">
        <f t="shared" si="115"/>
        <v>Young Adult</v>
      </c>
      <c r="Y682" s="4" t="s">
        <v>3561</v>
      </c>
      <c r="AB682" s="4" t="str">
        <f t="shared" si="116"/>
        <v/>
      </c>
      <c r="AC682" s="4" t="str">
        <f t="shared" si="117"/>
        <v>Unknown</v>
      </c>
      <c r="AD682" s="4" t="s">
        <v>3566</v>
      </c>
      <c r="AG682" s="4" t="str">
        <f t="shared" si="118"/>
        <v>Not Applicable</v>
      </c>
      <c r="AK682" s="4" t="s">
        <v>3573</v>
      </c>
      <c r="AL682" s="4" t="str">
        <f t="shared" si="119"/>
        <v>Found</v>
      </c>
      <c r="AN682" s="6">
        <v>7.2249999999999996</v>
      </c>
      <c r="AO682" s="4" t="str">
        <f t="shared" si="120"/>
        <v>Low</v>
      </c>
    </row>
    <row r="683" spans="1:41">
      <c r="A683">
        <v>3</v>
      </c>
      <c r="B683" t="str">
        <f t="shared" si="110"/>
        <v>Third Class</v>
      </c>
      <c r="C683">
        <v>0</v>
      </c>
      <c r="E683" t="str">
        <f t="shared" si="111"/>
        <v>Died</v>
      </c>
      <c r="F683" t="s">
        <v>1625</v>
      </c>
      <c r="G683" t="s">
        <v>849</v>
      </c>
      <c r="H683" t="s">
        <v>921</v>
      </c>
      <c r="I683" t="str">
        <f t="shared" si="112"/>
        <v>Mrs. Boulos Joseph</v>
      </c>
      <c r="J683" t="s">
        <v>47</v>
      </c>
      <c r="K683" t="str">
        <f t="shared" si="113"/>
        <v>Female</v>
      </c>
      <c r="L683">
        <v>28</v>
      </c>
      <c r="O683">
        <f t="shared" si="114"/>
        <v>28</v>
      </c>
      <c r="P683">
        <v>0</v>
      </c>
      <c r="R683" s="4">
        <v>2</v>
      </c>
      <c r="T683" s="5">
        <v>15.245799999999999</v>
      </c>
      <c r="W683" s="4">
        <v>28</v>
      </c>
      <c r="X683" s="4" t="str">
        <f t="shared" si="115"/>
        <v>Young Adult</v>
      </c>
      <c r="Y683" s="4" t="s">
        <v>3561</v>
      </c>
      <c r="AB683" s="4" t="str">
        <f t="shared" si="116"/>
        <v/>
      </c>
      <c r="AC683" s="4" t="str">
        <f t="shared" si="117"/>
        <v>Unknown</v>
      </c>
      <c r="AD683" s="4" t="s">
        <v>3566</v>
      </c>
      <c r="AG683" s="4" t="str">
        <f t="shared" si="118"/>
        <v>Not Applicable</v>
      </c>
      <c r="AK683" s="4" t="s">
        <v>3573</v>
      </c>
      <c r="AL683" s="4" t="str">
        <f t="shared" si="119"/>
        <v>Found</v>
      </c>
      <c r="AN683" s="6">
        <v>15.245799999999999</v>
      </c>
      <c r="AO683" s="4" t="str">
        <f t="shared" si="120"/>
        <v>Mid</v>
      </c>
    </row>
    <row r="684" spans="1:41">
      <c r="A684">
        <v>3</v>
      </c>
      <c r="B684" t="str">
        <f t="shared" si="110"/>
        <v>Third Class</v>
      </c>
      <c r="C684">
        <v>0</v>
      </c>
      <c r="E684" t="str">
        <f t="shared" si="111"/>
        <v>Died</v>
      </c>
      <c r="F684" t="s">
        <v>1628</v>
      </c>
      <c r="G684" t="s">
        <v>842</v>
      </c>
      <c r="H684" t="s">
        <v>1107</v>
      </c>
      <c r="I684" t="str">
        <f t="shared" si="112"/>
        <v>Miss. Bourke Mary</v>
      </c>
      <c r="J684" t="s">
        <v>47</v>
      </c>
      <c r="K684" t="str">
        <f t="shared" si="113"/>
        <v>Female</v>
      </c>
      <c r="L684">
        <v>28</v>
      </c>
      <c r="O684">
        <f t="shared" si="114"/>
        <v>28</v>
      </c>
      <c r="P684">
        <v>0</v>
      </c>
      <c r="R684" s="4">
        <v>2</v>
      </c>
      <c r="T684" s="5">
        <v>7.75</v>
      </c>
      <c r="W684" s="4">
        <v>28</v>
      </c>
      <c r="X684" s="4" t="str">
        <f t="shared" si="115"/>
        <v>Young Adult</v>
      </c>
      <c r="Y684" s="4" t="s">
        <v>3561</v>
      </c>
      <c r="AB684" s="4" t="str">
        <f t="shared" si="116"/>
        <v/>
      </c>
      <c r="AC684" s="4" t="str">
        <f t="shared" si="117"/>
        <v>Unknown</v>
      </c>
      <c r="AD684" s="4" t="s">
        <v>3567</v>
      </c>
      <c r="AG684" s="4" t="str">
        <f t="shared" si="118"/>
        <v>Not Applicable</v>
      </c>
      <c r="AK684" s="4" t="s">
        <v>3573</v>
      </c>
      <c r="AL684" s="4" t="str">
        <f t="shared" si="119"/>
        <v>Found</v>
      </c>
      <c r="AN684" s="6">
        <v>7.75</v>
      </c>
      <c r="AO684" s="4" t="str">
        <f t="shared" si="120"/>
        <v>Low</v>
      </c>
    </row>
    <row r="685" spans="1:41">
      <c r="A685">
        <v>3</v>
      </c>
      <c r="B685" t="str">
        <f t="shared" si="110"/>
        <v>Third Class</v>
      </c>
      <c r="C685">
        <v>0</v>
      </c>
      <c r="E685" t="str">
        <f t="shared" si="111"/>
        <v>Died</v>
      </c>
      <c r="F685" t="s">
        <v>1628</v>
      </c>
      <c r="G685" t="s">
        <v>848</v>
      </c>
      <c r="H685" t="s">
        <v>862</v>
      </c>
      <c r="I685" t="str">
        <f t="shared" si="112"/>
        <v>Mr. Bourke John</v>
      </c>
      <c r="J685" t="s">
        <v>20</v>
      </c>
      <c r="K685" t="str">
        <f t="shared" si="113"/>
        <v>Male</v>
      </c>
      <c r="L685">
        <v>40</v>
      </c>
      <c r="O685">
        <f t="shared" si="114"/>
        <v>40</v>
      </c>
      <c r="P685">
        <v>1</v>
      </c>
      <c r="R685" s="4">
        <v>1</v>
      </c>
      <c r="T685" s="5">
        <v>15.5</v>
      </c>
      <c r="W685" s="4">
        <v>40</v>
      </c>
      <c r="X685" s="4" t="str">
        <f t="shared" si="115"/>
        <v>Adult</v>
      </c>
      <c r="Y685" s="4" t="s">
        <v>3561</v>
      </c>
      <c r="AB685" s="4" t="str">
        <f t="shared" si="116"/>
        <v/>
      </c>
      <c r="AC685" s="4" t="str">
        <f t="shared" si="117"/>
        <v>Unknown</v>
      </c>
      <c r="AD685" s="4" t="s">
        <v>3567</v>
      </c>
      <c r="AG685" s="4" t="str">
        <f t="shared" si="118"/>
        <v>Not Applicable</v>
      </c>
      <c r="AK685" s="4" t="s">
        <v>3573</v>
      </c>
      <c r="AL685" s="4" t="str">
        <f t="shared" si="119"/>
        <v>Found</v>
      </c>
      <c r="AN685" s="6">
        <v>15.5</v>
      </c>
      <c r="AO685" s="4" t="str">
        <f t="shared" si="120"/>
        <v>Mid</v>
      </c>
    </row>
    <row r="686" spans="1:41">
      <c r="A686">
        <v>3</v>
      </c>
      <c r="B686" t="str">
        <f t="shared" si="110"/>
        <v>Third Class</v>
      </c>
      <c r="C686">
        <v>0</v>
      </c>
      <c r="E686" t="str">
        <f t="shared" si="111"/>
        <v>Died</v>
      </c>
      <c r="F686" t="s">
        <v>1628</v>
      </c>
      <c r="G686" t="s">
        <v>849</v>
      </c>
      <c r="H686" t="s">
        <v>862</v>
      </c>
      <c r="I686" t="str">
        <f t="shared" si="112"/>
        <v>Mrs. Bourke John</v>
      </c>
      <c r="J686" t="s">
        <v>47</v>
      </c>
      <c r="K686" t="str">
        <f t="shared" si="113"/>
        <v>Female</v>
      </c>
      <c r="L686">
        <v>32</v>
      </c>
      <c r="O686">
        <f t="shared" si="114"/>
        <v>32</v>
      </c>
      <c r="P686">
        <v>1</v>
      </c>
      <c r="R686" s="4">
        <v>1</v>
      </c>
      <c r="T686" s="5">
        <v>15.5</v>
      </c>
      <c r="W686" s="4">
        <v>32</v>
      </c>
      <c r="X686" s="4" t="str">
        <f t="shared" si="115"/>
        <v>Adult</v>
      </c>
      <c r="Y686" s="4" t="s">
        <v>3561</v>
      </c>
      <c r="AB686" s="4" t="str">
        <f t="shared" si="116"/>
        <v/>
      </c>
      <c r="AC686" s="4" t="str">
        <f t="shared" si="117"/>
        <v>Unknown</v>
      </c>
      <c r="AD686" s="4" t="s">
        <v>3567</v>
      </c>
      <c r="AG686" s="4" t="str">
        <f t="shared" si="118"/>
        <v>Not Applicable</v>
      </c>
      <c r="AK686" s="4" t="s">
        <v>3573</v>
      </c>
      <c r="AL686" s="4" t="str">
        <f t="shared" si="119"/>
        <v>Found</v>
      </c>
      <c r="AN686" s="6">
        <v>15.5</v>
      </c>
      <c r="AO686" s="4" t="str">
        <f t="shared" si="120"/>
        <v>Mid</v>
      </c>
    </row>
    <row r="687" spans="1:41">
      <c r="A687">
        <v>3</v>
      </c>
      <c r="B687" t="str">
        <f t="shared" si="110"/>
        <v>Third Class</v>
      </c>
      <c r="C687">
        <v>0</v>
      </c>
      <c r="E687" t="str">
        <f t="shared" si="111"/>
        <v>Died</v>
      </c>
      <c r="F687" t="s">
        <v>906</v>
      </c>
      <c r="G687" t="s">
        <v>848</v>
      </c>
      <c r="H687" t="s">
        <v>1052</v>
      </c>
      <c r="I687" t="str">
        <f t="shared" si="112"/>
        <v>Mr. Bowen David</v>
      </c>
      <c r="J687" t="s">
        <v>20</v>
      </c>
      <c r="K687" t="str">
        <f t="shared" si="113"/>
        <v>Male</v>
      </c>
      <c r="L687">
        <v>21</v>
      </c>
      <c r="O687">
        <f t="shared" si="114"/>
        <v>21</v>
      </c>
      <c r="P687">
        <v>0</v>
      </c>
      <c r="R687" s="4">
        <v>0</v>
      </c>
      <c r="T687" s="5">
        <v>16.100000000000001</v>
      </c>
      <c r="W687" s="4">
        <v>21</v>
      </c>
      <c r="X687" s="4" t="str">
        <f t="shared" si="115"/>
        <v>Young Adult</v>
      </c>
      <c r="Y687" s="4" t="s">
        <v>3561</v>
      </c>
      <c r="AB687" s="4" t="str">
        <f t="shared" si="116"/>
        <v/>
      </c>
      <c r="AC687" s="4" t="str">
        <f t="shared" si="117"/>
        <v>Unknown</v>
      </c>
      <c r="AD687" s="4" t="s">
        <v>457</v>
      </c>
      <c r="AG687" s="4" t="str">
        <f t="shared" si="118"/>
        <v>Not Applicable</v>
      </c>
      <c r="AK687" s="4" t="s">
        <v>3573</v>
      </c>
      <c r="AL687" s="4" t="str">
        <f t="shared" si="119"/>
        <v>Found</v>
      </c>
      <c r="AN687" s="6">
        <v>16.100000000000001</v>
      </c>
      <c r="AO687" s="4" t="str">
        <f t="shared" si="120"/>
        <v>Mid</v>
      </c>
    </row>
    <row r="688" spans="1:41">
      <c r="A688">
        <v>3</v>
      </c>
      <c r="B688" t="str">
        <f t="shared" si="110"/>
        <v>Third Class</v>
      </c>
      <c r="C688">
        <v>1</v>
      </c>
      <c r="E688" t="str">
        <f t="shared" si="111"/>
        <v>Survived</v>
      </c>
      <c r="F688" t="s">
        <v>911</v>
      </c>
      <c r="G688" t="s">
        <v>842</v>
      </c>
      <c r="H688" t="s">
        <v>1629</v>
      </c>
      <c r="I688" t="str">
        <f t="shared" si="112"/>
        <v>Miss. Bradley Bridget</v>
      </c>
      <c r="J688" t="s">
        <v>47</v>
      </c>
      <c r="K688" t="str">
        <f t="shared" si="113"/>
        <v>Female</v>
      </c>
      <c r="L688">
        <v>22</v>
      </c>
      <c r="O688">
        <f t="shared" si="114"/>
        <v>22</v>
      </c>
      <c r="P688">
        <v>0</v>
      </c>
      <c r="R688" s="4">
        <v>0</v>
      </c>
      <c r="T688" s="5">
        <v>7.7249999999999996</v>
      </c>
      <c r="W688" s="4">
        <v>22</v>
      </c>
      <c r="X688" s="4" t="str">
        <f t="shared" si="115"/>
        <v>Young Adult</v>
      </c>
      <c r="Y688" s="4" t="s">
        <v>3561</v>
      </c>
      <c r="AB688" s="4" t="str">
        <f t="shared" si="116"/>
        <v/>
      </c>
      <c r="AC688" s="4" t="str">
        <f t="shared" si="117"/>
        <v>Unknown</v>
      </c>
      <c r="AD688" s="4" t="s">
        <v>3567</v>
      </c>
      <c r="AF688" s="4">
        <v>13</v>
      </c>
      <c r="AG688" s="4">
        <f t="shared" si="118"/>
        <v>13</v>
      </c>
      <c r="AK688" s="4" t="s">
        <v>3573</v>
      </c>
      <c r="AL688" s="4" t="str">
        <f t="shared" si="119"/>
        <v>Found</v>
      </c>
      <c r="AN688" s="6">
        <v>7.7249999999999996</v>
      </c>
      <c r="AO688" s="4" t="str">
        <f t="shared" si="120"/>
        <v>Low</v>
      </c>
    </row>
    <row r="689" spans="1:41">
      <c r="A689">
        <v>3</v>
      </c>
      <c r="B689" t="str">
        <f t="shared" si="110"/>
        <v>Third Class</v>
      </c>
      <c r="C689">
        <v>0</v>
      </c>
      <c r="E689" t="str">
        <f t="shared" si="111"/>
        <v>Died</v>
      </c>
      <c r="F689" t="s">
        <v>1631</v>
      </c>
      <c r="G689" t="s">
        <v>842</v>
      </c>
      <c r="H689" t="s">
        <v>1632</v>
      </c>
      <c r="I689" t="str">
        <f t="shared" si="112"/>
        <v>Miss. Braf Elin</v>
      </c>
      <c r="J689" t="s">
        <v>47</v>
      </c>
      <c r="K689" t="str">
        <f t="shared" si="113"/>
        <v>Female</v>
      </c>
      <c r="L689">
        <v>20</v>
      </c>
      <c r="O689">
        <f t="shared" si="114"/>
        <v>20</v>
      </c>
      <c r="P689">
        <v>0</v>
      </c>
      <c r="R689" s="4">
        <v>0</v>
      </c>
      <c r="T689" s="5">
        <v>7.8541999999999996</v>
      </c>
      <c r="W689" s="4">
        <v>20</v>
      </c>
      <c r="X689" s="4" t="str">
        <f t="shared" si="115"/>
        <v>Young Adult</v>
      </c>
      <c r="Y689" s="4" t="s">
        <v>3561</v>
      </c>
      <c r="AB689" s="4" t="str">
        <f t="shared" si="116"/>
        <v/>
      </c>
      <c r="AC689" s="4" t="str">
        <f t="shared" si="117"/>
        <v>Unknown</v>
      </c>
      <c r="AD689" s="4" t="s">
        <v>457</v>
      </c>
      <c r="AG689" s="4" t="str">
        <f t="shared" si="118"/>
        <v>Not Applicable</v>
      </c>
      <c r="AK689" s="4" t="s">
        <v>3573</v>
      </c>
      <c r="AL689" s="4" t="str">
        <f t="shared" si="119"/>
        <v>Found</v>
      </c>
      <c r="AN689" s="6">
        <v>7.8541999999999996</v>
      </c>
      <c r="AO689" s="4" t="str">
        <f t="shared" si="120"/>
        <v>Low</v>
      </c>
    </row>
    <row r="690" spans="1:41">
      <c r="A690">
        <v>3</v>
      </c>
      <c r="B690" t="str">
        <f t="shared" si="110"/>
        <v>Third Class</v>
      </c>
      <c r="C690">
        <v>0</v>
      </c>
      <c r="E690" t="str">
        <f t="shared" si="111"/>
        <v>Died</v>
      </c>
      <c r="F690" t="s">
        <v>1633</v>
      </c>
      <c r="G690" t="s">
        <v>848</v>
      </c>
      <c r="H690" t="s">
        <v>1377</v>
      </c>
      <c r="I690" t="str">
        <f t="shared" si="112"/>
        <v>Mr. Braund Lewis</v>
      </c>
      <c r="J690" t="s">
        <v>20</v>
      </c>
      <c r="K690" t="str">
        <f t="shared" si="113"/>
        <v>Male</v>
      </c>
      <c r="L690">
        <v>29</v>
      </c>
      <c r="O690">
        <f t="shared" si="114"/>
        <v>29</v>
      </c>
      <c r="P690">
        <v>1</v>
      </c>
      <c r="R690" s="4">
        <v>0</v>
      </c>
      <c r="T690" s="5">
        <v>7.0457999999999998</v>
      </c>
      <c r="W690" s="4">
        <v>29</v>
      </c>
      <c r="X690" s="4" t="str">
        <f t="shared" si="115"/>
        <v>Young Adult</v>
      </c>
      <c r="Y690" s="4" t="s">
        <v>3561</v>
      </c>
      <c r="AB690" s="4" t="str">
        <f t="shared" si="116"/>
        <v/>
      </c>
      <c r="AC690" s="4" t="str">
        <f t="shared" si="117"/>
        <v>Unknown</v>
      </c>
      <c r="AD690" s="4" t="s">
        <v>457</v>
      </c>
      <c r="AG690" s="4" t="str">
        <f t="shared" si="118"/>
        <v>Not Applicable</v>
      </c>
      <c r="AK690" s="4" t="s">
        <v>3573</v>
      </c>
      <c r="AL690" s="4" t="str">
        <f t="shared" si="119"/>
        <v>Found</v>
      </c>
      <c r="AN690" s="6">
        <v>7.0457999999999998</v>
      </c>
      <c r="AO690" s="4" t="str">
        <f t="shared" si="120"/>
        <v>Low</v>
      </c>
    </row>
    <row r="691" spans="1:41">
      <c r="A691">
        <v>3</v>
      </c>
      <c r="B691" t="str">
        <f t="shared" si="110"/>
        <v>Third Class</v>
      </c>
      <c r="C691">
        <v>0</v>
      </c>
      <c r="E691" t="str">
        <f t="shared" si="111"/>
        <v>Died</v>
      </c>
      <c r="F691" t="s">
        <v>1633</v>
      </c>
      <c r="G691" t="s">
        <v>848</v>
      </c>
      <c r="H691" t="s">
        <v>1558</v>
      </c>
      <c r="I691" t="str">
        <f t="shared" si="112"/>
        <v>Mr. Braund Owen</v>
      </c>
      <c r="J691" t="s">
        <v>20</v>
      </c>
      <c r="K691" t="str">
        <f t="shared" si="113"/>
        <v>Male</v>
      </c>
      <c r="L691">
        <v>22</v>
      </c>
      <c r="O691">
        <f t="shared" si="114"/>
        <v>22</v>
      </c>
      <c r="P691">
        <v>1</v>
      </c>
      <c r="R691" s="4">
        <v>0</v>
      </c>
      <c r="T691" s="5">
        <v>7.25</v>
      </c>
      <c r="W691" s="4">
        <v>22</v>
      </c>
      <c r="X691" s="4" t="str">
        <f t="shared" si="115"/>
        <v>Young Adult</v>
      </c>
      <c r="Y691" s="4" t="s">
        <v>3561</v>
      </c>
      <c r="AB691" s="4" t="str">
        <f t="shared" si="116"/>
        <v/>
      </c>
      <c r="AC691" s="4" t="str">
        <f t="shared" si="117"/>
        <v>Unknown</v>
      </c>
      <c r="AD691" s="4" t="s">
        <v>457</v>
      </c>
      <c r="AG691" s="4" t="str">
        <f t="shared" si="118"/>
        <v>Not Applicable</v>
      </c>
      <c r="AK691" s="4" t="s">
        <v>3573</v>
      </c>
      <c r="AL691" s="4" t="str">
        <f t="shared" si="119"/>
        <v>Found</v>
      </c>
      <c r="AN691" s="6">
        <v>7.25</v>
      </c>
      <c r="AO691" s="4" t="str">
        <f t="shared" si="120"/>
        <v>Low</v>
      </c>
    </row>
    <row r="692" spans="1:41">
      <c r="A692">
        <v>3</v>
      </c>
      <c r="B692" t="str">
        <f t="shared" si="110"/>
        <v>Third Class</v>
      </c>
      <c r="C692">
        <v>0</v>
      </c>
      <c r="E692" t="str">
        <f t="shared" si="111"/>
        <v>Died</v>
      </c>
      <c r="F692" t="s">
        <v>1634</v>
      </c>
      <c r="G692" t="s">
        <v>848</v>
      </c>
      <c r="H692" t="s">
        <v>887</v>
      </c>
      <c r="I692" t="str">
        <f t="shared" si="112"/>
        <v>Mr. Brobeck Karl</v>
      </c>
      <c r="J692" t="s">
        <v>20</v>
      </c>
      <c r="K692" t="str">
        <f t="shared" si="113"/>
        <v>Male</v>
      </c>
      <c r="L692">
        <v>22</v>
      </c>
      <c r="O692">
        <f t="shared" si="114"/>
        <v>22</v>
      </c>
      <c r="P692">
        <v>0</v>
      </c>
      <c r="R692" s="4">
        <v>0</v>
      </c>
      <c r="T692" s="5">
        <v>7.7957999999999998</v>
      </c>
      <c r="W692" s="4">
        <v>22</v>
      </c>
      <c r="X692" s="4" t="str">
        <f t="shared" si="115"/>
        <v>Young Adult</v>
      </c>
      <c r="Y692" s="4" t="s">
        <v>3561</v>
      </c>
      <c r="AB692" s="4" t="str">
        <f t="shared" si="116"/>
        <v/>
      </c>
      <c r="AC692" s="4" t="str">
        <f t="shared" si="117"/>
        <v>Unknown</v>
      </c>
      <c r="AD692" s="4" t="s">
        <v>457</v>
      </c>
      <c r="AG692" s="4" t="str">
        <f t="shared" si="118"/>
        <v>Not Applicable</v>
      </c>
      <c r="AK692" s="4" t="s">
        <v>3573</v>
      </c>
      <c r="AL692" s="4" t="str">
        <f t="shared" si="119"/>
        <v>Found</v>
      </c>
      <c r="AN692" s="6">
        <v>7.7957999999999998</v>
      </c>
      <c r="AO692" s="4" t="str">
        <f t="shared" si="120"/>
        <v>Low</v>
      </c>
    </row>
    <row r="693" spans="1:41">
      <c r="A693">
        <v>3</v>
      </c>
      <c r="B693" t="str">
        <f t="shared" si="110"/>
        <v>Third Class</v>
      </c>
      <c r="C693">
        <v>0</v>
      </c>
      <c r="E693" t="str">
        <f t="shared" si="111"/>
        <v>Died</v>
      </c>
      <c r="F693" t="s">
        <v>1635</v>
      </c>
      <c r="G693" t="s">
        <v>848</v>
      </c>
      <c r="H693" t="s">
        <v>924</v>
      </c>
      <c r="I693" t="str">
        <f t="shared" si="112"/>
        <v>Mr. Brocklebank William</v>
      </c>
      <c r="J693" t="s">
        <v>20</v>
      </c>
      <c r="K693" t="str">
        <f t="shared" si="113"/>
        <v>Male</v>
      </c>
      <c r="L693">
        <v>35</v>
      </c>
      <c r="O693">
        <f t="shared" si="114"/>
        <v>35</v>
      </c>
      <c r="P693">
        <v>0</v>
      </c>
      <c r="R693" s="4">
        <v>0</v>
      </c>
      <c r="T693" s="5">
        <v>8.0500000000000007</v>
      </c>
      <c r="W693" s="4">
        <v>35</v>
      </c>
      <c r="X693" s="4" t="str">
        <f t="shared" si="115"/>
        <v>Adult</v>
      </c>
      <c r="Y693" s="4" t="s">
        <v>3561</v>
      </c>
      <c r="AB693" s="4" t="str">
        <f t="shared" si="116"/>
        <v/>
      </c>
      <c r="AC693" s="4" t="str">
        <f t="shared" si="117"/>
        <v>Unknown</v>
      </c>
      <c r="AD693" s="4" t="s">
        <v>457</v>
      </c>
      <c r="AG693" s="4" t="str">
        <f t="shared" si="118"/>
        <v>Not Applicable</v>
      </c>
      <c r="AK693" s="4" t="s">
        <v>3573</v>
      </c>
      <c r="AL693" s="4" t="str">
        <f t="shared" si="119"/>
        <v>Found</v>
      </c>
      <c r="AN693" s="6">
        <v>8.0500000000000007</v>
      </c>
      <c r="AO693" s="4" t="str">
        <f t="shared" si="120"/>
        <v>Low</v>
      </c>
    </row>
    <row r="694" spans="1:41">
      <c r="A694">
        <v>3</v>
      </c>
      <c r="B694" t="str">
        <f t="shared" si="110"/>
        <v>Third Class</v>
      </c>
      <c r="C694">
        <v>0</v>
      </c>
      <c r="E694" t="str">
        <f t="shared" si="111"/>
        <v>Died</v>
      </c>
      <c r="F694" t="s">
        <v>1636</v>
      </c>
      <c r="G694" t="s">
        <v>842</v>
      </c>
      <c r="H694" t="s">
        <v>1637</v>
      </c>
      <c r="I694" t="str">
        <f t="shared" si="112"/>
        <v>Miss. Buckley Katherine</v>
      </c>
      <c r="J694" t="s">
        <v>47</v>
      </c>
      <c r="K694" t="str">
        <f t="shared" si="113"/>
        <v>Female</v>
      </c>
      <c r="L694">
        <v>18.5</v>
      </c>
      <c r="O694">
        <f t="shared" si="114"/>
        <v>19</v>
      </c>
      <c r="P694">
        <v>0</v>
      </c>
      <c r="R694" s="4">
        <v>0</v>
      </c>
      <c r="T694" s="5">
        <v>7.2832999999999997</v>
      </c>
      <c r="W694" s="4">
        <v>19</v>
      </c>
      <c r="X694" s="4" t="str">
        <f t="shared" si="115"/>
        <v>Young Adult</v>
      </c>
      <c r="Y694" s="4" t="s">
        <v>3561</v>
      </c>
      <c r="AB694" s="4" t="str">
        <f t="shared" si="116"/>
        <v/>
      </c>
      <c r="AC694" s="4" t="str">
        <f t="shared" si="117"/>
        <v>Unknown</v>
      </c>
      <c r="AD694" s="4" t="s">
        <v>3567</v>
      </c>
      <c r="AG694" s="4" t="str">
        <f t="shared" si="118"/>
        <v>Not Applicable</v>
      </c>
      <c r="AH694" s="4">
        <v>299</v>
      </c>
      <c r="AK694" s="4">
        <v>299</v>
      </c>
      <c r="AL694" s="4" t="str">
        <f t="shared" si="119"/>
        <v>Found</v>
      </c>
      <c r="AN694" s="6">
        <v>7.2832999999999997</v>
      </c>
      <c r="AO694" s="4" t="str">
        <f t="shared" si="120"/>
        <v>Low</v>
      </c>
    </row>
    <row r="695" spans="1:41">
      <c r="A695">
        <v>3</v>
      </c>
      <c r="B695" t="str">
        <f t="shared" si="110"/>
        <v>Third Class</v>
      </c>
      <c r="C695">
        <v>1</v>
      </c>
      <c r="E695" t="str">
        <f t="shared" si="111"/>
        <v>Survived</v>
      </c>
      <c r="F695" t="s">
        <v>1636</v>
      </c>
      <c r="G695" t="s">
        <v>848</v>
      </c>
      <c r="H695" t="s">
        <v>989</v>
      </c>
      <c r="I695" t="str">
        <f t="shared" si="112"/>
        <v>Mr. Buckley Daniel</v>
      </c>
      <c r="J695" t="s">
        <v>20</v>
      </c>
      <c r="K695" t="str">
        <f t="shared" si="113"/>
        <v>Male</v>
      </c>
      <c r="L695">
        <v>21</v>
      </c>
      <c r="O695">
        <f t="shared" si="114"/>
        <v>21</v>
      </c>
      <c r="P695">
        <v>0</v>
      </c>
      <c r="R695" s="4">
        <v>0</v>
      </c>
      <c r="T695" s="5">
        <v>7.8208000000000002</v>
      </c>
      <c r="W695" s="4">
        <v>21</v>
      </c>
      <c r="X695" s="4" t="str">
        <f t="shared" si="115"/>
        <v>Young Adult</v>
      </c>
      <c r="Y695" s="4" t="s">
        <v>3561</v>
      </c>
      <c r="AB695" s="4" t="str">
        <f t="shared" si="116"/>
        <v/>
      </c>
      <c r="AC695" s="4" t="str">
        <f t="shared" si="117"/>
        <v>Unknown</v>
      </c>
      <c r="AD695" s="4" t="s">
        <v>3567</v>
      </c>
      <c r="AF695" s="4">
        <v>13</v>
      </c>
      <c r="AG695" s="4">
        <f t="shared" si="118"/>
        <v>13</v>
      </c>
      <c r="AK695" s="4" t="s">
        <v>3573</v>
      </c>
      <c r="AL695" s="4" t="str">
        <f t="shared" si="119"/>
        <v>Found</v>
      </c>
      <c r="AN695" s="6">
        <v>7.8208000000000002</v>
      </c>
      <c r="AO695" s="4" t="str">
        <f t="shared" si="120"/>
        <v>Low</v>
      </c>
    </row>
    <row r="696" spans="1:41">
      <c r="A696">
        <v>3</v>
      </c>
      <c r="B696" t="str">
        <f t="shared" si="110"/>
        <v>Third Class</v>
      </c>
      <c r="C696">
        <v>0</v>
      </c>
      <c r="E696" t="str">
        <f t="shared" si="111"/>
        <v>Died</v>
      </c>
      <c r="F696" t="s">
        <v>1638</v>
      </c>
      <c r="G696" t="s">
        <v>848</v>
      </c>
      <c r="H696" t="s">
        <v>1639</v>
      </c>
      <c r="I696" t="str">
        <f t="shared" si="112"/>
        <v>Mr. Burke Jeremiah</v>
      </c>
      <c r="J696" t="s">
        <v>20</v>
      </c>
      <c r="K696" t="str">
        <f t="shared" si="113"/>
        <v>Male</v>
      </c>
      <c r="L696">
        <v>19</v>
      </c>
      <c r="O696">
        <f t="shared" si="114"/>
        <v>19</v>
      </c>
      <c r="P696">
        <v>0</v>
      </c>
      <c r="R696" s="4">
        <v>0</v>
      </c>
      <c r="T696" s="5">
        <v>6.75</v>
      </c>
      <c r="W696" s="4">
        <v>19</v>
      </c>
      <c r="X696" s="4" t="str">
        <f t="shared" si="115"/>
        <v>Young Adult</v>
      </c>
      <c r="Y696" s="4" t="s">
        <v>3561</v>
      </c>
      <c r="AB696" s="4" t="str">
        <f t="shared" si="116"/>
        <v/>
      </c>
      <c r="AC696" s="4" t="str">
        <f t="shared" si="117"/>
        <v>Unknown</v>
      </c>
      <c r="AD696" s="4" t="s">
        <v>3567</v>
      </c>
      <c r="AG696" s="4" t="str">
        <f t="shared" si="118"/>
        <v>Not Applicable</v>
      </c>
      <c r="AK696" s="4" t="s">
        <v>3573</v>
      </c>
      <c r="AL696" s="4" t="str">
        <f t="shared" si="119"/>
        <v>Found</v>
      </c>
      <c r="AN696" s="6">
        <v>6.75</v>
      </c>
      <c r="AO696" s="4" t="str">
        <f t="shared" si="120"/>
        <v>Low</v>
      </c>
    </row>
    <row r="697" spans="1:41">
      <c r="A697">
        <v>3</v>
      </c>
      <c r="B697" t="str">
        <f t="shared" si="110"/>
        <v>Third Class</v>
      </c>
      <c r="C697">
        <v>0</v>
      </c>
      <c r="E697" t="str">
        <f t="shared" si="111"/>
        <v>Died</v>
      </c>
      <c r="F697" t="s">
        <v>926</v>
      </c>
      <c r="G697" t="s">
        <v>842</v>
      </c>
      <c r="H697" t="s">
        <v>1107</v>
      </c>
      <c r="I697" t="str">
        <f t="shared" si="112"/>
        <v>Miss. Burns Mary</v>
      </c>
      <c r="J697" t="s">
        <v>47</v>
      </c>
      <c r="K697" t="str">
        <f t="shared" si="113"/>
        <v>Female</v>
      </c>
      <c r="L697">
        <v>18</v>
      </c>
      <c r="O697">
        <f t="shared" si="114"/>
        <v>18</v>
      </c>
      <c r="P697">
        <v>0</v>
      </c>
      <c r="R697" s="4">
        <v>0</v>
      </c>
      <c r="T697" s="5">
        <v>7.8792</v>
      </c>
      <c r="W697" s="4">
        <v>18</v>
      </c>
      <c r="X697" s="4" t="str">
        <f t="shared" si="115"/>
        <v>Young Adult</v>
      </c>
      <c r="Y697" s="4" t="s">
        <v>3561</v>
      </c>
      <c r="AB697" s="4" t="str">
        <f t="shared" si="116"/>
        <v/>
      </c>
      <c r="AC697" s="4" t="str">
        <f t="shared" si="117"/>
        <v>Unknown</v>
      </c>
      <c r="AD697" s="4" t="s">
        <v>3567</v>
      </c>
      <c r="AG697" s="4" t="str">
        <f t="shared" si="118"/>
        <v>Not Applicable</v>
      </c>
      <c r="AK697" s="4" t="s">
        <v>3573</v>
      </c>
      <c r="AL697" s="4" t="str">
        <f t="shared" si="119"/>
        <v>Found</v>
      </c>
      <c r="AN697" s="6">
        <v>7.8792</v>
      </c>
      <c r="AO697" s="4" t="str">
        <f t="shared" si="120"/>
        <v>Low</v>
      </c>
    </row>
    <row r="698" spans="1:41">
      <c r="A698">
        <v>3</v>
      </c>
      <c r="B698" t="str">
        <f t="shared" si="110"/>
        <v>Third Class</v>
      </c>
      <c r="C698">
        <v>0</v>
      </c>
      <c r="E698" t="str">
        <f t="shared" si="111"/>
        <v>Died</v>
      </c>
      <c r="F698" t="s">
        <v>1640</v>
      </c>
      <c r="G698" t="s">
        <v>842</v>
      </c>
      <c r="H698" t="s">
        <v>1641</v>
      </c>
      <c r="I698" t="str">
        <f t="shared" si="112"/>
        <v>Miss. Cacic Manda</v>
      </c>
      <c r="J698" t="s">
        <v>47</v>
      </c>
      <c r="K698" t="str">
        <f t="shared" si="113"/>
        <v>Female</v>
      </c>
      <c r="L698">
        <v>21</v>
      </c>
      <c r="O698">
        <f t="shared" si="114"/>
        <v>21</v>
      </c>
      <c r="P698">
        <v>0</v>
      </c>
      <c r="R698" s="4">
        <v>0</v>
      </c>
      <c r="T698" s="5">
        <v>8.6624999999999996</v>
      </c>
      <c r="W698" s="4">
        <v>21</v>
      </c>
      <c r="X698" s="4" t="str">
        <f t="shared" si="115"/>
        <v>Young Adult</v>
      </c>
      <c r="Y698" s="4" t="s">
        <v>3561</v>
      </c>
      <c r="AB698" s="4" t="str">
        <f t="shared" si="116"/>
        <v/>
      </c>
      <c r="AC698" s="4" t="str">
        <f t="shared" si="117"/>
        <v>Unknown</v>
      </c>
      <c r="AD698" s="4" t="s">
        <v>457</v>
      </c>
      <c r="AG698" s="4" t="str">
        <f t="shared" si="118"/>
        <v>Not Applicable</v>
      </c>
      <c r="AK698" s="4" t="s">
        <v>3573</v>
      </c>
      <c r="AL698" s="4" t="str">
        <f t="shared" si="119"/>
        <v>Found</v>
      </c>
      <c r="AN698" s="6">
        <v>8.6624999999999996</v>
      </c>
      <c r="AO698" s="4" t="str">
        <f t="shared" si="120"/>
        <v>Low</v>
      </c>
    </row>
    <row r="699" spans="1:41">
      <c r="A699">
        <v>3</v>
      </c>
      <c r="B699" t="str">
        <f t="shared" si="110"/>
        <v>Third Class</v>
      </c>
      <c r="C699">
        <v>0</v>
      </c>
      <c r="E699" t="str">
        <f t="shared" si="111"/>
        <v>Died</v>
      </c>
      <c r="F699" t="s">
        <v>1640</v>
      </c>
      <c r="G699" t="s">
        <v>842</v>
      </c>
      <c r="H699" t="s">
        <v>1642</v>
      </c>
      <c r="I699" t="str">
        <f t="shared" si="112"/>
        <v>Miss. Cacic Marija</v>
      </c>
      <c r="J699" t="s">
        <v>47</v>
      </c>
      <c r="K699" t="str">
        <f t="shared" si="113"/>
        <v>Female</v>
      </c>
      <c r="L699">
        <v>30</v>
      </c>
      <c r="O699">
        <f t="shared" si="114"/>
        <v>30</v>
      </c>
      <c r="P699">
        <v>0</v>
      </c>
      <c r="R699" s="4">
        <v>0</v>
      </c>
      <c r="T699" s="5">
        <v>8.6624999999999996</v>
      </c>
      <c r="W699" s="4">
        <v>30</v>
      </c>
      <c r="X699" s="4" t="str">
        <f t="shared" si="115"/>
        <v>Adult</v>
      </c>
      <c r="Y699" s="4" t="s">
        <v>3561</v>
      </c>
      <c r="AB699" s="4" t="str">
        <f t="shared" si="116"/>
        <v/>
      </c>
      <c r="AC699" s="4" t="str">
        <f t="shared" si="117"/>
        <v>Unknown</v>
      </c>
      <c r="AD699" s="4" t="s">
        <v>457</v>
      </c>
      <c r="AG699" s="4" t="str">
        <f t="shared" si="118"/>
        <v>Not Applicable</v>
      </c>
      <c r="AK699" s="4" t="s">
        <v>3573</v>
      </c>
      <c r="AL699" s="4" t="str">
        <f t="shared" si="119"/>
        <v>Found</v>
      </c>
      <c r="AN699" s="6">
        <v>8.6624999999999996</v>
      </c>
      <c r="AO699" s="4" t="str">
        <f t="shared" si="120"/>
        <v>Low</v>
      </c>
    </row>
    <row r="700" spans="1:41">
      <c r="A700">
        <v>3</v>
      </c>
      <c r="B700" t="str">
        <f t="shared" si="110"/>
        <v>Third Class</v>
      </c>
      <c r="C700">
        <v>0</v>
      </c>
      <c r="E700" t="str">
        <f t="shared" si="111"/>
        <v>Died</v>
      </c>
      <c r="F700" t="s">
        <v>1640</v>
      </c>
      <c r="G700" t="s">
        <v>848</v>
      </c>
      <c r="H700" t="s">
        <v>1643</v>
      </c>
      <c r="I700" t="str">
        <f t="shared" si="112"/>
        <v>Mr. Cacic Jego</v>
      </c>
      <c r="J700" t="s">
        <v>20</v>
      </c>
      <c r="K700" t="str">
        <f t="shared" si="113"/>
        <v>Male</v>
      </c>
      <c r="L700">
        <v>18</v>
      </c>
      <c r="O700">
        <f t="shared" si="114"/>
        <v>18</v>
      </c>
      <c r="P700">
        <v>0</v>
      </c>
      <c r="R700" s="4">
        <v>0</v>
      </c>
      <c r="T700" s="5">
        <v>8.6624999999999996</v>
      </c>
      <c r="W700" s="4">
        <v>18</v>
      </c>
      <c r="X700" s="4" t="str">
        <f t="shared" si="115"/>
        <v>Young Adult</v>
      </c>
      <c r="Y700" s="4" t="s">
        <v>3561</v>
      </c>
      <c r="AB700" s="4" t="str">
        <f t="shared" si="116"/>
        <v/>
      </c>
      <c r="AC700" s="4" t="str">
        <f t="shared" si="117"/>
        <v>Unknown</v>
      </c>
      <c r="AD700" s="4" t="s">
        <v>457</v>
      </c>
      <c r="AG700" s="4" t="str">
        <f t="shared" si="118"/>
        <v>Not Applicable</v>
      </c>
      <c r="AK700" s="4" t="s">
        <v>3573</v>
      </c>
      <c r="AL700" s="4" t="str">
        <f t="shared" si="119"/>
        <v>Found</v>
      </c>
      <c r="AN700" s="6">
        <v>8.6624999999999996</v>
      </c>
      <c r="AO700" s="4" t="str">
        <f t="shared" si="120"/>
        <v>Low</v>
      </c>
    </row>
    <row r="701" spans="1:41">
      <c r="A701">
        <v>3</v>
      </c>
      <c r="B701" t="str">
        <f t="shared" si="110"/>
        <v>Third Class</v>
      </c>
      <c r="C701">
        <v>0</v>
      </c>
      <c r="E701" t="str">
        <f t="shared" si="111"/>
        <v>Died</v>
      </c>
      <c r="F701" t="s">
        <v>1640</v>
      </c>
      <c r="G701" t="s">
        <v>848</v>
      </c>
      <c r="H701" t="s">
        <v>1644</v>
      </c>
      <c r="I701" t="str">
        <f t="shared" si="112"/>
        <v>Mr. Cacic Luka</v>
      </c>
      <c r="J701" t="s">
        <v>20</v>
      </c>
      <c r="K701" t="str">
        <f t="shared" si="113"/>
        <v>Male</v>
      </c>
      <c r="L701">
        <v>38</v>
      </c>
      <c r="O701">
        <f t="shared" si="114"/>
        <v>38</v>
      </c>
      <c r="P701">
        <v>0</v>
      </c>
      <c r="R701" s="4">
        <v>0</v>
      </c>
      <c r="T701" s="5">
        <v>8.6624999999999996</v>
      </c>
      <c r="W701" s="4">
        <v>38</v>
      </c>
      <c r="X701" s="4" t="str">
        <f t="shared" si="115"/>
        <v>Adult</v>
      </c>
      <c r="Y701" s="4" t="s">
        <v>3561</v>
      </c>
      <c r="AB701" s="4" t="str">
        <f t="shared" si="116"/>
        <v/>
      </c>
      <c r="AC701" s="4" t="str">
        <f t="shared" si="117"/>
        <v>Unknown</v>
      </c>
      <c r="AD701" s="4" t="s">
        <v>457</v>
      </c>
      <c r="AG701" s="4" t="str">
        <f t="shared" si="118"/>
        <v>Not Applicable</v>
      </c>
      <c r="AK701" s="4" t="s">
        <v>3573</v>
      </c>
      <c r="AL701" s="4" t="str">
        <f t="shared" si="119"/>
        <v>Found</v>
      </c>
      <c r="AN701" s="6">
        <v>8.6624999999999996</v>
      </c>
      <c r="AO701" s="4" t="str">
        <f t="shared" si="120"/>
        <v>Low</v>
      </c>
    </row>
    <row r="702" spans="1:41">
      <c r="A702">
        <v>3</v>
      </c>
      <c r="B702" t="str">
        <f t="shared" si="110"/>
        <v>Third Class</v>
      </c>
      <c r="C702">
        <v>0</v>
      </c>
      <c r="E702" t="str">
        <f t="shared" si="111"/>
        <v>Died</v>
      </c>
      <c r="F702" t="s">
        <v>1645</v>
      </c>
      <c r="G702" t="s">
        <v>848</v>
      </c>
      <c r="H702" t="s">
        <v>1646</v>
      </c>
      <c r="I702" t="str">
        <f t="shared" si="112"/>
        <v>Mr. Calic Jovo</v>
      </c>
      <c r="J702" t="s">
        <v>20</v>
      </c>
      <c r="K702" t="str">
        <f t="shared" si="113"/>
        <v>Male</v>
      </c>
      <c r="L702">
        <v>17</v>
      </c>
      <c r="O702">
        <f t="shared" si="114"/>
        <v>17</v>
      </c>
      <c r="P702">
        <v>0</v>
      </c>
      <c r="R702" s="4">
        <v>0</v>
      </c>
      <c r="T702" s="5">
        <v>8.6624999999999996</v>
      </c>
      <c r="W702" s="4">
        <v>17</v>
      </c>
      <c r="X702" s="4" t="str">
        <f t="shared" si="115"/>
        <v>Teenager</v>
      </c>
      <c r="Y702" s="4" t="s">
        <v>3561</v>
      </c>
      <c r="AB702" s="4" t="str">
        <f t="shared" si="116"/>
        <v/>
      </c>
      <c r="AC702" s="4" t="str">
        <f t="shared" si="117"/>
        <v>Unknown</v>
      </c>
      <c r="AD702" s="4" t="s">
        <v>457</v>
      </c>
      <c r="AG702" s="4" t="str">
        <f t="shared" si="118"/>
        <v>Not Applicable</v>
      </c>
      <c r="AK702" s="4" t="s">
        <v>3573</v>
      </c>
      <c r="AL702" s="4" t="str">
        <f t="shared" si="119"/>
        <v>Found</v>
      </c>
      <c r="AN702" s="6">
        <v>8.6624999999999996</v>
      </c>
      <c r="AO702" s="4" t="str">
        <f t="shared" si="120"/>
        <v>Low</v>
      </c>
    </row>
    <row r="703" spans="1:41">
      <c r="A703">
        <v>3</v>
      </c>
      <c r="B703" t="str">
        <f t="shared" si="110"/>
        <v>Third Class</v>
      </c>
      <c r="C703">
        <v>0</v>
      </c>
      <c r="E703" t="str">
        <f t="shared" si="111"/>
        <v>Died</v>
      </c>
      <c r="F703" t="s">
        <v>1645</v>
      </c>
      <c r="G703" t="s">
        <v>848</v>
      </c>
      <c r="H703" t="s">
        <v>1647</v>
      </c>
      <c r="I703" t="str">
        <f t="shared" si="112"/>
        <v>Mr. Calic Petar</v>
      </c>
      <c r="J703" t="s">
        <v>20</v>
      </c>
      <c r="K703" t="str">
        <f t="shared" si="113"/>
        <v>Male</v>
      </c>
      <c r="L703">
        <v>17</v>
      </c>
      <c r="O703">
        <f t="shared" si="114"/>
        <v>17</v>
      </c>
      <c r="P703">
        <v>0</v>
      </c>
      <c r="R703" s="4">
        <v>0</v>
      </c>
      <c r="T703" s="5">
        <v>8.6624999999999996</v>
      </c>
      <c r="W703" s="4">
        <v>17</v>
      </c>
      <c r="X703" s="4" t="str">
        <f t="shared" si="115"/>
        <v>Teenager</v>
      </c>
      <c r="Y703" s="4" t="s">
        <v>3561</v>
      </c>
      <c r="AB703" s="4" t="str">
        <f t="shared" si="116"/>
        <v/>
      </c>
      <c r="AC703" s="4" t="str">
        <f t="shared" si="117"/>
        <v>Unknown</v>
      </c>
      <c r="AD703" s="4" t="s">
        <v>457</v>
      </c>
      <c r="AG703" s="4" t="str">
        <f t="shared" si="118"/>
        <v>Not Applicable</v>
      </c>
      <c r="AK703" s="4" t="s">
        <v>3573</v>
      </c>
      <c r="AL703" s="4" t="str">
        <f t="shared" si="119"/>
        <v>Found</v>
      </c>
      <c r="AN703" s="6">
        <v>8.6624999999999996</v>
      </c>
      <c r="AO703" s="4" t="str">
        <f t="shared" si="120"/>
        <v>Low</v>
      </c>
    </row>
    <row r="704" spans="1:41">
      <c r="A704">
        <v>3</v>
      </c>
      <c r="B704" t="str">
        <f t="shared" si="110"/>
        <v>Third Class</v>
      </c>
      <c r="C704">
        <v>0</v>
      </c>
      <c r="E704" t="str">
        <f t="shared" si="111"/>
        <v>Died</v>
      </c>
      <c r="F704" t="s">
        <v>1648</v>
      </c>
      <c r="G704" t="s">
        <v>842</v>
      </c>
      <c r="H704" t="s">
        <v>1107</v>
      </c>
      <c r="I704" t="str">
        <f t="shared" si="112"/>
        <v>Miss. Canavan Mary</v>
      </c>
      <c r="J704" t="s">
        <v>47</v>
      </c>
      <c r="K704" t="str">
        <f t="shared" si="113"/>
        <v>Female</v>
      </c>
      <c r="L704">
        <v>21</v>
      </c>
      <c r="O704">
        <f t="shared" si="114"/>
        <v>21</v>
      </c>
      <c r="P704">
        <v>0</v>
      </c>
      <c r="R704" s="4">
        <v>0</v>
      </c>
      <c r="T704" s="5">
        <v>7.75</v>
      </c>
      <c r="W704" s="4">
        <v>21</v>
      </c>
      <c r="X704" s="4" t="str">
        <f t="shared" si="115"/>
        <v>Young Adult</v>
      </c>
      <c r="Y704" s="4" t="s">
        <v>3561</v>
      </c>
      <c r="AB704" s="4" t="str">
        <f t="shared" si="116"/>
        <v/>
      </c>
      <c r="AC704" s="4" t="str">
        <f t="shared" si="117"/>
        <v>Unknown</v>
      </c>
      <c r="AD704" s="4" t="s">
        <v>3567</v>
      </c>
      <c r="AG704" s="4" t="str">
        <f t="shared" si="118"/>
        <v>Not Applicable</v>
      </c>
      <c r="AK704" s="4" t="s">
        <v>3573</v>
      </c>
      <c r="AL704" s="4" t="str">
        <f t="shared" si="119"/>
        <v>Found</v>
      </c>
      <c r="AN704" s="6">
        <v>7.75</v>
      </c>
      <c r="AO704" s="4" t="str">
        <f t="shared" si="120"/>
        <v>Low</v>
      </c>
    </row>
    <row r="705" spans="1:41">
      <c r="A705">
        <v>3</v>
      </c>
      <c r="B705" t="str">
        <f t="shared" si="110"/>
        <v>Third Class</v>
      </c>
      <c r="C705">
        <v>0</v>
      </c>
      <c r="E705" t="str">
        <f t="shared" si="111"/>
        <v>Died</v>
      </c>
      <c r="F705" t="s">
        <v>1648</v>
      </c>
      <c r="G705" t="s">
        <v>848</v>
      </c>
      <c r="H705" t="s">
        <v>1649</v>
      </c>
      <c r="I705" t="str">
        <f t="shared" si="112"/>
        <v>Mr. Canavan Patrick</v>
      </c>
      <c r="J705" t="s">
        <v>20</v>
      </c>
      <c r="K705" t="str">
        <f t="shared" si="113"/>
        <v>Male</v>
      </c>
      <c r="L705">
        <v>21</v>
      </c>
      <c r="O705">
        <f t="shared" si="114"/>
        <v>21</v>
      </c>
      <c r="P705">
        <v>0</v>
      </c>
      <c r="R705" s="4">
        <v>0</v>
      </c>
      <c r="T705" s="5">
        <v>7.75</v>
      </c>
      <c r="W705" s="4">
        <v>21</v>
      </c>
      <c r="X705" s="4" t="str">
        <f t="shared" si="115"/>
        <v>Young Adult</v>
      </c>
      <c r="Y705" s="4" t="s">
        <v>3561</v>
      </c>
      <c r="AB705" s="4" t="str">
        <f t="shared" si="116"/>
        <v/>
      </c>
      <c r="AC705" s="4" t="str">
        <f t="shared" si="117"/>
        <v>Unknown</v>
      </c>
      <c r="AD705" s="4" t="s">
        <v>3567</v>
      </c>
      <c r="AG705" s="4" t="str">
        <f t="shared" si="118"/>
        <v>Not Applicable</v>
      </c>
      <c r="AK705" s="4" t="s">
        <v>3573</v>
      </c>
      <c r="AL705" s="4" t="str">
        <f t="shared" si="119"/>
        <v>Found</v>
      </c>
      <c r="AN705" s="6">
        <v>7.75</v>
      </c>
      <c r="AO705" s="4" t="str">
        <f t="shared" si="120"/>
        <v>Low</v>
      </c>
    </row>
    <row r="706" spans="1:41">
      <c r="A706">
        <v>3</v>
      </c>
      <c r="B706" t="str">
        <f t="shared" si="110"/>
        <v>Third Class</v>
      </c>
      <c r="C706">
        <v>0</v>
      </c>
      <c r="E706" t="str">
        <f t="shared" si="111"/>
        <v>Died</v>
      </c>
      <c r="F706" t="s">
        <v>1650</v>
      </c>
      <c r="G706" t="s">
        <v>848</v>
      </c>
      <c r="H706" t="s">
        <v>945</v>
      </c>
      <c r="I706" t="str">
        <f t="shared" si="112"/>
        <v>Mr. Cann Ernest</v>
      </c>
      <c r="J706" t="s">
        <v>20</v>
      </c>
      <c r="K706" t="str">
        <f t="shared" si="113"/>
        <v>Male</v>
      </c>
      <c r="L706">
        <v>21</v>
      </c>
      <c r="O706">
        <f t="shared" si="114"/>
        <v>21</v>
      </c>
      <c r="P706">
        <v>0</v>
      </c>
      <c r="R706" s="4">
        <v>0</v>
      </c>
      <c r="T706" s="5">
        <v>8.0500000000000007</v>
      </c>
      <c r="W706" s="4">
        <v>21</v>
      </c>
      <c r="X706" s="4" t="str">
        <f t="shared" si="115"/>
        <v>Young Adult</v>
      </c>
      <c r="Y706" s="4" t="s">
        <v>3561</v>
      </c>
      <c r="AB706" s="4" t="str">
        <f t="shared" si="116"/>
        <v/>
      </c>
      <c r="AC706" s="4" t="str">
        <f t="shared" si="117"/>
        <v>Unknown</v>
      </c>
      <c r="AD706" s="4" t="s">
        <v>457</v>
      </c>
      <c r="AG706" s="4" t="str">
        <f t="shared" si="118"/>
        <v>Not Applicable</v>
      </c>
      <c r="AK706" s="4" t="s">
        <v>3573</v>
      </c>
      <c r="AL706" s="4" t="str">
        <f t="shared" si="119"/>
        <v>Found</v>
      </c>
      <c r="AN706" s="6">
        <v>8.0500000000000007</v>
      </c>
      <c r="AO706" s="4" t="str">
        <f t="shared" si="120"/>
        <v>Low</v>
      </c>
    </row>
    <row r="707" spans="1:41">
      <c r="A707">
        <v>3</v>
      </c>
      <c r="B707" t="str">
        <f t="shared" ref="B707:B770" si="121">IF(A707=1,"First Class",IF(A707=2,"Second Class",IF(A707=3,"Third Class"," ")))</f>
        <v>Third Class</v>
      </c>
      <c r="C707">
        <v>0</v>
      </c>
      <c r="E707" t="str">
        <f t="shared" ref="E707:E770" si="122">IF(C707=1,"Survived",IF(C707=0,"Died"))</f>
        <v>Died</v>
      </c>
      <c r="F707" t="s">
        <v>1651</v>
      </c>
      <c r="G707" t="s">
        <v>848</v>
      </c>
      <c r="H707" t="s">
        <v>921</v>
      </c>
      <c r="I707" t="str">
        <f t="shared" ref="I707:I770" si="123">_xlfn.CONCAT(G707," ",F707," ",H707)</f>
        <v>Mr. Caram Joseph</v>
      </c>
      <c r="J707" t="s">
        <v>20</v>
      </c>
      <c r="K707" t="str">
        <f t="shared" ref="K707:K770" si="124">PROPER(J707)</f>
        <v>Male</v>
      </c>
      <c r="L707">
        <v>28</v>
      </c>
      <c r="O707">
        <f t="shared" ref="O707:O770" si="125">IF(L707&lt;1,1,ROUND(L707,0))</f>
        <v>28</v>
      </c>
      <c r="P707">
        <v>1</v>
      </c>
      <c r="R707" s="4">
        <v>0</v>
      </c>
      <c r="T707" s="5">
        <v>14.458299999999999</v>
      </c>
      <c r="W707" s="4">
        <v>28</v>
      </c>
      <c r="X707" s="4" t="str">
        <f t="shared" ref="X707:X770" si="126">IF(W707&lt;10,"Child",IF(W707&lt;18,"Teenager",IF(W707&lt;30,"Young Adult",IF(W707&lt;60,"Adult","Old Adult"))))</f>
        <v>Young Adult</v>
      </c>
      <c r="Y707" s="4" t="s">
        <v>3561</v>
      </c>
      <c r="AB707" s="4" t="str">
        <f t="shared" ref="AB707:AB770" si="127">LEFT(AA707,1)</f>
        <v/>
      </c>
      <c r="AC707" s="4" t="str">
        <f t="shared" ref="AC707:AC770" si="128">IF(AB707="","Unknown",LEFT(AB707,1))</f>
        <v>Unknown</v>
      </c>
      <c r="AD707" s="4" t="s">
        <v>3566</v>
      </c>
      <c r="AG707" s="4" t="str">
        <f t="shared" ref="AG707:AG770" si="129">IF(AF707="",IF(E707=1,"Unknown","Not Applicable"),AF707)</f>
        <v>Not Applicable</v>
      </c>
      <c r="AK707" s="4" t="s">
        <v>3573</v>
      </c>
      <c r="AL707" s="4" t="str">
        <f t="shared" ref="AL707:AL770" si="130">IF(AK707="","Not Found","Found")</f>
        <v>Found</v>
      </c>
      <c r="AN707" s="6">
        <v>14.458299999999999</v>
      </c>
      <c r="AO707" s="4" t="str">
        <f t="shared" ref="AO707:AO770" si="131">IF(AN707&lt;=10,"Low",IF(AN707&lt;=50,"Mid","High"))</f>
        <v>Mid</v>
      </c>
    </row>
    <row r="708" spans="1:41">
      <c r="A708">
        <v>3</v>
      </c>
      <c r="B708" t="str">
        <f t="shared" si="121"/>
        <v>Third Class</v>
      </c>
      <c r="C708">
        <v>0</v>
      </c>
      <c r="E708" t="str">
        <f t="shared" si="122"/>
        <v>Died</v>
      </c>
      <c r="F708" t="s">
        <v>1651</v>
      </c>
      <c r="G708" t="s">
        <v>849</v>
      </c>
      <c r="H708" t="s">
        <v>921</v>
      </c>
      <c r="I708" t="str">
        <f t="shared" si="123"/>
        <v>Mrs. Caram Joseph</v>
      </c>
      <c r="J708" t="s">
        <v>47</v>
      </c>
      <c r="K708" t="str">
        <f t="shared" si="124"/>
        <v>Female</v>
      </c>
      <c r="L708">
        <v>28</v>
      </c>
      <c r="O708">
        <f t="shared" si="125"/>
        <v>28</v>
      </c>
      <c r="P708">
        <v>1</v>
      </c>
      <c r="R708" s="4">
        <v>0</v>
      </c>
      <c r="T708" s="5">
        <v>14.458299999999999</v>
      </c>
      <c r="W708" s="4">
        <v>28</v>
      </c>
      <c r="X708" s="4" t="str">
        <f t="shared" si="126"/>
        <v>Young Adult</v>
      </c>
      <c r="Y708" s="4" t="s">
        <v>3561</v>
      </c>
      <c r="AB708" s="4" t="str">
        <f t="shared" si="127"/>
        <v/>
      </c>
      <c r="AC708" s="4" t="str">
        <f t="shared" si="128"/>
        <v>Unknown</v>
      </c>
      <c r="AD708" s="4" t="s">
        <v>3566</v>
      </c>
      <c r="AG708" s="4" t="str">
        <f t="shared" si="129"/>
        <v>Not Applicable</v>
      </c>
      <c r="AK708" s="4" t="s">
        <v>3573</v>
      </c>
      <c r="AL708" s="4" t="str">
        <f t="shared" si="130"/>
        <v>Found</v>
      </c>
      <c r="AN708" s="6">
        <v>14.458299999999999</v>
      </c>
      <c r="AO708" s="4" t="str">
        <f t="shared" si="131"/>
        <v>Mid</v>
      </c>
    </row>
    <row r="709" spans="1:41">
      <c r="A709">
        <v>3</v>
      </c>
      <c r="B709" t="str">
        <f t="shared" si="121"/>
        <v>Third Class</v>
      </c>
      <c r="C709">
        <v>0</v>
      </c>
      <c r="E709" t="str">
        <f t="shared" si="122"/>
        <v>Died</v>
      </c>
      <c r="F709" t="s">
        <v>936</v>
      </c>
      <c r="G709" t="s">
        <v>848</v>
      </c>
      <c r="H709" t="s">
        <v>1434</v>
      </c>
      <c r="I709" t="str">
        <f t="shared" si="123"/>
        <v>Mr. Carlsson August</v>
      </c>
      <c r="J709" t="s">
        <v>20</v>
      </c>
      <c r="K709" t="str">
        <f t="shared" si="124"/>
        <v>Male</v>
      </c>
      <c r="L709">
        <v>28</v>
      </c>
      <c r="O709">
        <f t="shared" si="125"/>
        <v>28</v>
      </c>
      <c r="P709">
        <v>0</v>
      </c>
      <c r="R709" s="4">
        <v>0</v>
      </c>
      <c r="T709" s="5">
        <v>7.7957999999999998</v>
      </c>
      <c r="W709" s="4">
        <v>28</v>
      </c>
      <c r="X709" s="4" t="str">
        <f t="shared" si="126"/>
        <v>Young Adult</v>
      </c>
      <c r="Y709" s="4" t="s">
        <v>3561</v>
      </c>
      <c r="AB709" s="4" t="str">
        <f t="shared" si="127"/>
        <v/>
      </c>
      <c r="AC709" s="4" t="str">
        <f t="shared" si="128"/>
        <v>Unknown</v>
      </c>
      <c r="AD709" s="4" t="s">
        <v>457</v>
      </c>
      <c r="AG709" s="4" t="str">
        <f t="shared" si="129"/>
        <v>Not Applicable</v>
      </c>
      <c r="AK709" s="4" t="s">
        <v>3573</v>
      </c>
      <c r="AL709" s="4" t="str">
        <f t="shared" si="130"/>
        <v>Found</v>
      </c>
      <c r="AN709" s="6">
        <v>7.7957999999999998</v>
      </c>
      <c r="AO709" s="4" t="str">
        <f t="shared" si="131"/>
        <v>Low</v>
      </c>
    </row>
    <row r="710" spans="1:41">
      <c r="A710">
        <v>3</v>
      </c>
      <c r="B710" t="str">
        <f t="shared" si="121"/>
        <v>Third Class</v>
      </c>
      <c r="C710">
        <v>0</v>
      </c>
      <c r="E710" t="str">
        <f t="shared" si="122"/>
        <v>Died</v>
      </c>
      <c r="F710" t="s">
        <v>936</v>
      </c>
      <c r="G710" t="s">
        <v>848</v>
      </c>
      <c r="H710" t="s">
        <v>1104</v>
      </c>
      <c r="I710" t="str">
        <f t="shared" si="123"/>
        <v>Mr. Carlsson Carl</v>
      </c>
      <c r="J710" t="s">
        <v>20</v>
      </c>
      <c r="K710" t="str">
        <f t="shared" si="124"/>
        <v>Male</v>
      </c>
      <c r="L710">
        <v>24</v>
      </c>
      <c r="O710">
        <f t="shared" si="125"/>
        <v>24</v>
      </c>
      <c r="P710">
        <v>0</v>
      </c>
      <c r="R710" s="4">
        <v>0</v>
      </c>
      <c r="T710" s="5">
        <v>7.8541999999999996</v>
      </c>
      <c r="W710" s="4">
        <v>24</v>
      </c>
      <c r="X710" s="4" t="str">
        <f t="shared" si="126"/>
        <v>Young Adult</v>
      </c>
      <c r="Y710" s="4" t="s">
        <v>3561</v>
      </c>
      <c r="AB710" s="4" t="str">
        <f t="shared" si="127"/>
        <v/>
      </c>
      <c r="AC710" s="4" t="str">
        <f t="shared" si="128"/>
        <v>Unknown</v>
      </c>
      <c r="AD710" s="4" t="s">
        <v>457</v>
      </c>
      <c r="AG710" s="4" t="str">
        <f t="shared" si="129"/>
        <v>Not Applicable</v>
      </c>
      <c r="AK710" s="4" t="s">
        <v>3573</v>
      </c>
      <c r="AL710" s="4" t="str">
        <f t="shared" si="130"/>
        <v>Found</v>
      </c>
      <c r="AN710" s="6">
        <v>7.8541999999999996</v>
      </c>
      <c r="AO710" s="4" t="str">
        <f t="shared" si="131"/>
        <v>Low</v>
      </c>
    </row>
    <row r="711" spans="1:41">
      <c r="A711">
        <v>3</v>
      </c>
      <c r="B711" t="str">
        <f t="shared" si="121"/>
        <v>Third Class</v>
      </c>
      <c r="C711">
        <v>1</v>
      </c>
      <c r="E711" t="str">
        <f t="shared" si="122"/>
        <v>Survived</v>
      </c>
      <c r="F711" t="s">
        <v>1652</v>
      </c>
      <c r="G711" t="s">
        <v>842</v>
      </c>
      <c r="H711" t="s">
        <v>847</v>
      </c>
      <c r="I711" t="str">
        <f t="shared" si="123"/>
        <v>Miss. Carr Helen</v>
      </c>
      <c r="J711" t="s">
        <v>47</v>
      </c>
      <c r="K711" t="str">
        <f t="shared" si="124"/>
        <v>Female</v>
      </c>
      <c r="L711">
        <v>16</v>
      </c>
      <c r="O711">
        <f t="shared" si="125"/>
        <v>16</v>
      </c>
      <c r="P711">
        <v>0</v>
      </c>
      <c r="R711" s="4">
        <v>0</v>
      </c>
      <c r="T711" s="5">
        <v>7.75</v>
      </c>
      <c r="W711" s="4">
        <v>16</v>
      </c>
      <c r="X711" s="4" t="str">
        <f t="shared" si="126"/>
        <v>Teenager</v>
      </c>
      <c r="Y711" s="4" t="s">
        <v>3561</v>
      </c>
      <c r="AB711" s="4" t="str">
        <f t="shared" si="127"/>
        <v/>
      </c>
      <c r="AC711" s="4" t="str">
        <f t="shared" si="128"/>
        <v>Unknown</v>
      </c>
      <c r="AD711" s="4" t="s">
        <v>3567</v>
      </c>
      <c r="AF711" s="4">
        <v>16</v>
      </c>
      <c r="AG711" s="4">
        <f t="shared" si="129"/>
        <v>16</v>
      </c>
      <c r="AK711" s="4" t="s">
        <v>3573</v>
      </c>
      <c r="AL711" s="4" t="str">
        <f t="shared" si="130"/>
        <v>Found</v>
      </c>
      <c r="AN711" s="6">
        <v>7.75</v>
      </c>
      <c r="AO711" s="4" t="str">
        <f t="shared" si="131"/>
        <v>Low</v>
      </c>
    </row>
    <row r="712" spans="1:41">
      <c r="A712">
        <v>3</v>
      </c>
      <c r="B712" t="str">
        <f t="shared" si="121"/>
        <v>Third Class</v>
      </c>
      <c r="C712">
        <v>0</v>
      </c>
      <c r="E712" t="str">
        <f t="shared" si="122"/>
        <v>Died</v>
      </c>
      <c r="F712" t="s">
        <v>1652</v>
      </c>
      <c r="G712" t="s">
        <v>842</v>
      </c>
      <c r="H712" t="s">
        <v>1653</v>
      </c>
      <c r="I712" t="str">
        <f t="shared" si="123"/>
        <v>Miss. Carr Jeannie</v>
      </c>
      <c r="J712" t="s">
        <v>47</v>
      </c>
      <c r="K712" t="str">
        <f t="shared" si="124"/>
        <v>Female</v>
      </c>
      <c r="L712">
        <v>37</v>
      </c>
      <c r="O712">
        <f t="shared" si="125"/>
        <v>37</v>
      </c>
      <c r="P712">
        <v>0</v>
      </c>
      <c r="R712" s="4">
        <v>0</v>
      </c>
      <c r="T712" s="5">
        <v>7.75</v>
      </c>
      <c r="W712" s="4">
        <v>37</v>
      </c>
      <c r="X712" s="4" t="str">
        <f t="shared" si="126"/>
        <v>Adult</v>
      </c>
      <c r="Y712" s="4" t="s">
        <v>3561</v>
      </c>
      <c r="AB712" s="4" t="str">
        <f t="shared" si="127"/>
        <v/>
      </c>
      <c r="AC712" s="4" t="str">
        <f t="shared" si="128"/>
        <v>Unknown</v>
      </c>
      <c r="AD712" s="4" t="s">
        <v>3567</v>
      </c>
      <c r="AG712" s="4" t="str">
        <f t="shared" si="129"/>
        <v>Not Applicable</v>
      </c>
      <c r="AK712" s="4" t="s">
        <v>3573</v>
      </c>
      <c r="AL712" s="4" t="str">
        <f t="shared" si="130"/>
        <v>Found</v>
      </c>
      <c r="AN712" s="6">
        <v>7.75</v>
      </c>
      <c r="AO712" s="4" t="str">
        <f t="shared" si="131"/>
        <v>Low</v>
      </c>
    </row>
    <row r="713" spans="1:41">
      <c r="A713">
        <v>3</v>
      </c>
      <c r="B713" t="str">
        <f t="shared" si="121"/>
        <v>Third Class</v>
      </c>
      <c r="C713">
        <v>0</v>
      </c>
      <c r="E713" t="str">
        <f t="shared" si="122"/>
        <v>Died</v>
      </c>
      <c r="F713" t="s">
        <v>1654</v>
      </c>
      <c r="G713" t="s">
        <v>848</v>
      </c>
      <c r="H713" t="s">
        <v>1015</v>
      </c>
      <c r="I713" t="str">
        <f t="shared" si="123"/>
        <v>Mr. Carver Alfred</v>
      </c>
      <c r="J713" t="s">
        <v>20</v>
      </c>
      <c r="K713" t="str">
        <f t="shared" si="124"/>
        <v>Male</v>
      </c>
      <c r="L713">
        <v>28</v>
      </c>
      <c r="O713">
        <f t="shared" si="125"/>
        <v>28</v>
      </c>
      <c r="P713">
        <v>0</v>
      </c>
      <c r="R713" s="4">
        <v>0</v>
      </c>
      <c r="T713" s="5">
        <v>7.25</v>
      </c>
      <c r="W713" s="4">
        <v>28</v>
      </c>
      <c r="X713" s="4" t="str">
        <f t="shared" si="126"/>
        <v>Young Adult</v>
      </c>
      <c r="Y713" s="4" t="s">
        <v>3561</v>
      </c>
      <c r="AB713" s="4" t="str">
        <f t="shared" si="127"/>
        <v/>
      </c>
      <c r="AC713" s="4" t="str">
        <f t="shared" si="128"/>
        <v>Unknown</v>
      </c>
      <c r="AD713" s="4" t="s">
        <v>457</v>
      </c>
      <c r="AG713" s="4" t="str">
        <f t="shared" si="129"/>
        <v>Not Applicable</v>
      </c>
      <c r="AK713" s="4" t="s">
        <v>3573</v>
      </c>
      <c r="AL713" s="4" t="str">
        <f t="shared" si="130"/>
        <v>Found</v>
      </c>
      <c r="AN713" s="6">
        <v>7.25</v>
      </c>
      <c r="AO713" s="4" t="str">
        <f t="shared" si="131"/>
        <v>Low</v>
      </c>
    </row>
    <row r="714" spans="1:41">
      <c r="A714">
        <v>3</v>
      </c>
      <c r="B714" t="str">
        <f t="shared" si="121"/>
        <v>Third Class</v>
      </c>
      <c r="C714">
        <v>0</v>
      </c>
      <c r="E714" t="str">
        <f t="shared" si="122"/>
        <v>Died</v>
      </c>
      <c r="F714" t="s">
        <v>1655</v>
      </c>
      <c r="G714" t="s">
        <v>848</v>
      </c>
      <c r="H714" t="s">
        <v>1656</v>
      </c>
      <c r="I714" t="str">
        <f t="shared" si="123"/>
        <v>Mr. Celotti Francesco</v>
      </c>
      <c r="J714" t="s">
        <v>20</v>
      </c>
      <c r="K714" t="str">
        <f t="shared" si="124"/>
        <v>Male</v>
      </c>
      <c r="L714">
        <v>24</v>
      </c>
      <c r="O714">
        <f t="shared" si="125"/>
        <v>24</v>
      </c>
      <c r="P714">
        <v>0</v>
      </c>
      <c r="R714" s="4">
        <v>0</v>
      </c>
      <c r="T714" s="5">
        <v>8.0500000000000007</v>
      </c>
      <c r="W714" s="4">
        <v>24</v>
      </c>
      <c r="X714" s="4" t="str">
        <f t="shared" si="126"/>
        <v>Young Adult</v>
      </c>
      <c r="Y714" s="4" t="s">
        <v>3561</v>
      </c>
      <c r="AB714" s="4" t="str">
        <f t="shared" si="127"/>
        <v/>
      </c>
      <c r="AC714" s="4" t="str">
        <f t="shared" si="128"/>
        <v>Unknown</v>
      </c>
      <c r="AD714" s="4" t="s">
        <v>457</v>
      </c>
      <c r="AG714" s="4" t="str">
        <f t="shared" si="129"/>
        <v>Not Applicable</v>
      </c>
      <c r="AK714" s="4" t="s">
        <v>3573</v>
      </c>
      <c r="AL714" s="4" t="str">
        <f t="shared" si="130"/>
        <v>Found</v>
      </c>
      <c r="AN714" s="6">
        <v>8.0500000000000007</v>
      </c>
      <c r="AO714" s="4" t="str">
        <f t="shared" si="131"/>
        <v>Low</v>
      </c>
    </row>
    <row r="715" spans="1:41">
      <c r="A715">
        <v>3</v>
      </c>
      <c r="B715" t="str">
        <f t="shared" si="121"/>
        <v>Third Class</v>
      </c>
      <c r="C715">
        <v>0</v>
      </c>
      <c r="E715" t="str">
        <f t="shared" si="122"/>
        <v>Died</v>
      </c>
      <c r="F715" t="s">
        <v>1657</v>
      </c>
      <c r="G715" t="s">
        <v>848</v>
      </c>
      <c r="H715" t="s">
        <v>1052</v>
      </c>
      <c r="I715" t="str">
        <f t="shared" si="123"/>
        <v>Mr. Charters David</v>
      </c>
      <c r="J715" t="s">
        <v>20</v>
      </c>
      <c r="K715" t="str">
        <f t="shared" si="124"/>
        <v>Male</v>
      </c>
      <c r="L715">
        <v>21</v>
      </c>
      <c r="O715">
        <f t="shared" si="125"/>
        <v>21</v>
      </c>
      <c r="P715">
        <v>0</v>
      </c>
      <c r="R715" s="4">
        <v>0</v>
      </c>
      <c r="T715" s="5">
        <v>7.7332999999999998</v>
      </c>
      <c r="W715" s="4">
        <v>21</v>
      </c>
      <c r="X715" s="4" t="str">
        <f t="shared" si="126"/>
        <v>Young Adult</v>
      </c>
      <c r="Y715" s="4" t="s">
        <v>3561</v>
      </c>
      <c r="AB715" s="4" t="str">
        <f t="shared" si="127"/>
        <v/>
      </c>
      <c r="AC715" s="4" t="str">
        <f t="shared" si="128"/>
        <v>Unknown</v>
      </c>
      <c r="AD715" s="4" t="s">
        <v>3567</v>
      </c>
      <c r="AG715" s="4" t="str">
        <f t="shared" si="129"/>
        <v>Not Applicable</v>
      </c>
      <c r="AK715" s="4" t="s">
        <v>3573</v>
      </c>
      <c r="AL715" s="4" t="str">
        <f t="shared" si="130"/>
        <v>Found</v>
      </c>
      <c r="AN715" s="6">
        <v>7.7332999999999998</v>
      </c>
      <c r="AO715" s="4" t="str">
        <f t="shared" si="131"/>
        <v>Low</v>
      </c>
    </row>
    <row r="716" spans="1:41">
      <c r="A716">
        <v>3</v>
      </c>
      <c r="B716" t="str">
        <f t="shared" si="121"/>
        <v>Third Class</v>
      </c>
      <c r="C716">
        <v>1</v>
      </c>
      <c r="E716" t="str">
        <f t="shared" si="122"/>
        <v>Survived</v>
      </c>
      <c r="F716" t="s">
        <v>1658</v>
      </c>
      <c r="G716" t="s">
        <v>848</v>
      </c>
      <c r="H716" t="s">
        <v>1659</v>
      </c>
      <c r="I716" t="str">
        <f t="shared" si="123"/>
        <v>Mr. Chip Chang</v>
      </c>
      <c r="J716" t="s">
        <v>20</v>
      </c>
      <c r="K716" t="str">
        <f t="shared" si="124"/>
        <v>Male</v>
      </c>
      <c r="L716">
        <v>32</v>
      </c>
      <c r="O716">
        <f t="shared" si="125"/>
        <v>32</v>
      </c>
      <c r="P716">
        <v>0</v>
      </c>
      <c r="R716" s="4">
        <v>0</v>
      </c>
      <c r="T716" s="5">
        <v>56.495800000000003</v>
      </c>
      <c r="W716" s="4">
        <v>32</v>
      </c>
      <c r="X716" s="4" t="str">
        <f t="shared" si="126"/>
        <v>Adult</v>
      </c>
      <c r="Y716" s="4" t="s">
        <v>3561</v>
      </c>
      <c r="AB716" s="4" t="str">
        <f t="shared" si="127"/>
        <v/>
      </c>
      <c r="AC716" s="4" t="str">
        <f t="shared" si="128"/>
        <v>Unknown</v>
      </c>
      <c r="AD716" s="4" t="s">
        <v>457</v>
      </c>
      <c r="AF716" s="4" t="s">
        <v>62</v>
      </c>
      <c r="AG716" s="4" t="str">
        <f t="shared" si="129"/>
        <v>C</v>
      </c>
      <c r="AK716" s="4" t="s">
        <v>3573</v>
      </c>
      <c r="AL716" s="4" t="str">
        <f t="shared" si="130"/>
        <v>Found</v>
      </c>
      <c r="AN716" s="6">
        <v>56.495800000000003</v>
      </c>
      <c r="AO716" s="4" t="str">
        <f t="shared" si="131"/>
        <v>High</v>
      </c>
    </row>
    <row r="717" spans="1:41">
      <c r="A717">
        <v>3</v>
      </c>
      <c r="B717" t="str">
        <f t="shared" si="121"/>
        <v>Third Class</v>
      </c>
      <c r="C717">
        <v>0</v>
      </c>
      <c r="E717" t="str">
        <f t="shared" si="122"/>
        <v>Died</v>
      </c>
      <c r="F717" t="s">
        <v>1660</v>
      </c>
      <c r="G717" t="s">
        <v>848</v>
      </c>
      <c r="H717" t="s">
        <v>917</v>
      </c>
      <c r="I717" t="str">
        <f t="shared" si="123"/>
        <v>Mr. Christmann Emil</v>
      </c>
      <c r="J717" t="s">
        <v>20</v>
      </c>
      <c r="K717" t="str">
        <f t="shared" si="124"/>
        <v>Male</v>
      </c>
      <c r="L717">
        <v>29</v>
      </c>
      <c r="O717">
        <f t="shared" si="125"/>
        <v>29</v>
      </c>
      <c r="P717">
        <v>0</v>
      </c>
      <c r="R717" s="4">
        <v>0</v>
      </c>
      <c r="T717" s="5">
        <v>8.0500000000000007</v>
      </c>
      <c r="W717" s="4">
        <v>29</v>
      </c>
      <c r="X717" s="4" t="str">
        <f t="shared" si="126"/>
        <v>Young Adult</v>
      </c>
      <c r="Y717" s="4" t="s">
        <v>3561</v>
      </c>
      <c r="AB717" s="4" t="str">
        <f t="shared" si="127"/>
        <v/>
      </c>
      <c r="AC717" s="4" t="str">
        <f t="shared" si="128"/>
        <v>Unknown</v>
      </c>
      <c r="AD717" s="4" t="s">
        <v>457</v>
      </c>
      <c r="AG717" s="4" t="str">
        <f t="shared" si="129"/>
        <v>Not Applicable</v>
      </c>
      <c r="AK717" s="4" t="s">
        <v>3573</v>
      </c>
      <c r="AL717" s="4" t="str">
        <f t="shared" si="130"/>
        <v>Found</v>
      </c>
      <c r="AN717" s="6">
        <v>8.0500000000000007</v>
      </c>
      <c r="AO717" s="4" t="str">
        <f t="shared" si="131"/>
        <v>Low</v>
      </c>
    </row>
    <row r="718" spans="1:41">
      <c r="A718">
        <v>3</v>
      </c>
      <c r="B718" t="str">
        <f t="shared" si="121"/>
        <v>Third Class</v>
      </c>
      <c r="C718">
        <v>0</v>
      </c>
      <c r="E718" t="str">
        <f t="shared" si="122"/>
        <v>Died</v>
      </c>
      <c r="F718" t="s">
        <v>1661</v>
      </c>
      <c r="G718" t="s">
        <v>848</v>
      </c>
      <c r="H718" t="s">
        <v>1662</v>
      </c>
      <c r="I718" t="str">
        <f t="shared" si="123"/>
        <v>Mr. Chronopoulos Apostolos</v>
      </c>
      <c r="J718" t="s">
        <v>20</v>
      </c>
      <c r="K718" t="str">
        <f t="shared" si="124"/>
        <v>Male</v>
      </c>
      <c r="L718">
        <v>26</v>
      </c>
      <c r="O718">
        <f t="shared" si="125"/>
        <v>26</v>
      </c>
      <c r="P718">
        <v>1</v>
      </c>
      <c r="R718" s="4">
        <v>0</v>
      </c>
      <c r="T718" s="5">
        <v>14.4542</v>
      </c>
      <c r="W718" s="4">
        <v>26</v>
      </c>
      <c r="X718" s="4" t="str">
        <f t="shared" si="126"/>
        <v>Young Adult</v>
      </c>
      <c r="Y718" s="4" t="s">
        <v>3561</v>
      </c>
      <c r="AB718" s="4" t="str">
        <f t="shared" si="127"/>
        <v/>
      </c>
      <c r="AC718" s="4" t="str">
        <f t="shared" si="128"/>
        <v>Unknown</v>
      </c>
      <c r="AD718" s="4" t="s">
        <v>3566</v>
      </c>
      <c r="AG718" s="4" t="str">
        <f t="shared" si="129"/>
        <v>Not Applicable</v>
      </c>
      <c r="AK718" s="4" t="s">
        <v>3573</v>
      </c>
      <c r="AL718" s="4" t="str">
        <f t="shared" si="130"/>
        <v>Found</v>
      </c>
      <c r="AN718" s="6">
        <v>14.4542</v>
      </c>
      <c r="AO718" s="4" t="str">
        <f t="shared" si="131"/>
        <v>Mid</v>
      </c>
    </row>
    <row r="719" spans="1:41">
      <c r="A719">
        <v>3</v>
      </c>
      <c r="B719" t="str">
        <f t="shared" si="121"/>
        <v>Third Class</v>
      </c>
      <c r="C719">
        <v>0</v>
      </c>
      <c r="E719" t="str">
        <f t="shared" si="122"/>
        <v>Died</v>
      </c>
      <c r="F719" t="s">
        <v>1661</v>
      </c>
      <c r="G719" t="s">
        <v>848</v>
      </c>
      <c r="H719" t="s">
        <v>1663</v>
      </c>
      <c r="I719" t="str">
        <f t="shared" si="123"/>
        <v>Mr. Chronopoulos Demetrios</v>
      </c>
      <c r="J719" t="s">
        <v>20</v>
      </c>
      <c r="K719" t="str">
        <f t="shared" si="124"/>
        <v>Male</v>
      </c>
      <c r="L719">
        <v>18</v>
      </c>
      <c r="O719">
        <f t="shared" si="125"/>
        <v>18</v>
      </c>
      <c r="P719">
        <v>1</v>
      </c>
      <c r="R719" s="4">
        <v>0</v>
      </c>
      <c r="T719" s="5">
        <v>14.4542</v>
      </c>
      <c r="W719" s="4">
        <v>18</v>
      </c>
      <c r="X719" s="4" t="str">
        <f t="shared" si="126"/>
        <v>Young Adult</v>
      </c>
      <c r="Y719" s="4" t="s">
        <v>3561</v>
      </c>
      <c r="AB719" s="4" t="str">
        <f t="shared" si="127"/>
        <v/>
      </c>
      <c r="AC719" s="4" t="str">
        <f t="shared" si="128"/>
        <v>Unknown</v>
      </c>
      <c r="AD719" s="4" t="s">
        <v>3566</v>
      </c>
      <c r="AG719" s="4" t="str">
        <f t="shared" si="129"/>
        <v>Not Applicable</v>
      </c>
      <c r="AK719" s="4" t="s">
        <v>3573</v>
      </c>
      <c r="AL719" s="4" t="str">
        <f t="shared" si="130"/>
        <v>Found</v>
      </c>
      <c r="AN719" s="6">
        <v>14.4542</v>
      </c>
      <c r="AO719" s="4" t="str">
        <f t="shared" si="131"/>
        <v>Mid</v>
      </c>
    </row>
    <row r="720" spans="1:41">
      <c r="A720">
        <v>3</v>
      </c>
      <c r="B720" t="str">
        <f t="shared" si="121"/>
        <v>Third Class</v>
      </c>
      <c r="C720">
        <v>0</v>
      </c>
      <c r="E720" t="str">
        <f t="shared" si="122"/>
        <v>Died</v>
      </c>
      <c r="F720" t="s">
        <v>1664</v>
      </c>
      <c r="G720" t="s">
        <v>848</v>
      </c>
      <c r="H720" t="s">
        <v>1665</v>
      </c>
      <c r="I720" t="str">
        <f t="shared" si="123"/>
        <v>Mr. Coelho Domingos</v>
      </c>
      <c r="J720" t="s">
        <v>20</v>
      </c>
      <c r="K720" t="str">
        <f t="shared" si="124"/>
        <v>Male</v>
      </c>
      <c r="L720">
        <v>20</v>
      </c>
      <c r="O720">
        <f t="shared" si="125"/>
        <v>20</v>
      </c>
      <c r="P720">
        <v>0</v>
      </c>
      <c r="R720" s="4">
        <v>0</v>
      </c>
      <c r="T720" s="5">
        <v>7.05</v>
      </c>
      <c r="W720" s="4">
        <v>20</v>
      </c>
      <c r="X720" s="4" t="str">
        <f t="shared" si="126"/>
        <v>Young Adult</v>
      </c>
      <c r="Y720" s="4" t="s">
        <v>3561</v>
      </c>
      <c r="AB720" s="4" t="str">
        <f t="shared" si="127"/>
        <v/>
      </c>
      <c r="AC720" s="4" t="str">
        <f t="shared" si="128"/>
        <v>Unknown</v>
      </c>
      <c r="AD720" s="4" t="s">
        <v>457</v>
      </c>
      <c r="AG720" s="4" t="str">
        <f t="shared" si="129"/>
        <v>Not Applicable</v>
      </c>
      <c r="AK720" s="4" t="s">
        <v>3573</v>
      </c>
      <c r="AL720" s="4" t="str">
        <f t="shared" si="130"/>
        <v>Found</v>
      </c>
      <c r="AN720" s="6">
        <v>7.05</v>
      </c>
      <c r="AO720" s="4" t="str">
        <f t="shared" si="131"/>
        <v>Low</v>
      </c>
    </row>
    <row r="721" spans="1:41">
      <c r="A721">
        <v>3</v>
      </c>
      <c r="B721" t="str">
        <f t="shared" si="121"/>
        <v>Third Class</v>
      </c>
      <c r="C721">
        <v>1</v>
      </c>
      <c r="E721" t="str">
        <f t="shared" si="122"/>
        <v>Survived</v>
      </c>
      <c r="F721" t="s">
        <v>1666</v>
      </c>
      <c r="G721" t="s">
        <v>848</v>
      </c>
      <c r="H721" t="s">
        <v>1667</v>
      </c>
      <c r="I721" t="str">
        <f t="shared" si="123"/>
        <v>Mr. Cohen Gurshon</v>
      </c>
      <c r="J721" t="s">
        <v>20</v>
      </c>
      <c r="K721" t="str">
        <f t="shared" si="124"/>
        <v>Male</v>
      </c>
      <c r="L721">
        <v>18</v>
      </c>
      <c r="O721">
        <f t="shared" si="125"/>
        <v>18</v>
      </c>
      <c r="P721">
        <v>0</v>
      </c>
      <c r="R721" s="4">
        <v>0</v>
      </c>
      <c r="T721" s="5">
        <v>8.0500000000000007</v>
      </c>
      <c r="W721" s="4">
        <v>18</v>
      </c>
      <c r="X721" s="4" t="str">
        <f t="shared" si="126"/>
        <v>Young Adult</v>
      </c>
      <c r="Y721" s="4" t="s">
        <v>3561</v>
      </c>
      <c r="AB721" s="4" t="str">
        <f t="shared" si="127"/>
        <v/>
      </c>
      <c r="AC721" s="4" t="str">
        <f t="shared" si="128"/>
        <v>Unknown</v>
      </c>
      <c r="AD721" s="4" t="s">
        <v>457</v>
      </c>
      <c r="AF721" s="4">
        <v>12</v>
      </c>
      <c r="AG721" s="4">
        <f t="shared" si="129"/>
        <v>12</v>
      </c>
      <c r="AK721" s="4" t="s">
        <v>3573</v>
      </c>
      <c r="AL721" s="4" t="str">
        <f t="shared" si="130"/>
        <v>Found</v>
      </c>
      <c r="AN721" s="6">
        <v>8.0500000000000007</v>
      </c>
      <c r="AO721" s="4" t="str">
        <f t="shared" si="131"/>
        <v>Low</v>
      </c>
    </row>
    <row r="722" spans="1:41">
      <c r="A722">
        <v>3</v>
      </c>
      <c r="B722" t="str">
        <f t="shared" si="121"/>
        <v>Third Class</v>
      </c>
      <c r="C722">
        <v>0</v>
      </c>
      <c r="E722" t="str">
        <f t="shared" si="122"/>
        <v>Died</v>
      </c>
      <c r="F722" t="s">
        <v>1668</v>
      </c>
      <c r="G722" t="s">
        <v>848</v>
      </c>
      <c r="H722" t="s">
        <v>1649</v>
      </c>
      <c r="I722" t="str">
        <f t="shared" si="123"/>
        <v>Mr. Colbert Patrick</v>
      </c>
      <c r="J722" t="s">
        <v>20</v>
      </c>
      <c r="K722" t="str">
        <f t="shared" si="124"/>
        <v>Male</v>
      </c>
      <c r="L722">
        <v>24</v>
      </c>
      <c r="O722">
        <f t="shared" si="125"/>
        <v>24</v>
      </c>
      <c r="P722">
        <v>0</v>
      </c>
      <c r="R722" s="4">
        <v>0</v>
      </c>
      <c r="T722" s="5">
        <v>7.25</v>
      </c>
      <c r="W722" s="4">
        <v>24</v>
      </c>
      <c r="X722" s="4" t="str">
        <f t="shared" si="126"/>
        <v>Young Adult</v>
      </c>
      <c r="Y722" s="4" t="s">
        <v>3561</v>
      </c>
      <c r="AB722" s="4" t="str">
        <f t="shared" si="127"/>
        <v/>
      </c>
      <c r="AC722" s="4" t="str">
        <f t="shared" si="128"/>
        <v>Unknown</v>
      </c>
      <c r="AD722" s="4" t="s">
        <v>3567</v>
      </c>
      <c r="AG722" s="4" t="str">
        <f t="shared" si="129"/>
        <v>Not Applicable</v>
      </c>
      <c r="AK722" s="4" t="s">
        <v>3573</v>
      </c>
      <c r="AL722" s="4" t="str">
        <f t="shared" si="130"/>
        <v>Found</v>
      </c>
      <c r="AN722" s="6">
        <v>7.25</v>
      </c>
      <c r="AO722" s="4" t="str">
        <f t="shared" si="131"/>
        <v>Low</v>
      </c>
    </row>
    <row r="723" spans="1:41">
      <c r="A723">
        <v>3</v>
      </c>
      <c r="B723" t="str">
        <f t="shared" si="121"/>
        <v>Third Class</v>
      </c>
      <c r="C723">
        <v>0</v>
      </c>
      <c r="E723" t="str">
        <f t="shared" si="122"/>
        <v>Died</v>
      </c>
      <c r="F723" t="s">
        <v>1669</v>
      </c>
      <c r="G723" t="s">
        <v>848</v>
      </c>
      <c r="H723" t="s">
        <v>1670</v>
      </c>
      <c r="I723" t="str">
        <f t="shared" si="123"/>
        <v>Mr. Coleff Peju</v>
      </c>
      <c r="J723" t="s">
        <v>20</v>
      </c>
      <c r="K723" t="str">
        <f t="shared" si="124"/>
        <v>Male</v>
      </c>
      <c r="L723">
        <v>36</v>
      </c>
      <c r="O723">
        <f t="shared" si="125"/>
        <v>36</v>
      </c>
      <c r="P723">
        <v>0</v>
      </c>
      <c r="R723" s="4">
        <v>0</v>
      </c>
      <c r="T723" s="5">
        <v>7.4958</v>
      </c>
      <c r="W723" s="4">
        <v>36</v>
      </c>
      <c r="X723" s="4" t="str">
        <f t="shared" si="126"/>
        <v>Adult</v>
      </c>
      <c r="Y723" s="4" t="s">
        <v>3561</v>
      </c>
      <c r="AB723" s="4" t="str">
        <f t="shared" si="127"/>
        <v/>
      </c>
      <c r="AC723" s="4" t="str">
        <f t="shared" si="128"/>
        <v>Unknown</v>
      </c>
      <c r="AD723" s="4" t="s">
        <v>457</v>
      </c>
      <c r="AG723" s="4" t="str">
        <f t="shared" si="129"/>
        <v>Not Applicable</v>
      </c>
      <c r="AK723" s="4" t="s">
        <v>3573</v>
      </c>
      <c r="AL723" s="4" t="str">
        <f t="shared" si="130"/>
        <v>Found</v>
      </c>
      <c r="AN723" s="6">
        <v>7.4958</v>
      </c>
      <c r="AO723" s="4" t="str">
        <f t="shared" si="131"/>
        <v>Low</v>
      </c>
    </row>
    <row r="724" spans="1:41">
      <c r="A724">
        <v>3</v>
      </c>
      <c r="B724" t="str">
        <f t="shared" si="121"/>
        <v>Third Class</v>
      </c>
      <c r="C724">
        <v>0</v>
      </c>
      <c r="E724" t="str">
        <f t="shared" si="122"/>
        <v>Died</v>
      </c>
      <c r="F724" t="s">
        <v>1669</v>
      </c>
      <c r="G724" t="s">
        <v>848</v>
      </c>
      <c r="H724" t="s">
        <v>1671</v>
      </c>
      <c r="I724" t="str">
        <f t="shared" si="123"/>
        <v>Mr. Coleff Satio</v>
      </c>
      <c r="J724" t="s">
        <v>20</v>
      </c>
      <c r="K724" t="str">
        <f t="shared" si="124"/>
        <v>Male</v>
      </c>
      <c r="L724">
        <v>24</v>
      </c>
      <c r="O724">
        <f t="shared" si="125"/>
        <v>24</v>
      </c>
      <c r="P724">
        <v>0</v>
      </c>
      <c r="R724" s="4">
        <v>0</v>
      </c>
      <c r="T724" s="5">
        <v>7.4958</v>
      </c>
      <c r="W724" s="4">
        <v>24</v>
      </c>
      <c r="X724" s="4" t="str">
        <f t="shared" si="126"/>
        <v>Young Adult</v>
      </c>
      <c r="Y724" s="4" t="s">
        <v>3561</v>
      </c>
      <c r="AB724" s="4" t="str">
        <f t="shared" si="127"/>
        <v/>
      </c>
      <c r="AC724" s="4" t="str">
        <f t="shared" si="128"/>
        <v>Unknown</v>
      </c>
      <c r="AD724" s="4" t="s">
        <v>457</v>
      </c>
      <c r="AG724" s="4" t="str">
        <f t="shared" si="129"/>
        <v>Not Applicable</v>
      </c>
      <c r="AK724" s="4" t="s">
        <v>3573</v>
      </c>
      <c r="AL724" s="4" t="str">
        <f t="shared" si="130"/>
        <v>Found</v>
      </c>
      <c r="AN724" s="6">
        <v>7.4958</v>
      </c>
      <c r="AO724" s="4" t="str">
        <f t="shared" si="131"/>
        <v>Low</v>
      </c>
    </row>
    <row r="725" spans="1:41">
      <c r="A725">
        <v>3</v>
      </c>
      <c r="B725" t="str">
        <f t="shared" si="121"/>
        <v>Third Class</v>
      </c>
      <c r="C725">
        <v>0</v>
      </c>
      <c r="E725" t="str">
        <f t="shared" si="122"/>
        <v>Died</v>
      </c>
      <c r="F725" t="s">
        <v>1672</v>
      </c>
      <c r="G725" t="s">
        <v>848</v>
      </c>
      <c r="H725" t="s">
        <v>855</v>
      </c>
      <c r="I725" t="str">
        <f t="shared" si="123"/>
        <v>Mr. Conlon Thomas</v>
      </c>
      <c r="J725" t="s">
        <v>20</v>
      </c>
      <c r="K725" t="str">
        <f t="shared" si="124"/>
        <v>Male</v>
      </c>
      <c r="L725">
        <v>31</v>
      </c>
      <c r="O725">
        <f t="shared" si="125"/>
        <v>31</v>
      </c>
      <c r="P725">
        <v>0</v>
      </c>
      <c r="R725" s="4">
        <v>0</v>
      </c>
      <c r="T725" s="5">
        <v>7.7332999999999998</v>
      </c>
      <c r="W725" s="4">
        <v>31</v>
      </c>
      <c r="X725" s="4" t="str">
        <f t="shared" si="126"/>
        <v>Adult</v>
      </c>
      <c r="Y725" s="4" t="s">
        <v>3561</v>
      </c>
      <c r="AB725" s="4" t="str">
        <f t="shared" si="127"/>
        <v/>
      </c>
      <c r="AC725" s="4" t="str">
        <f t="shared" si="128"/>
        <v>Unknown</v>
      </c>
      <c r="AD725" s="4" t="s">
        <v>3567</v>
      </c>
      <c r="AG725" s="4" t="str">
        <f t="shared" si="129"/>
        <v>Not Applicable</v>
      </c>
      <c r="AK725" s="4" t="s">
        <v>3573</v>
      </c>
      <c r="AL725" s="4" t="str">
        <f t="shared" si="130"/>
        <v>Found</v>
      </c>
      <c r="AN725" s="6">
        <v>7.7332999999999998</v>
      </c>
      <c r="AO725" s="4" t="str">
        <f t="shared" si="131"/>
        <v>Low</v>
      </c>
    </row>
    <row r="726" spans="1:41">
      <c r="A726">
        <v>3</v>
      </c>
      <c r="B726" t="str">
        <f t="shared" si="121"/>
        <v>Third Class</v>
      </c>
      <c r="C726">
        <v>0</v>
      </c>
      <c r="E726" t="str">
        <f t="shared" si="122"/>
        <v>Died</v>
      </c>
      <c r="F726" t="s">
        <v>1673</v>
      </c>
      <c r="G726" t="s">
        <v>848</v>
      </c>
      <c r="H726" t="s">
        <v>1437</v>
      </c>
      <c r="I726" t="str">
        <f t="shared" si="123"/>
        <v>Mr. Connaghton Michael</v>
      </c>
      <c r="J726" t="s">
        <v>20</v>
      </c>
      <c r="K726" t="str">
        <f t="shared" si="124"/>
        <v>Male</v>
      </c>
      <c r="L726">
        <v>31</v>
      </c>
      <c r="O726">
        <f t="shared" si="125"/>
        <v>31</v>
      </c>
      <c r="P726">
        <v>0</v>
      </c>
      <c r="R726" s="4">
        <v>0</v>
      </c>
      <c r="T726" s="5">
        <v>7.75</v>
      </c>
      <c r="W726" s="4">
        <v>31</v>
      </c>
      <c r="X726" s="4" t="str">
        <f t="shared" si="126"/>
        <v>Adult</v>
      </c>
      <c r="Y726" s="4" t="s">
        <v>3561</v>
      </c>
      <c r="AB726" s="4" t="str">
        <f t="shared" si="127"/>
        <v/>
      </c>
      <c r="AC726" s="4" t="str">
        <f t="shared" si="128"/>
        <v>Unknown</v>
      </c>
      <c r="AD726" s="4" t="s">
        <v>3567</v>
      </c>
      <c r="AG726" s="4" t="str">
        <f t="shared" si="129"/>
        <v>Not Applicable</v>
      </c>
      <c r="AK726" s="4" t="s">
        <v>3573</v>
      </c>
      <c r="AL726" s="4" t="str">
        <f t="shared" si="130"/>
        <v>Found</v>
      </c>
      <c r="AN726" s="6">
        <v>7.75</v>
      </c>
      <c r="AO726" s="4" t="str">
        <f t="shared" si="131"/>
        <v>Low</v>
      </c>
    </row>
    <row r="727" spans="1:41">
      <c r="A727">
        <v>3</v>
      </c>
      <c r="B727" t="str">
        <f t="shared" si="121"/>
        <v>Third Class</v>
      </c>
      <c r="C727">
        <v>1</v>
      </c>
      <c r="E727" t="str">
        <f t="shared" si="122"/>
        <v>Survived</v>
      </c>
      <c r="F727" t="s">
        <v>1674</v>
      </c>
      <c r="G727" t="s">
        <v>842</v>
      </c>
      <c r="H727" t="s">
        <v>1298</v>
      </c>
      <c r="I727" t="str">
        <f t="shared" si="123"/>
        <v>Miss. Connolly Kate</v>
      </c>
      <c r="J727" t="s">
        <v>47</v>
      </c>
      <c r="K727" t="str">
        <f t="shared" si="124"/>
        <v>Female</v>
      </c>
      <c r="L727">
        <v>22</v>
      </c>
      <c r="O727">
        <f t="shared" si="125"/>
        <v>22</v>
      </c>
      <c r="P727">
        <v>0</v>
      </c>
      <c r="R727" s="4">
        <v>0</v>
      </c>
      <c r="T727" s="5">
        <v>7.75</v>
      </c>
      <c r="W727" s="4">
        <v>22</v>
      </c>
      <c r="X727" s="4" t="str">
        <f t="shared" si="126"/>
        <v>Young Adult</v>
      </c>
      <c r="Y727" s="4" t="s">
        <v>3561</v>
      </c>
      <c r="AB727" s="4" t="str">
        <f t="shared" si="127"/>
        <v/>
      </c>
      <c r="AC727" s="4" t="str">
        <f t="shared" si="128"/>
        <v>Unknown</v>
      </c>
      <c r="AD727" s="4" t="s">
        <v>3567</v>
      </c>
      <c r="AF727" s="4">
        <v>13</v>
      </c>
      <c r="AG727" s="4">
        <f t="shared" si="129"/>
        <v>13</v>
      </c>
      <c r="AK727" s="4" t="s">
        <v>3573</v>
      </c>
      <c r="AL727" s="4" t="str">
        <f t="shared" si="130"/>
        <v>Found</v>
      </c>
      <c r="AN727" s="6">
        <v>7.75</v>
      </c>
      <c r="AO727" s="4" t="str">
        <f t="shared" si="131"/>
        <v>Low</v>
      </c>
    </row>
    <row r="728" spans="1:41">
      <c r="A728">
        <v>3</v>
      </c>
      <c r="B728" t="str">
        <f t="shared" si="121"/>
        <v>Third Class</v>
      </c>
      <c r="C728">
        <v>0</v>
      </c>
      <c r="E728" t="str">
        <f t="shared" si="122"/>
        <v>Died</v>
      </c>
      <c r="F728" t="s">
        <v>1674</v>
      </c>
      <c r="G728" t="s">
        <v>842</v>
      </c>
      <c r="H728" t="s">
        <v>1298</v>
      </c>
      <c r="I728" t="str">
        <f t="shared" si="123"/>
        <v>Miss. Connolly Kate</v>
      </c>
      <c r="J728" t="s">
        <v>47</v>
      </c>
      <c r="K728" t="str">
        <f t="shared" si="124"/>
        <v>Female</v>
      </c>
      <c r="L728">
        <v>30</v>
      </c>
      <c r="O728">
        <f t="shared" si="125"/>
        <v>30</v>
      </c>
      <c r="P728">
        <v>0</v>
      </c>
      <c r="R728" s="4">
        <v>0</v>
      </c>
      <c r="T728" s="5">
        <v>7.6292</v>
      </c>
      <c r="W728" s="4">
        <v>30</v>
      </c>
      <c r="X728" s="4" t="str">
        <f t="shared" si="126"/>
        <v>Adult</v>
      </c>
      <c r="Y728" s="4" t="s">
        <v>3561</v>
      </c>
      <c r="AB728" s="4" t="str">
        <f t="shared" si="127"/>
        <v/>
      </c>
      <c r="AC728" s="4" t="str">
        <f t="shared" si="128"/>
        <v>Unknown</v>
      </c>
      <c r="AD728" s="4" t="s">
        <v>3567</v>
      </c>
      <c r="AG728" s="4" t="str">
        <f t="shared" si="129"/>
        <v>Not Applicable</v>
      </c>
      <c r="AK728" s="4" t="s">
        <v>3573</v>
      </c>
      <c r="AL728" s="4" t="str">
        <f t="shared" si="130"/>
        <v>Found</v>
      </c>
      <c r="AN728" s="6">
        <v>7.6292</v>
      </c>
      <c r="AO728" s="4" t="str">
        <f t="shared" si="131"/>
        <v>Low</v>
      </c>
    </row>
    <row r="729" spans="1:41">
      <c r="A729">
        <v>3</v>
      </c>
      <c r="B729" t="str">
        <f t="shared" si="121"/>
        <v>Third Class</v>
      </c>
      <c r="C729">
        <v>0</v>
      </c>
      <c r="E729" t="str">
        <f t="shared" si="122"/>
        <v>Died</v>
      </c>
      <c r="F729" t="s">
        <v>1675</v>
      </c>
      <c r="G729" t="s">
        <v>848</v>
      </c>
      <c r="H729" t="s">
        <v>1649</v>
      </c>
      <c r="I729" t="str">
        <f t="shared" si="123"/>
        <v>Mr. Connors Patrick</v>
      </c>
      <c r="J729" t="s">
        <v>20</v>
      </c>
      <c r="K729" t="str">
        <f t="shared" si="124"/>
        <v>Male</v>
      </c>
      <c r="L729">
        <v>70.5</v>
      </c>
      <c r="O729">
        <f t="shared" si="125"/>
        <v>71</v>
      </c>
      <c r="P729">
        <v>0</v>
      </c>
      <c r="R729" s="4">
        <v>0</v>
      </c>
      <c r="T729" s="5">
        <v>7.75</v>
      </c>
      <c r="W729" s="4">
        <v>71</v>
      </c>
      <c r="X729" s="4" t="str">
        <f t="shared" si="126"/>
        <v>Old Adult</v>
      </c>
      <c r="Y729" s="4" t="s">
        <v>3561</v>
      </c>
      <c r="AB729" s="4" t="str">
        <f t="shared" si="127"/>
        <v/>
      </c>
      <c r="AC729" s="4" t="str">
        <f t="shared" si="128"/>
        <v>Unknown</v>
      </c>
      <c r="AD729" s="4" t="s">
        <v>3567</v>
      </c>
      <c r="AG729" s="4" t="str">
        <f t="shared" si="129"/>
        <v>Not Applicable</v>
      </c>
      <c r="AH729" s="4">
        <v>171</v>
      </c>
      <c r="AK729" s="4">
        <v>171</v>
      </c>
      <c r="AL729" s="4" t="str">
        <f t="shared" si="130"/>
        <v>Found</v>
      </c>
      <c r="AN729" s="6">
        <v>7.75</v>
      </c>
      <c r="AO729" s="4" t="str">
        <f t="shared" si="131"/>
        <v>Low</v>
      </c>
    </row>
    <row r="730" spans="1:41">
      <c r="A730">
        <v>3</v>
      </c>
      <c r="B730" t="str">
        <f t="shared" si="121"/>
        <v>Third Class</v>
      </c>
      <c r="C730">
        <v>0</v>
      </c>
      <c r="E730" t="str">
        <f t="shared" si="122"/>
        <v>Died</v>
      </c>
      <c r="F730" t="s">
        <v>1320</v>
      </c>
      <c r="G730" t="s">
        <v>848</v>
      </c>
      <c r="H730" t="s">
        <v>863</v>
      </c>
      <c r="I730" t="str">
        <f t="shared" si="123"/>
        <v>Mr. Cook Jacob</v>
      </c>
      <c r="J730" t="s">
        <v>20</v>
      </c>
      <c r="K730" t="str">
        <f t="shared" si="124"/>
        <v>Male</v>
      </c>
      <c r="L730">
        <v>43</v>
      </c>
      <c r="O730">
        <f t="shared" si="125"/>
        <v>43</v>
      </c>
      <c r="P730">
        <v>0</v>
      </c>
      <c r="R730" s="4">
        <v>0</v>
      </c>
      <c r="T730" s="5">
        <v>8.0500000000000007</v>
      </c>
      <c r="W730" s="4">
        <v>43</v>
      </c>
      <c r="X730" s="4" t="str">
        <f t="shared" si="126"/>
        <v>Adult</v>
      </c>
      <c r="Y730" s="4" t="s">
        <v>3561</v>
      </c>
      <c r="AB730" s="4" t="str">
        <f t="shared" si="127"/>
        <v/>
      </c>
      <c r="AC730" s="4" t="str">
        <f t="shared" si="128"/>
        <v>Unknown</v>
      </c>
      <c r="AD730" s="4" t="s">
        <v>457</v>
      </c>
      <c r="AG730" s="4" t="str">
        <f t="shared" si="129"/>
        <v>Not Applicable</v>
      </c>
      <c r="AK730" s="4" t="s">
        <v>3573</v>
      </c>
      <c r="AL730" s="4" t="str">
        <f t="shared" si="130"/>
        <v>Found</v>
      </c>
      <c r="AN730" s="6">
        <v>8.0500000000000007</v>
      </c>
      <c r="AO730" s="4" t="str">
        <f t="shared" si="131"/>
        <v>Low</v>
      </c>
    </row>
    <row r="731" spans="1:41">
      <c r="A731">
        <v>3</v>
      </c>
      <c r="B731" t="str">
        <f t="shared" si="121"/>
        <v>Third Class</v>
      </c>
      <c r="C731">
        <v>0</v>
      </c>
      <c r="E731" t="str">
        <f t="shared" si="122"/>
        <v>Died</v>
      </c>
      <c r="F731" t="s">
        <v>1676</v>
      </c>
      <c r="G731" t="s">
        <v>848</v>
      </c>
      <c r="H731" t="s">
        <v>1677</v>
      </c>
      <c r="I731" t="str">
        <f t="shared" si="123"/>
        <v>Mr. Cor Bartol</v>
      </c>
      <c r="J731" t="s">
        <v>20</v>
      </c>
      <c r="K731" t="str">
        <f t="shared" si="124"/>
        <v>Male</v>
      </c>
      <c r="L731">
        <v>35</v>
      </c>
      <c r="O731">
        <f t="shared" si="125"/>
        <v>35</v>
      </c>
      <c r="P731">
        <v>0</v>
      </c>
      <c r="R731" s="4">
        <v>0</v>
      </c>
      <c r="T731" s="5">
        <v>7.8958000000000004</v>
      </c>
      <c r="W731" s="4">
        <v>35</v>
      </c>
      <c r="X731" s="4" t="str">
        <f t="shared" si="126"/>
        <v>Adult</v>
      </c>
      <c r="Y731" s="4" t="s">
        <v>3561</v>
      </c>
      <c r="AB731" s="4" t="str">
        <f t="shared" si="127"/>
        <v/>
      </c>
      <c r="AC731" s="4" t="str">
        <f t="shared" si="128"/>
        <v>Unknown</v>
      </c>
      <c r="AD731" s="4" t="s">
        <v>457</v>
      </c>
      <c r="AG731" s="4" t="str">
        <f t="shared" si="129"/>
        <v>Not Applicable</v>
      </c>
      <c r="AK731" s="4" t="s">
        <v>3573</v>
      </c>
      <c r="AL731" s="4" t="str">
        <f t="shared" si="130"/>
        <v>Found</v>
      </c>
      <c r="AN731" s="6">
        <v>7.8958000000000004</v>
      </c>
      <c r="AO731" s="4" t="str">
        <f t="shared" si="131"/>
        <v>Low</v>
      </c>
    </row>
    <row r="732" spans="1:41">
      <c r="A732">
        <v>3</v>
      </c>
      <c r="B732" t="str">
        <f t="shared" si="121"/>
        <v>Third Class</v>
      </c>
      <c r="C732">
        <v>0</v>
      </c>
      <c r="E732" t="str">
        <f t="shared" si="122"/>
        <v>Died</v>
      </c>
      <c r="F732" t="s">
        <v>1676</v>
      </c>
      <c r="G732" t="s">
        <v>848</v>
      </c>
      <c r="H732" t="s">
        <v>1678</v>
      </c>
      <c r="I732" t="str">
        <f t="shared" si="123"/>
        <v>Mr. Cor Ivan</v>
      </c>
      <c r="J732" t="s">
        <v>20</v>
      </c>
      <c r="K732" t="str">
        <f t="shared" si="124"/>
        <v>Male</v>
      </c>
      <c r="L732">
        <v>27</v>
      </c>
      <c r="O732">
        <f t="shared" si="125"/>
        <v>27</v>
      </c>
      <c r="P732">
        <v>0</v>
      </c>
      <c r="R732" s="4">
        <v>0</v>
      </c>
      <c r="T732" s="5">
        <v>7.8958000000000004</v>
      </c>
      <c r="W732" s="4">
        <v>27</v>
      </c>
      <c r="X732" s="4" t="str">
        <f t="shared" si="126"/>
        <v>Young Adult</v>
      </c>
      <c r="Y732" s="4" t="s">
        <v>3561</v>
      </c>
      <c r="AB732" s="4" t="str">
        <f t="shared" si="127"/>
        <v/>
      </c>
      <c r="AC732" s="4" t="str">
        <f t="shared" si="128"/>
        <v>Unknown</v>
      </c>
      <c r="AD732" s="4" t="s">
        <v>457</v>
      </c>
      <c r="AG732" s="4" t="str">
        <f t="shared" si="129"/>
        <v>Not Applicable</v>
      </c>
      <c r="AK732" s="4" t="s">
        <v>3573</v>
      </c>
      <c r="AL732" s="4" t="str">
        <f t="shared" si="130"/>
        <v>Found</v>
      </c>
      <c r="AN732" s="6">
        <v>7.8958000000000004</v>
      </c>
      <c r="AO732" s="4" t="str">
        <f t="shared" si="131"/>
        <v>Low</v>
      </c>
    </row>
    <row r="733" spans="1:41">
      <c r="A733">
        <v>3</v>
      </c>
      <c r="B733" t="str">
        <f t="shared" si="121"/>
        <v>Third Class</v>
      </c>
      <c r="C733">
        <v>0</v>
      </c>
      <c r="E733" t="str">
        <f t="shared" si="122"/>
        <v>Died</v>
      </c>
      <c r="F733" t="s">
        <v>1676</v>
      </c>
      <c r="G733" t="s">
        <v>848</v>
      </c>
      <c r="H733" t="s">
        <v>1679</v>
      </c>
      <c r="I733" t="str">
        <f t="shared" si="123"/>
        <v>Mr. Cor Liudevit</v>
      </c>
      <c r="J733" t="s">
        <v>20</v>
      </c>
      <c r="K733" t="str">
        <f t="shared" si="124"/>
        <v>Male</v>
      </c>
      <c r="L733">
        <v>19</v>
      </c>
      <c r="O733">
        <f t="shared" si="125"/>
        <v>19</v>
      </c>
      <c r="P733">
        <v>0</v>
      </c>
      <c r="R733" s="4">
        <v>0</v>
      </c>
      <c r="T733" s="5">
        <v>7.8958000000000004</v>
      </c>
      <c r="W733" s="4">
        <v>19</v>
      </c>
      <c r="X733" s="4" t="str">
        <f t="shared" si="126"/>
        <v>Young Adult</v>
      </c>
      <c r="Y733" s="4" t="s">
        <v>3561</v>
      </c>
      <c r="AB733" s="4" t="str">
        <f t="shared" si="127"/>
        <v/>
      </c>
      <c r="AC733" s="4" t="str">
        <f t="shared" si="128"/>
        <v>Unknown</v>
      </c>
      <c r="AD733" s="4" t="s">
        <v>457</v>
      </c>
      <c r="AG733" s="4" t="str">
        <f t="shared" si="129"/>
        <v>Not Applicable</v>
      </c>
      <c r="AK733" s="4" t="s">
        <v>3573</v>
      </c>
      <c r="AL733" s="4" t="str">
        <f t="shared" si="130"/>
        <v>Found</v>
      </c>
      <c r="AN733" s="6">
        <v>7.8958000000000004</v>
      </c>
      <c r="AO733" s="4" t="str">
        <f t="shared" si="131"/>
        <v>Low</v>
      </c>
    </row>
    <row r="734" spans="1:41">
      <c r="A734">
        <v>3</v>
      </c>
      <c r="B734" t="str">
        <f t="shared" si="121"/>
        <v>Third Class</v>
      </c>
      <c r="C734">
        <v>0</v>
      </c>
      <c r="E734" t="str">
        <f t="shared" si="122"/>
        <v>Died</v>
      </c>
      <c r="F734" t="s">
        <v>1680</v>
      </c>
      <c r="G734" t="s">
        <v>848</v>
      </c>
      <c r="H734" t="s">
        <v>852</v>
      </c>
      <c r="I734" t="str">
        <f t="shared" si="123"/>
        <v>Mr. Corn Harry</v>
      </c>
      <c r="J734" t="s">
        <v>20</v>
      </c>
      <c r="K734" t="str">
        <f t="shared" si="124"/>
        <v>Male</v>
      </c>
      <c r="L734">
        <v>30</v>
      </c>
      <c r="O734">
        <f t="shared" si="125"/>
        <v>30</v>
      </c>
      <c r="P734">
        <v>0</v>
      </c>
      <c r="R734" s="4">
        <v>0</v>
      </c>
      <c r="T734" s="5">
        <v>8.0500000000000007</v>
      </c>
      <c r="W734" s="4">
        <v>30</v>
      </c>
      <c r="X734" s="4" t="str">
        <f t="shared" si="126"/>
        <v>Adult</v>
      </c>
      <c r="Y734" s="4" t="s">
        <v>3561</v>
      </c>
      <c r="AB734" s="4" t="str">
        <f t="shared" si="127"/>
        <v/>
      </c>
      <c r="AC734" s="4" t="str">
        <f t="shared" si="128"/>
        <v>Unknown</v>
      </c>
      <c r="AD734" s="4" t="s">
        <v>457</v>
      </c>
      <c r="AG734" s="4" t="str">
        <f t="shared" si="129"/>
        <v>Not Applicable</v>
      </c>
      <c r="AK734" s="4" t="s">
        <v>3573</v>
      </c>
      <c r="AL734" s="4" t="str">
        <f t="shared" si="130"/>
        <v>Found</v>
      </c>
      <c r="AN734" s="6">
        <v>8.0500000000000007</v>
      </c>
      <c r="AO734" s="4" t="str">
        <f t="shared" si="131"/>
        <v>Low</v>
      </c>
    </row>
    <row r="735" spans="1:41">
      <c r="A735">
        <v>3</v>
      </c>
      <c r="B735" t="str">
        <f t="shared" si="121"/>
        <v>Third Class</v>
      </c>
      <c r="C735">
        <v>1</v>
      </c>
      <c r="E735" t="str">
        <f t="shared" si="122"/>
        <v>Survived</v>
      </c>
      <c r="F735" t="s">
        <v>1681</v>
      </c>
      <c r="G735" t="s">
        <v>845</v>
      </c>
      <c r="H735" t="s">
        <v>1682</v>
      </c>
      <c r="I735" t="str">
        <f t="shared" si="123"/>
        <v>Master. Coutts Eden</v>
      </c>
      <c r="J735" t="s">
        <v>20</v>
      </c>
      <c r="K735" t="str">
        <f t="shared" si="124"/>
        <v>Male</v>
      </c>
      <c r="L735">
        <v>9</v>
      </c>
      <c r="O735">
        <f t="shared" si="125"/>
        <v>9</v>
      </c>
      <c r="P735">
        <v>1</v>
      </c>
      <c r="R735" s="4">
        <v>1</v>
      </c>
      <c r="T735" s="5">
        <v>15.9</v>
      </c>
      <c r="W735" s="4">
        <v>9</v>
      </c>
      <c r="X735" s="4" t="str">
        <f t="shared" si="126"/>
        <v>Child</v>
      </c>
      <c r="Y735" s="4" t="s">
        <v>3561</v>
      </c>
      <c r="AB735" s="4" t="str">
        <f t="shared" si="127"/>
        <v/>
      </c>
      <c r="AC735" s="4" t="str">
        <f t="shared" si="128"/>
        <v>Unknown</v>
      </c>
      <c r="AD735" s="4" t="s">
        <v>457</v>
      </c>
      <c r="AF735" s="4">
        <v>2</v>
      </c>
      <c r="AG735" s="4">
        <f t="shared" si="129"/>
        <v>2</v>
      </c>
      <c r="AK735" s="4" t="s">
        <v>3573</v>
      </c>
      <c r="AL735" s="4" t="str">
        <f t="shared" si="130"/>
        <v>Found</v>
      </c>
      <c r="AN735" s="6">
        <v>15.9</v>
      </c>
      <c r="AO735" s="4" t="str">
        <f t="shared" si="131"/>
        <v>Mid</v>
      </c>
    </row>
    <row r="736" spans="1:41">
      <c r="A736">
        <v>3</v>
      </c>
      <c r="B736" t="str">
        <f t="shared" si="121"/>
        <v>Third Class</v>
      </c>
      <c r="C736">
        <v>1</v>
      </c>
      <c r="E736" t="str">
        <f t="shared" si="122"/>
        <v>Survived</v>
      </c>
      <c r="F736" t="s">
        <v>1681</v>
      </c>
      <c r="G736" t="s">
        <v>845</v>
      </c>
      <c r="H736" t="s">
        <v>924</v>
      </c>
      <c r="I736" t="str">
        <f t="shared" si="123"/>
        <v>Master. Coutts William</v>
      </c>
      <c r="J736" t="s">
        <v>20</v>
      </c>
      <c r="K736" t="str">
        <f t="shared" si="124"/>
        <v>Male</v>
      </c>
      <c r="L736">
        <v>3</v>
      </c>
      <c r="O736">
        <f t="shared" si="125"/>
        <v>3</v>
      </c>
      <c r="P736">
        <v>1</v>
      </c>
      <c r="R736" s="4">
        <v>1</v>
      </c>
      <c r="T736" s="5">
        <v>15.9</v>
      </c>
      <c r="W736" s="4">
        <v>3</v>
      </c>
      <c r="X736" s="4" t="str">
        <f t="shared" si="126"/>
        <v>Child</v>
      </c>
      <c r="Y736" s="4" t="s">
        <v>3561</v>
      </c>
      <c r="AB736" s="4" t="str">
        <f t="shared" si="127"/>
        <v/>
      </c>
      <c r="AC736" s="4" t="str">
        <f t="shared" si="128"/>
        <v>Unknown</v>
      </c>
      <c r="AD736" s="4" t="s">
        <v>457</v>
      </c>
      <c r="AF736" s="4">
        <v>2</v>
      </c>
      <c r="AG736" s="4">
        <f t="shared" si="129"/>
        <v>2</v>
      </c>
      <c r="AK736" s="4" t="s">
        <v>3573</v>
      </c>
      <c r="AL736" s="4" t="str">
        <f t="shared" si="130"/>
        <v>Found</v>
      </c>
      <c r="AN736" s="6">
        <v>15.9</v>
      </c>
      <c r="AO736" s="4" t="str">
        <f t="shared" si="131"/>
        <v>Mid</v>
      </c>
    </row>
    <row r="737" spans="1:41">
      <c r="A737">
        <v>3</v>
      </c>
      <c r="B737" t="str">
        <f t="shared" si="121"/>
        <v>Third Class</v>
      </c>
      <c r="C737">
        <v>1</v>
      </c>
      <c r="E737" t="str">
        <f t="shared" si="122"/>
        <v>Survived</v>
      </c>
      <c r="F737" t="s">
        <v>1681</v>
      </c>
      <c r="G737" t="s">
        <v>849</v>
      </c>
      <c r="H737" t="s">
        <v>924</v>
      </c>
      <c r="I737" t="str">
        <f t="shared" si="123"/>
        <v>Mrs. Coutts William</v>
      </c>
      <c r="J737" t="s">
        <v>47</v>
      </c>
      <c r="K737" t="str">
        <f t="shared" si="124"/>
        <v>Female</v>
      </c>
      <c r="L737">
        <v>36</v>
      </c>
      <c r="O737">
        <f t="shared" si="125"/>
        <v>36</v>
      </c>
      <c r="P737">
        <v>0</v>
      </c>
      <c r="R737" s="4">
        <v>2</v>
      </c>
      <c r="T737" s="5">
        <v>15.9</v>
      </c>
      <c r="W737" s="4">
        <v>36</v>
      </c>
      <c r="X737" s="4" t="str">
        <f t="shared" si="126"/>
        <v>Adult</v>
      </c>
      <c r="Y737" s="4" t="s">
        <v>3561</v>
      </c>
      <c r="AB737" s="4" t="str">
        <f t="shared" si="127"/>
        <v/>
      </c>
      <c r="AC737" s="4" t="str">
        <f t="shared" si="128"/>
        <v>Unknown</v>
      </c>
      <c r="AD737" s="4" t="s">
        <v>457</v>
      </c>
      <c r="AF737" s="4">
        <v>2</v>
      </c>
      <c r="AG737" s="4">
        <f t="shared" si="129"/>
        <v>2</v>
      </c>
      <c r="AK737" s="4" t="s">
        <v>3573</v>
      </c>
      <c r="AL737" s="4" t="str">
        <f t="shared" si="130"/>
        <v>Found</v>
      </c>
      <c r="AN737" s="6">
        <v>15.9</v>
      </c>
      <c r="AO737" s="4" t="str">
        <f t="shared" si="131"/>
        <v>Mid</v>
      </c>
    </row>
    <row r="738" spans="1:41">
      <c r="A738">
        <v>3</v>
      </c>
      <c r="B738" t="str">
        <f t="shared" si="121"/>
        <v>Third Class</v>
      </c>
      <c r="C738">
        <v>0</v>
      </c>
      <c r="E738" t="str">
        <f t="shared" si="122"/>
        <v>Died</v>
      </c>
      <c r="F738" t="s">
        <v>1684</v>
      </c>
      <c r="G738" t="s">
        <v>848</v>
      </c>
      <c r="H738" t="s">
        <v>989</v>
      </c>
      <c r="I738" t="str">
        <f t="shared" si="123"/>
        <v>Mr. Coxon Daniel</v>
      </c>
      <c r="J738" t="s">
        <v>20</v>
      </c>
      <c r="K738" t="str">
        <f t="shared" si="124"/>
        <v>Male</v>
      </c>
      <c r="L738">
        <v>59</v>
      </c>
      <c r="O738">
        <f t="shared" si="125"/>
        <v>59</v>
      </c>
      <c r="P738">
        <v>0</v>
      </c>
      <c r="R738" s="4">
        <v>0</v>
      </c>
      <c r="T738" s="5">
        <v>7.25</v>
      </c>
      <c r="W738" s="4">
        <v>59</v>
      </c>
      <c r="X738" s="4" t="str">
        <f t="shared" si="126"/>
        <v>Adult</v>
      </c>
      <c r="Y738" s="4" t="s">
        <v>3561</v>
      </c>
      <c r="AB738" s="4" t="str">
        <f t="shared" si="127"/>
        <v/>
      </c>
      <c r="AC738" s="4" t="str">
        <f t="shared" si="128"/>
        <v>Unknown</v>
      </c>
      <c r="AD738" s="4" t="s">
        <v>457</v>
      </c>
      <c r="AG738" s="4" t="str">
        <f t="shared" si="129"/>
        <v>Not Applicable</v>
      </c>
      <c r="AK738" s="4" t="s">
        <v>3573</v>
      </c>
      <c r="AL738" s="4" t="str">
        <f t="shared" si="130"/>
        <v>Found</v>
      </c>
      <c r="AN738" s="6">
        <v>7.25</v>
      </c>
      <c r="AO738" s="4" t="str">
        <f t="shared" si="131"/>
        <v>Low</v>
      </c>
    </row>
    <row r="739" spans="1:41">
      <c r="A739">
        <v>3</v>
      </c>
      <c r="B739" t="str">
        <f t="shared" si="121"/>
        <v>Third Class</v>
      </c>
      <c r="C739">
        <v>0</v>
      </c>
      <c r="E739" t="str">
        <f t="shared" si="122"/>
        <v>Died</v>
      </c>
      <c r="F739" t="s">
        <v>1685</v>
      </c>
      <c r="G739" t="s">
        <v>848</v>
      </c>
      <c r="H739" t="s">
        <v>945</v>
      </c>
      <c r="I739" t="str">
        <f t="shared" si="123"/>
        <v>Mr. Crease Ernest</v>
      </c>
      <c r="J739" t="s">
        <v>20</v>
      </c>
      <c r="K739" t="str">
        <f t="shared" si="124"/>
        <v>Male</v>
      </c>
      <c r="L739">
        <v>19</v>
      </c>
      <c r="O739">
        <f t="shared" si="125"/>
        <v>19</v>
      </c>
      <c r="P739">
        <v>0</v>
      </c>
      <c r="R739" s="4">
        <v>0</v>
      </c>
      <c r="T739" s="5">
        <v>8.1583000000000006</v>
      </c>
      <c r="W739" s="4">
        <v>19</v>
      </c>
      <c r="X739" s="4" t="str">
        <f t="shared" si="126"/>
        <v>Young Adult</v>
      </c>
      <c r="Y739" s="4" t="s">
        <v>3561</v>
      </c>
      <c r="AB739" s="4" t="str">
        <f t="shared" si="127"/>
        <v/>
      </c>
      <c r="AC739" s="4" t="str">
        <f t="shared" si="128"/>
        <v>Unknown</v>
      </c>
      <c r="AD739" s="4" t="s">
        <v>457</v>
      </c>
      <c r="AG739" s="4" t="str">
        <f t="shared" si="129"/>
        <v>Not Applicable</v>
      </c>
      <c r="AK739" s="4" t="s">
        <v>3573</v>
      </c>
      <c r="AL739" s="4" t="str">
        <f t="shared" si="130"/>
        <v>Found</v>
      </c>
      <c r="AN739" s="6">
        <v>8.1583000000000006</v>
      </c>
      <c r="AO739" s="4" t="str">
        <f t="shared" si="131"/>
        <v>Low</v>
      </c>
    </row>
    <row r="740" spans="1:41">
      <c r="A740">
        <v>3</v>
      </c>
      <c r="B740" t="str">
        <f t="shared" si="121"/>
        <v>Third Class</v>
      </c>
      <c r="C740">
        <v>1</v>
      </c>
      <c r="E740" t="str">
        <f t="shared" si="122"/>
        <v>Survived</v>
      </c>
      <c r="F740" t="s">
        <v>1686</v>
      </c>
      <c r="G740" t="s">
        <v>842</v>
      </c>
      <c r="H740" t="s">
        <v>1025</v>
      </c>
      <c r="I740" t="str">
        <f t="shared" si="123"/>
        <v>Miss. Cribb Laura</v>
      </c>
      <c r="J740" t="s">
        <v>47</v>
      </c>
      <c r="K740" t="str">
        <f t="shared" si="124"/>
        <v>Female</v>
      </c>
      <c r="L740">
        <v>17</v>
      </c>
      <c r="O740">
        <f t="shared" si="125"/>
        <v>17</v>
      </c>
      <c r="P740">
        <v>0</v>
      </c>
      <c r="R740" s="4">
        <v>1</v>
      </c>
      <c r="T740" s="5">
        <v>16.100000000000001</v>
      </c>
      <c r="W740" s="4">
        <v>17</v>
      </c>
      <c r="X740" s="4" t="str">
        <f t="shared" si="126"/>
        <v>Teenager</v>
      </c>
      <c r="Y740" s="4" t="s">
        <v>3561</v>
      </c>
      <c r="AB740" s="4" t="str">
        <f t="shared" si="127"/>
        <v/>
      </c>
      <c r="AC740" s="4" t="str">
        <f t="shared" si="128"/>
        <v>Unknown</v>
      </c>
      <c r="AD740" s="4" t="s">
        <v>457</v>
      </c>
      <c r="AF740" s="4">
        <v>12</v>
      </c>
      <c r="AG740" s="4">
        <f t="shared" si="129"/>
        <v>12</v>
      </c>
      <c r="AK740" s="4" t="s">
        <v>3573</v>
      </c>
      <c r="AL740" s="4" t="str">
        <f t="shared" si="130"/>
        <v>Found</v>
      </c>
      <c r="AN740" s="6">
        <v>16.100000000000001</v>
      </c>
      <c r="AO740" s="4" t="str">
        <f t="shared" si="131"/>
        <v>Mid</v>
      </c>
    </row>
    <row r="741" spans="1:41">
      <c r="A741">
        <v>3</v>
      </c>
      <c r="B741" t="str">
        <f t="shared" si="121"/>
        <v>Third Class</v>
      </c>
      <c r="C741">
        <v>0</v>
      </c>
      <c r="E741" t="str">
        <f t="shared" si="122"/>
        <v>Died</v>
      </c>
      <c r="F741" t="s">
        <v>1686</v>
      </c>
      <c r="G741" t="s">
        <v>848</v>
      </c>
      <c r="H741" t="s">
        <v>862</v>
      </c>
      <c r="I741" t="str">
        <f t="shared" si="123"/>
        <v>Mr. Cribb John</v>
      </c>
      <c r="J741" t="s">
        <v>20</v>
      </c>
      <c r="K741" t="str">
        <f t="shared" si="124"/>
        <v>Male</v>
      </c>
      <c r="L741">
        <v>44</v>
      </c>
      <c r="O741">
        <f t="shared" si="125"/>
        <v>44</v>
      </c>
      <c r="P741">
        <v>0</v>
      </c>
      <c r="R741" s="4">
        <v>1</v>
      </c>
      <c r="T741" s="5">
        <v>16.100000000000001</v>
      </c>
      <c r="W741" s="4">
        <v>44</v>
      </c>
      <c r="X741" s="4" t="str">
        <f t="shared" si="126"/>
        <v>Adult</v>
      </c>
      <c r="Y741" s="4" t="s">
        <v>3561</v>
      </c>
      <c r="AB741" s="4" t="str">
        <f t="shared" si="127"/>
        <v/>
      </c>
      <c r="AC741" s="4" t="str">
        <f t="shared" si="128"/>
        <v>Unknown</v>
      </c>
      <c r="AD741" s="4" t="s">
        <v>457</v>
      </c>
      <c r="AG741" s="4" t="str">
        <f t="shared" si="129"/>
        <v>Not Applicable</v>
      </c>
      <c r="AK741" s="4" t="s">
        <v>3573</v>
      </c>
      <c r="AL741" s="4" t="str">
        <f t="shared" si="130"/>
        <v>Found</v>
      </c>
      <c r="AN741" s="6">
        <v>16.100000000000001</v>
      </c>
      <c r="AO741" s="4" t="str">
        <f t="shared" si="131"/>
        <v>Mid</v>
      </c>
    </row>
    <row r="742" spans="1:41">
      <c r="A742">
        <v>3</v>
      </c>
      <c r="B742" t="str">
        <f t="shared" si="121"/>
        <v>Third Class</v>
      </c>
      <c r="C742">
        <v>0</v>
      </c>
      <c r="E742" t="str">
        <f t="shared" si="122"/>
        <v>Died</v>
      </c>
      <c r="F742" t="s">
        <v>1687</v>
      </c>
      <c r="G742" t="s">
        <v>848</v>
      </c>
      <c r="H742" t="s">
        <v>1688</v>
      </c>
      <c r="I742" t="str">
        <f t="shared" si="123"/>
        <v>Mr. Culumovic Jeso</v>
      </c>
      <c r="J742" t="s">
        <v>20</v>
      </c>
      <c r="K742" t="str">
        <f t="shared" si="124"/>
        <v>Male</v>
      </c>
      <c r="L742">
        <v>17</v>
      </c>
      <c r="O742">
        <f t="shared" si="125"/>
        <v>17</v>
      </c>
      <c r="P742">
        <v>0</v>
      </c>
      <c r="R742" s="4">
        <v>0</v>
      </c>
      <c r="T742" s="5">
        <v>8.6624999999999996</v>
      </c>
      <c r="W742" s="4">
        <v>17</v>
      </c>
      <c r="X742" s="4" t="str">
        <f t="shared" si="126"/>
        <v>Teenager</v>
      </c>
      <c r="Y742" s="4" t="s">
        <v>3561</v>
      </c>
      <c r="AB742" s="4" t="str">
        <f t="shared" si="127"/>
        <v/>
      </c>
      <c r="AC742" s="4" t="str">
        <f t="shared" si="128"/>
        <v>Unknown</v>
      </c>
      <c r="AD742" s="4" t="s">
        <v>457</v>
      </c>
      <c r="AG742" s="4" t="str">
        <f t="shared" si="129"/>
        <v>Not Applicable</v>
      </c>
      <c r="AK742" s="4" t="s">
        <v>3573</v>
      </c>
      <c r="AL742" s="4" t="str">
        <f t="shared" si="130"/>
        <v>Found</v>
      </c>
      <c r="AN742" s="6">
        <v>8.6624999999999996</v>
      </c>
      <c r="AO742" s="4" t="str">
        <f t="shared" si="131"/>
        <v>Low</v>
      </c>
    </row>
    <row r="743" spans="1:41">
      <c r="A743">
        <v>3</v>
      </c>
      <c r="B743" t="str">
        <f t="shared" si="121"/>
        <v>Third Class</v>
      </c>
      <c r="C743">
        <v>0</v>
      </c>
      <c r="E743" t="str">
        <f t="shared" si="122"/>
        <v>Died</v>
      </c>
      <c r="F743" t="s">
        <v>1689</v>
      </c>
      <c r="G743" t="s">
        <v>848</v>
      </c>
      <c r="H743" t="s">
        <v>1690</v>
      </c>
      <c r="I743" t="str">
        <f t="shared" si="123"/>
        <v>Mr. Daher Shedid</v>
      </c>
      <c r="J743" t="s">
        <v>20</v>
      </c>
      <c r="K743" t="str">
        <f t="shared" si="124"/>
        <v>Male</v>
      </c>
      <c r="L743">
        <v>22.5</v>
      </c>
      <c r="O743">
        <f t="shared" si="125"/>
        <v>23</v>
      </c>
      <c r="P743">
        <v>0</v>
      </c>
      <c r="R743" s="4">
        <v>0</v>
      </c>
      <c r="T743" s="5">
        <v>7.2249999999999996</v>
      </c>
      <c r="W743" s="4">
        <v>23</v>
      </c>
      <c r="X743" s="4" t="str">
        <f t="shared" si="126"/>
        <v>Young Adult</v>
      </c>
      <c r="Y743" s="4" t="s">
        <v>3561</v>
      </c>
      <c r="AB743" s="4" t="str">
        <f t="shared" si="127"/>
        <v/>
      </c>
      <c r="AC743" s="4" t="str">
        <f t="shared" si="128"/>
        <v>Unknown</v>
      </c>
      <c r="AD743" s="4" t="s">
        <v>3566</v>
      </c>
      <c r="AG743" s="4" t="str">
        <f t="shared" si="129"/>
        <v>Not Applicable</v>
      </c>
      <c r="AH743" s="4">
        <v>9</v>
      </c>
      <c r="AK743" s="4">
        <v>9</v>
      </c>
      <c r="AL743" s="4" t="str">
        <f t="shared" si="130"/>
        <v>Found</v>
      </c>
      <c r="AN743" s="6">
        <v>7.2249999999999996</v>
      </c>
      <c r="AO743" s="4" t="str">
        <f t="shared" si="131"/>
        <v>Low</v>
      </c>
    </row>
    <row r="744" spans="1:41">
      <c r="A744">
        <v>3</v>
      </c>
      <c r="B744" t="str">
        <f t="shared" si="121"/>
        <v>Third Class</v>
      </c>
      <c r="C744">
        <v>1</v>
      </c>
      <c r="E744" t="str">
        <f t="shared" si="122"/>
        <v>Survived</v>
      </c>
      <c r="F744" t="s">
        <v>1691</v>
      </c>
      <c r="G744" t="s">
        <v>848</v>
      </c>
      <c r="H744" t="s">
        <v>887</v>
      </c>
      <c r="I744" t="str">
        <f t="shared" si="123"/>
        <v>Mr. Dahl Karl</v>
      </c>
      <c r="J744" t="s">
        <v>20</v>
      </c>
      <c r="K744" t="str">
        <f t="shared" si="124"/>
        <v>Male</v>
      </c>
      <c r="L744">
        <v>45</v>
      </c>
      <c r="O744">
        <f t="shared" si="125"/>
        <v>45</v>
      </c>
      <c r="P744">
        <v>0</v>
      </c>
      <c r="R744" s="4">
        <v>0</v>
      </c>
      <c r="T744" s="5">
        <v>8.0500000000000007</v>
      </c>
      <c r="W744" s="4">
        <v>45</v>
      </c>
      <c r="X744" s="4" t="str">
        <f t="shared" si="126"/>
        <v>Adult</v>
      </c>
      <c r="Y744" s="4" t="s">
        <v>3561</v>
      </c>
      <c r="AB744" s="4" t="str">
        <f t="shared" si="127"/>
        <v/>
      </c>
      <c r="AC744" s="4" t="str">
        <f t="shared" si="128"/>
        <v>Unknown</v>
      </c>
      <c r="AD744" s="4" t="s">
        <v>457</v>
      </c>
      <c r="AF744" s="4">
        <v>15</v>
      </c>
      <c r="AG744" s="4">
        <f t="shared" si="129"/>
        <v>15</v>
      </c>
      <c r="AK744" s="4" t="s">
        <v>3573</v>
      </c>
      <c r="AL744" s="4" t="str">
        <f t="shared" si="130"/>
        <v>Found</v>
      </c>
      <c r="AN744" s="6">
        <v>8.0500000000000007</v>
      </c>
      <c r="AO744" s="4" t="str">
        <f t="shared" si="131"/>
        <v>Low</v>
      </c>
    </row>
    <row r="745" spans="1:41">
      <c r="A745">
        <v>3</v>
      </c>
      <c r="B745" t="str">
        <f t="shared" si="121"/>
        <v>Third Class</v>
      </c>
      <c r="C745">
        <v>0</v>
      </c>
      <c r="E745" t="str">
        <f t="shared" si="122"/>
        <v>Died</v>
      </c>
      <c r="F745" t="s">
        <v>1692</v>
      </c>
      <c r="G745" t="s">
        <v>842</v>
      </c>
      <c r="H745" t="s">
        <v>1693</v>
      </c>
      <c r="I745" t="str">
        <f t="shared" si="123"/>
        <v>Miss. Dahlberg Gerda</v>
      </c>
      <c r="J745" t="s">
        <v>47</v>
      </c>
      <c r="K745" t="str">
        <f t="shared" si="124"/>
        <v>Female</v>
      </c>
      <c r="L745">
        <v>22</v>
      </c>
      <c r="O745">
        <f t="shared" si="125"/>
        <v>22</v>
      </c>
      <c r="P745">
        <v>0</v>
      </c>
      <c r="R745" s="4">
        <v>0</v>
      </c>
      <c r="T745" s="5">
        <v>10.5167</v>
      </c>
      <c r="W745" s="4">
        <v>22</v>
      </c>
      <c r="X745" s="4" t="str">
        <f t="shared" si="126"/>
        <v>Young Adult</v>
      </c>
      <c r="Y745" s="4" t="s">
        <v>3561</v>
      </c>
      <c r="AB745" s="4" t="str">
        <f t="shared" si="127"/>
        <v/>
      </c>
      <c r="AC745" s="4" t="str">
        <f t="shared" si="128"/>
        <v>Unknown</v>
      </c>
      <c r="AD745" s="4" t="s">
        <v>457</v>
      </c>
      <c r="AG745" s="4" t="str">
        <f t="shared" si="129"/>
        <v>Not Applicable</v>
      </c>
      <c r="AK745" s="4" t="s">
        <v>3573</v>
      </c>
      <c r="AL745" s="4" t="str">
        <f t="shared" si="130"/>
        <v>Found</v>
      </c>
      <c r="AN745" s="6">
        <v>10.5167</v>
      </c>
      <c r="AO745" s="4" t="str">
        <f t="shared" si="131"/>
        <v>Mid</v>
      </c>
    </row>
    <row r="746" spans="1:41">
      <c r="A746">
        <v>3</v>
      </c>
      <c r="B746" t="str">
        <f t="shared" si="121"/>
        <v>Third Class</v>
      </c>
      <c r="C746">
        <v>0</v>
      </c>
      <c r="E746" t="str">
        <f t="shared" si="122"/>
        <v>Died</v>
      </c>
      <c r="F746" t="s">
        <v>1694</v>
      </c>
      <c r="G746" t="s">
        <v>848</v>
      </c>
      <c r="H746" t="s">
        <v>1695</v>
      </c>
      <c r="I746" t="str">
        <f t="shared" si="123"/>
        <v>Mr. Dakic Branko</v>
      </c>
      <c r="J746" t="s">
        <v>20</v>
      </c>
      <c r="K746" t="str">
        <f t="shared" si="124"/>
        <v>Male</v>
      </c>
      <c r="L746">
        <v>19</v>
      </c>
      <c r="O746">
        <f t="shared" si="125"/>
        <v>19</v>
      </c>
      <c r="P746">
        <v>0</v>
      </c>
      <c r="R746" s="4">
        <v>0</v>
      </c>
      <c r="T746" s="5">
        <v>10.1708</v>
      </c>
      <c r="W746" s="4">
        <v>19</v>
      </c>
      <c r="X746" s="4" t="str">
        <f t="shared" si="126"/>
        <v>Young Adult</v>
      </c>
      <c r="Y746" s="4" t="s">
        <v>3561</v>
      </c>
      <c r="AB746" s="4" t="str">
        <f t="shared" si="127"/>
        <v/>
      </c>
      <c r="AC746" s="4" t="str">
        <f t="shared" si="128"/>
        <v>Unknown</v>
      </c>
      <c r="AD746" s="4" t="s">
        <v>457</v>
      </c>
      <c r="AG746" s="4" t="str">
        <f t="shared" si="129"/>
        <v>Not Applicable</v>
      </c>
      <c r="AK746" s="4" t="s">
        <v>3573</v>
      </c>
      <c r="AL746" s="4" t="str">
        <f t="shared" si="130"/>
        <v>Found</v>
      </c>
      <c r="AN746" s="6">
        <v>10.1708</v>
      </c>
      <c r="AO746" s="4" t="str">
        <f t="shared" si="131"/>
        <v>Mid</v>
      </c>
    </row>
    <row r="747" spans="1:41">
      <c r="A747">
        <v>3</v>
      </c>
      <c r="B747" t="str">
        <f t="shared" si="121"/>
        <v>Third Class</v>
      </c>
      <c r="C747">
        <v>1</v>
      </c>
      <c r="E747" t="str">
        <f t="shared" si="122"/>
        <v>Survived</v>
      </c>
      <c r="F747" t="s">
        <v>986</v>
      </c>
      <c r="G747" t="s">
        <v>842</v>
      </c>
      <c r="H747" t="s">
        <v>927</v>
      </c>
      <c r="I747" t="str">
        <f t="shared" si="123"/>
        <v>Miss. Daly Margaret</v>
      </c>
      <c r="J747" t="s">
        <v>47</v>
      </c>
      <c r="K747" t="str">
        <f t="shared" si="124"/>
        <v>Female</v>
      </c>
      <c r="L747">
        <v>30</v>
      </c>
      <c r="O747">
        <f t="shared" si="125"/>
        <v>30</v>
      </c>
      <c r="P747">
        <v>0</v>
      </c>
      <c r="R747" s="4">
        <v>0</v>
      </c>
      <c r="T747" s="5">
        <v>6.95</v>
      </c>
      <c r="W747" s="4">
        <v>30</v>
      </c>
      <c r="X747" s="4" t="str">
        <f t="shared" si="126"/>
        <v>Adult</v>
      </c>
      <c r="Y747" s="4" t="s">
        <v>3561</v>
      </c>
      <c r="AB747" s="4" t="str">
        <f t="shared" si="127"/>
        <v/>
      </c>
      <c r="AC747" s="4" t="str">
        <f t="shared" si="128"/>
        <v>Unknown</v>
      </c>
      <c r="AD747" s="4" t="s">
        <v>3567</v>
      </c>
      <c r="AF747" s="4">
        <v>15</v>
      </c>
      <c r="AG747" s="4">
        <f t="shared" si="129"/>
        <v>15</v>
      </c>
      <c r="AK747" s="4" t="s">
        <v>3573</v>
      </c>
      <c r="AL747" s="4" t="str">
        <f t="shared" si="130"/>
        <v>Found</v>
      </c>
      <c r="AN747" s="6">
        <v>6.95</v>
      </c>
      <c r="AO747" s="4" t="str">
        <f t="shared" si="131"/>
        <v>Low</v>
      </c>
    </row>
    <row r="748" spans="1:41">
      <c r="A748">
        <v>3</v>
      </c>
      <c r="B748" t="str">
        <f t="shared" si="121"/>
        <v>Third Class</v>
      </c>
      <c r="C748">
        <v>1</v>
      </c>
      <c r="E748" t="str">
        <f t="shared" si="122"/>
        <v>Survived</v>
      </c>
      <c r="F748" t="s">
        <v>986</v>
      </c>
      <c r="G748" t="s">
        <v>848</v>
      </c>
      <c r="H748" t="s">
        <v>1533</v>
      </c>
      <c r="I748" t="str">
        <f t="shared" si="123"/>
        <v>Mr. Daly Eugene</v>
      </c>
      <c r="J748" t="s">
        <v>20</v>
      </c>
      <c r="K748" t="str">
        <f t="shared" si="124"/>
        <v>Male</v>
      </c>
      <c r="L748">
        <v>29</v>
      </c>
      <c r="O748">
        <f t="shared" si="125"/>
        <v>29</v>
      </c>
      <c r="P748">
        <v>0</v>
      </c>
      <c r="R748" s="4">
        <v>0</v>
      </c>
      <c r="T748" s="5">
        <v>7.75</v>
      </c>
      <c r="W748" s="4">
        <v>29</v>
      </c>
      <c r="X748" s="4" t="str">
        <f t="shared" si="126"/>
        <v>Young Adult</v>
      </c>
      <c r="Y748" s="4" t="s">
        <v>3561</v>
      </c>
      <c r="AB748" s="4" t="str">
        <f t="shared" si="127"/>
        <v/>
      </c>
      <c r="AC748" s="4" t="str">
        <f t="shared" si="128"/>
        <v>Unknown</v>
      </c>
      <c r="AD748" s="4" t="s">
        <v>3567</v>
      </c>
      <c r="AF748" s="4" t="s">
        <v>701</v>
      </c>
      <c r="AG748" s="4" t="str">
        <f t="shared" si="129"/>
        <v>13 15 B</v>
      </c>
      <c r="AK748" s="4" t="s">
        <v>3573</v>
      </c>
      <c r="AL748" s="4" t="str">
        <f t="shared" si="130"/>
        <v>Found</v>
      </c>
      <c r="AN748" s="6">
        <v>7.75</v>
      </c>
      <c r="AO748" s="4" t="str">
        <f t="shared" si="131"/>
        <v>Low</v>
      </c>
    </row>
    <row r="749" spans="1:41">
      <c r="A749">
        <v>3</v>
      </c>
      <c r="B749" t="str">
        <f t="shared" si="121"/>
        <v>Third Class</v>
      </c>
      <c r="C749">
        <v>0</v>
      </c>
      <c r="E749" t="str">
        <f t="shared" si="122"/>
        <v>Died</v>
      </c>
      <c r="F749" t="s">
        <v>1696</v>
      </c>
      <c r="G749" t="s">
        <v>845</v>
      </c>
      <c r="H749" t="s">
        <v>1238</v>
      </c>
      <c r="I749" t="str">
        <f t="shared" si="123"/>
        <v>Master. Danbom Gilbert</v>
      </c>
      <c r="J749" t="s">
        <v>20</v>
      </c>
      <c r="K749" t="str">
        <f t="shared" si="124"/>
        <v>Male</v>
      </c>
      <c r="L749">
        <v>0.33329999999999999</v>
      </c>
      <c r="O749">
        <f t="shared" si="125"/>
        <v>1</v>
      </c>
      <c r="P749">
        <v>0</v>
      </c>
      <c r="R749" s="4">
        <v>2</v>
      </c>
      <c r="T749" s="5">
        <v>14.4</v>
      </c>
      <c r="W749" s="4">
        <v>1</v>
      </c>
      <c r="X749" s="4" t="str">
        <f t="shared" si="126"/>
        <v>Child</v>
      </c>
      <c r="Y749" s="4" t="s">
        <v>3561</v>
      </c>
      <c r="AB749" s="4" t="str">
        <f t="shared" si="127"/>
        <v/>
      </c>
      <c r="AC749" s="4" t="str">
        <f t="shared" si="128"/>
        <v>Unknown</v>
      </c>
      <c r="AD749" s="4" t="s">
        <v>457</v>
      </c>
      <c r="AG749" s="4" t="str">
        <f t="shared" si="129"/>
        <v>Not Applicable</v>
      </c>
      <c r="AK749" s="4" t="s">
        <v>3573</v>
      </c>
      <c r="AL749" s="4" t="str">
        <f t="shared" si="130"/>
        <v>Found</v>
      </c>
      <c r="AN749" s="6">
        <v>14.4</v>
      </c>
      <c r="AO749" s="4" t="str">
        <f t="shared" si="131"/>
        <v>Mid</v>
      </c>
    </row>
    <row r="750" spans="1:41">
      <c r="A750">
        <v>3</v>
      </c>
      <c r="B750" t="str">
        <f t="shared" si="121"/>
        <v>Third Class</v>
      </c>
      <c r="C750">
        <v>0</v>
      </c>
      <c r="E750" t="str">
        <f t="shared" si="122"/>
        <v>Died</v>
      </c>
      <c r="F750" t="s">
        <v>1696</v>
      </c>
      <c r="G750" t="s">
        <v>848</v>
      </c>
      <c r="H750" t="s">
        <v>1497</v>
      </c>
      <c r="I750" t="str">
        <f t="shared" si="123"/>
        <v>Mr. Danbom Ernst</v>
      </c>
      <c r="J750" t="s">
        <v>20</v>
      </c>
      <c r="K750" t="str">
        <f t="shared" si="124"/>
        <v>Male</v>
      </c>
      <c r="L750">
        <v>34</v>
      </c>
      <c r="O750">
        <f t="shared" si="125"/>
        <v>34</v>
      </c>
      <c r="P750">
        <v>1</v>
      </c>
      <c r="R750" s="4">
        <v>1</v>
      </c>
      <c r="T750" s="5">
        <v>14.4</v>
      </c>
      <c r="W750" s="4">
        <v>34</v>
      </c>
      <c r="X750" s="4" t="str">
        <f t="shared" si="126"/>
        <v>Adult</v>
      </c>
      <c r="Y750" s="4" t="s">
        <v>3561</v>
      </c>
      <c r="AB750" s="4" t="str">
        <f t="shared" si="127"/>
        <v/>
      </c>
      <c r="AC750" s="4" t="str">
        <f t="shared" si="128"/>
        <v>Unknown</v>
      </c>
      <c r="AD750" s="4" t="s">
        <v>457</v>
      </c>
      <c r="AG750" s="4" t="str">
        <f t="shared" si="129"/>
        <v>Not Applicable</v>
      </c>
      <c r="AH750" s="4">
        <v>197</v>
      </c>
      <c r="AK750" s="4">
        <v>197</v>
      </c>
      <c r="AL750" s="4" t="str">
        <f t="shared" si="130"/>
        <v>Found</v>
      </c>
      <c r="AN750" s="6">
        <v>14.4</v>
      </c>
      <c r="AO750" s="4" t="str">
        <f t="shared" si="131"/>
        <v>Mid</v>
      </c>
    </row>
    <row r="751" spans="1:41">
      <c r="A751">
        <v>3</v>
      </c>
      <c r="B751" t="str">
        <f t="shared" si="121"/>
        <v>Third Class</v>
      </c>
      <c r="C751">
        <v>0</v>
      </c>
      <c r="E751" t="str">
        <f t="shared" si="122"/>
        <v>Died</v>
      </c>
      <c r="F751" t="s">
        <v>1696</v>
      </c>
      <c r="G751" t="s">
        <v>849</v>
      </c>
      <c r="H751" t="s">
        <v>1497</v>
      </c>
      <c r="I751" t="str">
        <f t="shared" si="123"/>
        <v>Mrs. Danbom Ernst</v>
      </c>
      <c r="J751" t="s">
        <v>47</v>
      </c>
      <c r="K751" t="str">
        <f t="shared" si="124"/>
        <v>Female</v>
      </c>
      <c r="L751">
        <v>28</v>
      </c>
      <c r="O751">
        <f t="shared" si="125"/>
        <v>28</v>
      </c>
      <c r="P751">
        <v>1</v>
      </c>
      <c r="R751" s="4">
        <v>1</v>
      </c>
      <c r="T751" s="5">
        <v>14.4</v>
      </c>
      <c r="W751" s="4">
        <v>28</v>
      </c>
      <c r="X751" s="4" t="str">
        <f t="shared" si="126"/>
        <v>Young Adult</v>
      </c>
      <c r="Y751" s="4" t="s">
        <v>3561</v>
      </c>
      <c r="AB751" s="4" t="str">
        <f t="shared" si="127"/>
        <v/>
      </c>
      <c r="AC751" s="4" t="str">
        <f t="shared" si="128"/>
        <v>Unknown</v>
      </c>
      <c r="AD751" s="4" t="s">
        <v>457</v>
      </c>
      <c r="AG751" s="4" t="str">
        <f t="shared" si="129"/>
        <v>Not Applicable</v>
      </c>
      <c r="AK751" s="4" t="s">
        <v>3573</v>
      </c>
      <c r="AL751" s="4" t="str">
        <f t="shared" si="130"/>
        <v>Found</v>
      </c>
      <c r="AN751" s="6">
        <v>14.4</v>
      </c>
      <c r="AO751" s="4" t="str">
        <f t="shared" si="131"/>
        <v>Mid</v>
      </c>
    </row>
    <row r="752" spans="1:41">
      <c r="A752">
        <v>3</v>
      </c>
      <c r="B752" t="str">
        <f t="shared" si="121"/>
        <v>Third Class</v>
      </c>
      <c r="C752">
        <v>0</v>
      </c>
      <c r="E752" t="str">
        <f t="shared" si="122"/>
        <v>Died</v>
      </c>
      <c r="F752" t="s">
        <v>1698</v>
      </c>
      <c r="G752" t="s">
        <v>848</v>
      </c>
      <c r="H752" t="s">
        <v>1699</v>
      </c>
      <c r="I752" t="str">
        <f t="shared" si="123"/>
        <v>Mr. Danoff Yoto</v>
      </c>
      <c r="J752" t="s">
        <v>20</v>
      </c>
      <c r="K752" t="str">
        <f t="shared" si="124"/>
        <v>Male</v>
      </c>
      <c r="L752">
        <v>27</v>
      </c>
      <c r="O752">
        <f t="shared" si="125"/>
        <v>27</v>
      </c>
      <c r="P752">
        <v>0</v>
      </c>
      <c r="R752" s="4">
        <v>0</v>
      </c>
      <c r="T752" s="5">
        <v>7.8958000000000004</v>
      </c>
      <c r="W752" s="4">
        <v>27</v>
      </c>
      <c r="X752" s="4" t="str">
        <f t="shared" si="126"/>
        <v>Young Adult</v>
      </c>
      <c r="Y752" s="4" t="s">
        <v>3561</v>
      </c>
      <c r="AB752" s="4" t="str">
        <f t="shared" si="127"/>
        <v/>
      </c>
      <c r="AC752" s="4" t="str">
        <f t="shared" si="128"/>
        <v>Unknown</v>
      </c>
      <c r="AD752" s="4" t="s">
        <v>457</v>
      </c>
      <c r="AG752" s="4" t="str">
        <f t="shared" si="129"/>
        <v>Not Applicable</v>
      </c>
      <c r="AK752" s="4" t="s">
        <v>3573</v>
      </c>
      <c r="AL752" s="4" t="str">
        <f t="shared" si="130"/>
        <v>Found</v>
      </c>
      <c r="AN752" s="6">
        <v>7.8958000000000004</v>
      </c>
      <c r="AO752" s="4" t="str">
        <f t="shared" si="131"/>
        <v>Low</v>
      </c>
    </row>
    <row r="753" spans="1:41">
      <c r="A753">
        <v>3</v>
      </c>
      <c r="B753" t="str">
        <f t="shared" si="121"/>
        <v>Third Class</v>
      </c>
      <c r="C753">
        <v>0</v>
      </c>
      <c r="E753" t="str">
        <f t="shared" si="122"/>
        <v>Died</v>
      </c>
      <c r="F753" t="s">
        <v>1700</v>
      </c>
      <c r="G753" t="s">
        <v>848</v>
      </c>
      <c r="H753" t="s">
        <v>1701</v>
      </c>
      <c r="I753" t="str">
        <f t="shared" si="123"/>
        <v>Mr. Dantcheff Ristiu</v>
      </c>
      <c r="J753" t="s">
        <v>20</v>
      </c>
      <c r="K753" t="str">
        <f t="shared" si="124"/>
        <v>Male</v>
      </c>
      <c r="L753">
        <v>25</v>
      </c>
      <c r="O753">
        <f t="shared" si="125"/>
        <v>25</v>
      </c>
      <c r="P753">
        <v>0</v>
      </c>
      <c r="R753" s="4">
        <v>0</v>
      </c>
      <c r="T753" s="5">
        <v>7.8958000000000004</v>
      </c>
      <c r="W753" s="4">
        <v>25</v>
      </c>
      <c r="X753" s="4" t="str">
        <f t="shared" si="126"/>
        <v>Young Adult</v>
      </c>
      <c r="Y753" s="4" t="s">
        <v>3561</v>
      </c>
      <c r="AB753" s="4" t="str">
        <f t="shared" si="127"/>
        <v/>
      </c>
      <c r="AC753" s="4" t="str">
        <f t="shared" si="128"/>
        <v>Unknown</v>
      </c>
      <c r="AD753" s="4" t="s">
        <v>457</v>
      </c>
      <c r="AG753" s="4" t="str">
        <f t="shared" si="129"/>
        <v>Not Applicable</v>
      </c>
      <c r="AK753" s="4" t="s">
        <v>3573</v>
      </c>
      <c r="AL753" s="4" t="str">
        <f t="shared" si="130"/>
        <v>Found</v>
      </c>
      <c r="AN753" s="6">
        <v>7.8958000000000004</v>
      </c>
      <c r="AO753" s="4" t="str">
        <f t="shared" si="131"/>
        <v>Low</v>
      </c>
    </row>
    <row r="754" spans="1:41">
      <c r="A754">
        <v>3</v>
      </c>
      <c r="B754" t="str">
        <f t="shared" si="121"/>
        <v>Third Class</v>
      </c>
      <c r="C754">
        <v>0</v>
      </c>
      <c r="E754" t="str">
        <f t="shared" si="122"/>
        <v>Died</v>
      </c>
      <c r="F754" t="s">
        <v>1327</v>
      </c>
      <c r="G754" t="s">
        <v>848</v>
      </c>
      <c r="H754" t="s">
        <v>1015</v>
      </c>
      <c r="I754" t="str">
        <f t="shared" si="123"/>
        <v>Mr. Davies Alfred</v>
      </c>
      <c r="J754" t="s">
        <v>20</v>
      </c>
      <c r="K754" t="str">
        <f t="shared" si="124"/>
        <v>Male</v>
      </c>
      <c r="L754">
        <v>24</v>
      </c>
      <c r="O754">
        <f t="shared" si="125"/>
        <v>24</v>
      </c>
      <c r="P754">
        <v>2</v>
      </c>
      <c r="R754" s="4">
        <v>0</v>
      </c>
      <c r="T754" s="5">
        <v>24.15</v>
      </c>
      <c r="W754" s="4">
        <v>24</v>
      </c>
      <c r="X754" s="4" t="str">
        <f t="shared" si="126"/>
        <v>Young Adult</v>
      </c>
      <c r="Y754" s="4" t="s">
        <v>3561</v>
      </c>
      <c r="AB754" s="4" t="str">
        <f t="shared" si="127"/>
        <v/>
      </c>
      <c r="AC754" s="4" t="str">
        <f t="shared" si="128"/>
        <v>Unknown</v>
      </c>
      <c r="AD754" s="4" t="s">
        <v>457</v>
      </c>
      <c r="AG754" s="4" t="str">
        <f t="shared" si="129"/>
        <v>Not Applicable</v>
      </c>
      <c r="AK754" s="4" t="s">
        <v>3573</v>
      </c>
      <c r="AL754" s="4" t="str">
        <f t="shared" si="130"/>
        <v>Found</v>
      </c>
      <c r="AN754" s="6">
        <v>24.15</v>
      </c>
      <c r="AO754" s="4" t="str">
        <f t="shared" si="131"/>
        <v>Mid</v>
      </c>
    </row>
    <row r="755" spans="1:41">
      <c r="A755">
        <v>3</v>
      </c>
      <c r="B755" t="str">
        <f t="shared" si="121"/>
        <v>Third Class</v>
      </c>
      <c r="C755">
        <v>0</v>
      </c>
      <c r="E755" t="str">
        <f t="shared" si="122"/>
        <v>Died</v>
      </c>
      <c r="F755" t="s">
        <v>1327</v>
      </c>
      <c r="G755" t="s">
        <v>848</v>
      </c>
      <c r="H755" t="s">
        <v>1702</v>
      </c>
      <c r="I755" t="str">
        <f t="shared" si="123"/>
        <v>Mr. Davies Evan</v>
      </c>
      <c r="J755" t="s">
        <v>20</v>
      </c>
      <c r="K755" t="str">
        <f t="shared" si="124"/>
        <v>Male</v>
      </c>
      <c r="L755">
        <v>22</v>
      </c>
      <c r="O755">
        <f t="shared" si="125"/>
        <v>22</v>
      </c>
      <c r="P755">
        <v>0</v>
      </c>
      <c r="R755" s="4">
        <v>0</v>
      </c>
      <c r="T755" s="5">
        <v>8.0500000000000007</v>
      </c>
      <c r="W755" s="4">
        <v>22</v>
      </c>
      <c r="X755" s="4" t="str">
        <f t="shared" si="126"/>
        <v>Young Adult</v>
      </c>
      <c r="Y755" s="4" t="s">
        <v>3561</v>
      </c>
      <c r="AB755" s="4" t="str">
        <f t="shared" si="127"/>
        <v/>
      </c>
      <c r="AC755" s="4" t="str">
        <f t="shared" si="128"/>
        <v>Unknown</v>
      </c>
      <c r="AD755" s="4" t="s">
        <v>457</v>
      </c>
      <c r="AG755" s="4" t="str">
        <f t="shared" si="129"/>
        <v>Not Applicable</v>
      </c>
      <c r="AK755" s="4" t="s">
        <v>3573</v>
      </c>
      <c r="AL755" s="4" t="str">
        <f t="shared" si="130"/>
        <v>Found</v>
      </c>
      <c r="AN755" s="6">
        <v>8.0500000000000007</v>
      </c>
      <c r="AO755" s="4" t="str">
        <f t="shared" si="131"/>
        <v>Low</v>
      </c>
    </row>
    <row r="756" spans="1:41">
      <c r="A756">
        <v>3</v>
      </c>
      <c r="B756" t="str">
        <f t="shared" si="121"/>
        <v>Third Class</v>
      </c>
      <c r="C756">
        <v>0</v>
      </c>
      <c r="E756" t="str">
        <f t="shared" si="122"/>
        <v>Died</v>
      </c>
      <c r="F756" t="s">
        <v>1327</v>
      </c>
      <c r="G756" t="s">
        <v>848</v>
      </c>
      <c r="H756" t="s">
        <v>862</v>
      </c>
      <c r="I756" t="str">
        <f t="shared" si="123"/>
        <v>Mr. Davies John</v>
      </c>
      <c r="J756" t="s">
        <v>20</v>
      </c>
      <c r="K756" t="str">
        <f t="shared" si="124"/>
        <v>Male</v>
      </c>
      <c r="L756">
        <v>21</v>
      </c>
      <c r="O756">
        <f t="shared" si="125"/>
        <v>21</v>
      </c>
      <c r="P756">
        <v>2</v>
      </c>
      <c r="R756" s="4">
        <v>0</v>
      </c>
      <c r="T756" s="5">
        <v>24.15</v>
      </c>
      <c r="W756" s="4">
        <v>21</v>
      </c>
      <c r="X756" s="4" t="str">
        <f t="shared" si="126"/>
        <v>Young Adult</v>
      </c>
      <c r="Y756" s="4" t="s">
        <v>3561</v>
      </c>
      <c r="AB756" s="4" t="str">
        <f t="shared" si="127"/>
        <v/>
      </c>
      <c r="AC756" s="4" t="str">
        <f t="shared" si="128"/>
        <v>Unknown</v>
      </c>
      <c r="AD756" s="4" t="s">
        <v>457</v>
      </c>
      <c r="AG756" s="4" t="str">
        <f t="shared" si="129"/>
        <v>Not Applicable</v>
      </c>
      <c r="AK756" s="4" t="s">
        <v>3573</v>
      </c>
      <c r="AL756" s="4" t="str">
        <f t="shared" si="130"/>
        <v>Found</v>
      </c>
      <c r="AN756" s="6">
        <v>24.15</v>
      </c>
      <c r="AO756" s="4" t="str">
        <f t="shared" si="131"/>
        <v>Mid</v>
      </c>
    </row>
    <row r="757" spans="1:41">
      <c r="A757">
        <v>3</v>
      </c>
      <c r="B757" t="str">
        <f t="shared" si="121"/>
        <v>Third Class</v>
      </c>
      <c r="C757">
        <v>0</v>
      </c>
      <c r="E757" t="str">
        <f t="shared" si="122"/>
        <v>Died</v>
      </c>
      <c r="F757" t="s">
        <v>1327</v>
      </c>
      <c r="G757" t="s">
        <v>848</v>
      </c>
      <c r="H757" t="s">
        <v>921</v>
      </c>
      <c r="I757" t="str">
        <f t="shared" si="123"/>
        <v>Mr. Davies Joseph</v>
      </c>
      <c r="J757" t="s">
        <v>20</v>
      </c>
      <c r="K757" t="str">
        <f t="shared" si="124"/>
        <v>Male</v>
      </c>
      <c r="L757">
        <v>17</v>
      </c>
      <c r="O757">
        <f t="shared" si="125"/>
        <v>17</v>
      </c>
      <c r="P757">
        <v>2</v>
      </c>
      <c r="R757" s="4">
        <v>0</v>
      </c>
      <c r="T757" s="5">
        <v>8.0500000000000007</v>
      </c>
      <c r="W757" s="4">
        <v>17</v>
      </c>
      <c r="X757" s="4" t="str">
        <f t="shared" si="126"/>
        <v>Teenager</v>
      </c>
      <c r="Y757" s="4" t="s">
        <v>3561</v>
      </c>
      <c r="AB757" s="4" t="str">
        <f t="shared" si="127"/>
        <v/>
      </c>
      <c r="AC757" s="4" t="str">
        <f t="shared" si="128"/>
        <v>Unknown</v>
      </c>
      <c r="AD757" s="4" t="s">
        <v>457</v>
      </c>
      <c r="AG757" s="4" t="str">
        <f t="shared" si="129"/>
        <v>Not Applicable</v>
      </c>
      <c r="AK757" s="4" t="s">
        <v>3573</v>
      </c>
      <c r="AL757" s="4" t="str">
        <f t="shared" si="130"/>
        <v>Found</v>
      </c>
      <c r="AN757" s="6">
        <v>8.0500000000000007</v>
      </c>
      <c r="AO757" s="4" t="str">
        <f t="shared" si="131"/>
        <v>Low</v>
      </c>
    </row>
    <row r="758" spans="1:41">
      <c r="A758">
        <v>3</v>
      </c>
      <c r="B758" t="str">
        <f t="shared" si="121"/>
        <v>Third Class</v>
      </c>
      <c r="C758">
        <v>0</v>
      </c>
      <c r="E758" t="str">
        <f t="shared" si="122"/>
        <v>Died</v>
      </c>
      <c r="F758" t="s">
        <v>1703</v>
      </c>
      <c r="G758" t="s">
        <v>848</v>
      </c>
      <c r="H758" t="s">
        <v>855</v>
      </c>
      <c r="I758" t="str">
        <f t="shared" si="123"/>
        <v>Mr. Davison Thomas</v>
      </c>
      <c r="J758" t="s">
        <v>20</v>
      </c>
      <c r="K758" t="str">
        <f t="shared" si="124"/>
        <v>Male</v>
      </c>
      <c r="L758">
        <v>28</v>
      </c>
      <c r="O758">
        <f t="shared" si="125"/>
        <v>28</v>
      </c>
      <c r="P758">
        <v>1</v>
      </c>
      <c r="R758" s="4">
        <v>0</v>
      </c>
      <c r="T758" s="5">
        <v>16.100000000000001</v>
      </c>
      <c r="W758" s="4">
        <v>28</v>
      </c>
      <c r="X758" s="4" t="str">
        <f t="shared" si="126"/>
        <v>Young Adult</v>
      </c>
      <c r="Y758" s="4" t="s">
        <v>3561</v>
      </c>
      <c r="AB758" s="4" t="str">
        <f t="shared" si="127"/>
        <v/>
      </c>
      <c r="AC758" s="4" t="str">
        <f t="shared" si="128"/>
        <v>Unknown</v>
      </c>
      <c r="AD758" s="4" t="s">
        <v>457</v>
      </c>
      <c r="AG758" s="4" t="str">
        <f t="shared" si="129"/>
        <v>Not Applicable</v>
      </c>
      <c r="AK758" s="4" t="s">
        <v>3573</v>
      </c>
      <c r="AL758" s="4" t="str">
        <f t="shared" si="130"/>
        <v>Found</v>
      </c>
      <c r="AN758" s="6">
        <v>16.100000000000001</v>
      </c>
      <c r="AO758" s="4" t="str">
        <f t="shared" si="131"/>
        <v>Mid</v>
      </c>
    </row>
    <row r="759" spans="1:41">
      <c r="A759">
        <v>3</v>
      </c>
      <c r="B759" t="str">
        <f t="shared" si="121"/>
        <v>Third Class</v>
      </c>
      <c r="C759">
        <v>1</v>
      </c>
      <c r="E759" t="str">
        <f t="shared" si="122"/>
        <v>Survived</v>
      </c>
      <c r="F759" t="s">
        <v>1703</v>
      </c>
      <c r="G759" t="s">
        <v>849</v>
      </c>
      <c r="H759" t="s">
        <v>855</v>
      </c>
      <c r="I759" t="str">
        <f t="shared" si="123"/>
        <v>Mrs. Davison Thomas</v>
      </c>
      <c r="J759" t="s">
        <v>47</v>
      </c>
      <c r="K759" t="str">
        <f t="shared" si="124"/>
        <v>Female</v>
      </c>
      <c r="L759">
        <v>28</v>
      </c>
      <c r="O759">
        <f t="shared" si="125"/>
        <v>28</v>
      </c>
      <c r="P759">
        <v>1</v>
      </c>
      <c r="R759" s="4">
        <v>0</v>
      </c>
      <c r="T759" s="5">
        <v>16.100000000000001</v>
      </c>
      <c r="W759" s="4">
        <v>28</v>
      </c>
      <c r="X759" s="4" t="str">
        <f t="shared" si="126"/>
        <v>Young Adult</v>
      </c>
      <c r="Y759" s="4" t="s">
        <v>3561</v>
      </c>
      <c r="AB759" s="4" t="str">
        <f t="shared" si="127"/>
        <v/>
      </c>
      <c r="AC759" s="4" t="str">
        <f t="shared" si="128"/>
        <v>Unknown</v>
      </c>
      <c r="AD759" s="4" t="s">
        <v>457</v>
      </c>
      <c r="AF759" s="4">
        <v>16</v>
      </c>
      <c r="AG759" s="4">
        <f t="shared" si="129"/>
        <v>16</v>
      </c>
      <c r="AK759" s="4" t="s">
        <v>3573</v>
      </c>
      <c r="AL759" s="4" t="str">
        <f t="shared" si="130"/>
        <v>Found</v>
      </c>
      <c r="AN759" s="6">
        <v>16.100000000000001</v>
      </c>
      <c r="AO759" s="4" t="str">
        <f t="shared" si="131"/>
        <v>Mid</v>
      </c>
    </row>
    <row r="760" spans="1:41">
      <c r="A760">
        <v>3</v>
      </c>
      <c r="B760" t="str">
        <f t="shared" si="121"/>
        <v>Third Class</v>
      </c>
      <c r="C760">
        <v>1</v>
      </c>
      <c r="E760" t="str">
        <f t="shared" si="122"/>
        <v>Survived</v>
      </c>
      <c r="F760" t="s">
        <v>1127</v>
      </c>
      <c r="G760" t="s">
        <v>1704</v>
      </c>
      <c r="H760" t="s">
        <v>848</v>
      </c>
      <c r="I760" t="str">
        <f t="shared" si="123"/>
        <v>Messemaeker de Mr.</v>
      </c>
      <c r="J760" t="s">
        <v>20</v>
      </c>
      <c r="K760" t="str">
        <f t="shared" si="124"/>
        <v>Male</v>
      </c>
      <c r="L760">
        <v>36.5</v>
      </c>
      <c r="O760">
        <f t="shared" si="125"/>
        <v>37</v>
      </c>
      <c r="P760">
        <v>1</v>
      </c>
      <c r="R760" s="4">
        <v>0</v>
      </c>
      <c r="T760" s="5">
        <v>17.399999999999999</v>
      </c>
      <c r="W760" s="4">
        <v>37</v>
      </c>
      <c r="X760" s="4" t="str">
        <f t="shared" si="126"/>
        <v>Adult</v>
      </c>
      <c r="Y760" s="4" t="s">
        <v>3561</v>
      </c>
      <c r="AB760" s="4" t="str">
        <f t="shared" si="127"/>
        <v/>
      </c>
      <c r="AC760" s="4" t="str">
        <f t="shared" si="128"/>
        <v>Unknown</v>
      </c>
      <c r="AD760" s="4" t="s">
        <v>457</v>
      </c>
      <c r="AF760" s="4">
        <v>15</v>
      </c>
      <c r="AG760" s="4">
        <f t="shared" si="129"/>
        <v>15</v>
      </c>
      <c r="AK760" s="4" t="s">
        <v>3573</v>
      </c>
      <c r="AL760" s="4" t="str">
        <f t="shared" si="130"/>
        <v>Found</v>
      </c>
      <c r="AN760" s="6">
        <v>17.399999999999999</v>
      </c>
      <c r="AO760" s="4" t="str">
        <f t="shared" si="131"/>
        <v>Mid</v>
      </c>
    </row>
    <row r="761" spans="1:41">
      <c r="A761">
        <v>3</v>
      </c>
      <c r="B761" t="str">
        <f t="shared" si="121"/>
        <v>Third Class</v>
      </c>
      <c r="C761">
        <v>1</v>
      </c>
      <c r="E761" t="str">
        <f t="shared" si="122"/>
        <v>Survived</v>
      </c>
      <c r="F761" t="s">
        <v>1127</v>
      </c>
      <c r="G761" t="s">
        <v>1704</v>
      </c>
      <c r="H761" t="s">
        <v>849</v>
      </c>
      <c r="I761" t="str">
        <f t="shared" si="123"/>
        <v>Messemaeker de Mrs.</v>
      </c>
      <c r="J761" t="s">
        <v>47</v>
      </c>
      <c r="K761" t="str">
        <f t="shared" si="124"/>
        <v>Female</v>
      </c>
      <c r="L761">
        <v>36</v>
      </c>
      <c r="O761">
        <f t="shared" si="125"/>
        <v>36</v>
      </c>
      <c r="P761">
        <v>1</v>
      </c>
      <c r="R761" s="4">
        <v>0</v>
      </c>
      <c r="T761" s="5">
        <v>17.399999999999999</v>
      </c>
      <c r="W761" s="4">
        <v>36</v>
      </c>
      <c r="X761" s="4" t="str">
        <f t="shared" si="126"/>
        <v>Adult</v>
      </c>
      <c r="Y761" s="4" t="s">
        <v>3561</v>
      </c>
      <c r="AB761" s="4" t="str">
        <f t="shared" si="127"/>
        <v/>
      </c>
      <c r="AC761" s="4" t="str">
        <f t="shared" si="128"/>
        <v>Unknown</v>
      </c>
      <c r="AD761" s="4" t="s">
        <v>457</v>
      </c>
      <c r="AF761" s="4">
        <v>13</v>
      </c>
      <c r="AG761" s="4">
        <f t="shared" si="129"/>
        <v>13</v>
      </c>
      <c r="AK761" s="4" t="s">
        <v>3573</v>
      </c>
      <c r="AL761" s="4" t="str">
        <f t="shared" si="130"/>
        <v>Found</v>
      </c>
      <c r="AN761" s="6">
        <v>17.399999999999999</v>
      </c>
      <c r="AO761" s="4" t="str">
        <f t="shared" si="131"/>
        <v>Mid</v>
      </c>
    </row>
    <row r="762" spans="1:41">
      <c r="A762">
        <v>3</v>
      </c>
      <c r="B762" t="str">
        <f t="shared" si="121"/>
        <v>Third Class</v>
      </c>
      <c r="C762">
        <v>1</v>
      </c>
      <c r="E762" t="str">
        <f t="shared" si="122"/>
        <v>Survived</v>
      </c>
      <c r="F762" t="s">
        <v>1127</v>
      </c>
      <c r="G762" t="s">
        <v>1705</v>
      </c>
      <c r="H762" t="s">
        <v>848</v>
      </c>
      <c r="I762" t="str">
        <f t="shared" si="123"/>
        <v>Mulder de Mr.</v>
      </c>
      <c r="J762" t="s">
        <v>20</v>
      </c>
      <c r="K762" t="str">
        <f t="shared" si="124"/>
        <v>Male</v>
      </c>
      <c r="L762">
        <v>30</v>
      </c>
      <c r="O762">
        <f t="shared" si="125"/>
        <v>30</v>
      </c>
      <c r="P762">
        <v>0</v>
      </c>
      <c r="R762" s="4">
        <v>0</v>
      </c>
      <c r="T762" s="5">
        <v>9.5</v>
      </c>
      <c r="W762" s="4">
        <v>30</v>
      </c>
      <c r="X762" s="4" t="str">
        <f t="shared" si="126"/>
        <v>Adult</v>
      </c>
      <c r="Y762" s="4" t="s">
        <v>3561</v>
      </c>
      <c r="AB762" s="4" t="str">
        <f t="shared" si="127"/>
        <v/>
      </c>
      <c r="AC762" s="4" t="str">
        <f t="shared" si="128"/>
        <v>Unknown</v>
      </c>
      <c r="AD762" s="4" t="s">
        <v>457</v>
      </c>
      <c r="AF762" s="4">
        <v>11</v>
      </c>
      <c r="AG762" s="4">
        <f t="shared" si="129"/>
        <v>11</v>
      </c>
      <c r="AK762" s="4" t="s">
        <v>3573</v>
      </c>
      <c r="AL762" s="4" t="str">
        <f t="shared" si="130"/>
        <v>Found</v>
      </c>
      <c r="AN762" s="6">
        <v>9.5</v>
      </c>
      <c r="AO762" s="4" t="str">
        <f t="shared" si="131"/>
        <v>Low</v>
      </c>
    </row>
    <row r="763" spans="1:41">
      <c r="A763">
        <v>3</v>
      </c>
      <c r="B763" t="str">
        <f t="shared" si="121"/>
        <v>Third Class</v>
      </c>
      <c r="C763">
        <v>0</v>
      </c>
      <c r="E763" t="str">
        <f t="shared" si="122"/>
        <v>Died</v>
      </c>
      <c r="F763" t="s">
        <v>1127</v>
      </c>
      <c r="G763" t="s">
        <v>1706</v>
      </c>
      <c r="H763" t="s">
        <v>848</v>
      </c>
      <c r="I763" t="str">
        <f t="shared" si="123"/>
        <v>Pelsmaeker de Mr.</v>
      </c>
      <c r="J763" t="s">
        <v>20</v>
      </c>
      <c r="K763" t="str">
        <f t="shared" si="124"/>
        <v>Male</v>
      </c>
      <c r="L763">
        <v>16</v>
      </c>
      <c r="O763">
        <f t="shared" si="125"/>
        <v>16</v>
      </c>
      <c r="P763">
        <v>0</v>
      </c>
      <c r="R763" s="4">
        <v>0</v>
      </c>
      <c r="T763" s="5">
        <v>9.5</v>
      </c>
      <c r="W763" s="4">
        <v>16</v>
      </c>
      <c r="X763" s="4" t="str">
        <f t="shared" si="126"/>
        <v>Teenager</v>
      </c>
      <c r="Y763" s="4" t="s">
        <v>3561</v>
      </c>
      <c r="AB763" s="4" t="str">
        <f t="shared" si="127"/>
        <v/>
      </c>
      <c r="AC763" s="4" t="str">
        <f t="shared" si="128"/>
        <v>Unknown</v>
      </c>
      <c r="AD763" s="4" t="s">
        <v>457</v>
      </c>
      <c r="AG763" s="4" t="str">
        <f t="shared" si="129"/>
        <v>Not Applicable</v>
      </c>
      <c r="AK763" s="4" t="s">
        <v>3573</v>
      </c>
      <c r="AL763" s="4" t="str">
        <f t="shared" si="130"/>
        <v>Found</v>
      </c>
      <c r="AN763" s="6">
        <v>9.5</v>
      </c>
      <c r="AO763" s="4" t="str">
        <f t="shared" si="131"/>
        <v>Low</v>
      </c>
    </row>
    <row r="764" spans="1:41">
      <c r="A764">
        <v>3</v>
      </c>
      <c r="B764" t="str">
        <f t="shared" si="121"/>
        <v>Third Class</v>
      </c>
      <c r="C764">
        <v>1</v>
      </c>
      <c r="E764" t="str">
        <f t="shared" si="122"/>
        <v>Survived</v>
      </c>
      <c r="F764" t="s">
        <v>1707</v>
      </c>
      <c r="G764" t="s">
        <v>845</v>
      </c>
      <c r="H764" t="s">
        <v>915</v>
      </c>
      <c r="I764" t="str">
        <f t="shared" si="123"/>
        <v>Master. Dean Bertram</v>
      </c>
      <c r="J764" t="s">
        <v>20</v>
      </c>
      <c r="K764" t="str">
        <f t="shared" si="124"/>
        <v>Male</v>
      </c>
      <c r="L764">
        <v>1</v>
      </c>
      <c r="O764">
        <f t="shared" si="125"/>
        <v>1</v>
      </c>
      <c r="P764">
        <v>1</v>
      </c>
      <c r="R764" s="4">
        <v>2</v>
      </c>
      <c r="T764" s="5">
        <v>20.574999999999999</v>
      </c>
      <c r="W764" s="4">
        <v>1</v>
      </c>
      <c r="X764" s="4" t="str">
        <f t="shared" si="126"/>
        <v>Child</v>
      </c>
      <c r="Y764" s="4" t="s">
        <v>3561</v>
      </c>
      <c r="AB764" s="4" t="str">
        <f t="shared" si="127"/>
        <v/>
      </c>
      <c r="AC764" s="4" t="str">
        <f t="shared" si="128"/>
        <v>Unknown</v>
      </c>
      <c r="AD764" s="4" t="s">
        <v>457</v>
      </c>
      <c r="AF764" s="4">
        <v>10</v>
      </c>
      <c r="AG764" s="4">
        <f t="shared" si="129"/>
        <v>10</v>
      </c>
      <c r="AK764" s="4" t="s">
        <v>3573</v>
      </c>
      <c r="AL764" s="4" t="str">
        <f t="shared" si="130"/>
        <v>Found</v>
      </c>
      <c r="AN764" s="6">
        <v>20.574999999999999</v>
      </c>
      <c r="AO764" s="4" t="str">
        <f t="shared" si="131"/>
        <v>Mid</v>
      </c>
    </row>
    <row r="765" spans="1:41">
      <c r="A765">
        <v>3</v>
      </c>
      <c r="B765" t="str">
        <f t="shared" si="121"/>
        <v>Third Class</v>
      </c>
      <c r="C765">
        <v>1</v>
      </c>
      <c r="E765" t="str">
        <f t="shared" si="122"/>
        <v>Survived</v>
      </c>
      <c r="F765" t="s">
        <v>1707</v>
      </c>
      <c r="G765" t="s">
        <v>842</v>
      </c>
      <c r="H765" t="s">
        <v>904</v>
      </c>
      <c r="I765" t="str">
        <f t="shared" si="123"/>
        <v>Miss. Dean Elizabeth</v>
      </c>
      <c r="J765" t="s">
        <v>47</v>
      </c>
      <c r="K765" t="str">
        <f t="shared" si="124"/>
        <v>Female</v>
      </c>
      <c r="L765">
        <v>0.16669999999999999</v>
      </c>
      <c r="O765">
        <f t="shared" si="125"/>
        <v>1</v>
      </c>
      <c r="P765">
        <v>1</v>
      </c>
      <c r="R765" s="4">
        <v>2</v>
      </c>
      <c r="T765" s="5">
        <v>20.574999999999999</v>
      </c>
      <c r="W765" s="4">
        <v>1</v>
      </c>
      <c r="X765" s="4" t="str">
        <f t="shared" si="126"/>
        <v>Child</v>
      </c>
      <c r="Y765" s="4" t="s">
        <v>3561</v>
      </c>
      <c r="AB765" s="4" t="str">
        <f t="shared" si="127"/>
        <v/>
      </c>
      <c r="AC765" s="4" t="str">
        <f t="shared" si="128"/>
        <v>Unknown</v>
      </c>
      <c r="AD765" s="4" t="s">
        <v>457</v>
      </c>
      <c r="AF765" s="4">
        <v>10</v>
      </c>
      <c r="AG765" s="4">
        <f t="shared" si="129"/>
        <v>10</v>
      </c>
      <c r="AK765" s="4" t="s">
        <v>3573</v>
      </c>
      <c r="AL765" s="4" t="str">
        <f t="shared" si="130"/>
        <v>Found</v>
      </c>
      <c r="AN765" s="6">
        <v>20.574999999999999</v>
      </c>
      <c r="AO765" s="4" t="str">
        <f t="shared" si="131"/>
        <v>Mid</v>
      </c>
    </row>
    <row r="766" spans="1:41">
      <c r="A766">
        <v>3</v>
      </c>
      <c r="B766" t="str">
        <f t="shared" si="121"/>
        <v>Third Class</v>
      </c>
      <c r="C766">
        <v>0</v>
      </c>
      <c r="E766" t="str">
        <f t="shared" si="122"/>
        <v>Died</v>
      </c>
      <c r="F766" t="s">
        <v>1707</v>
      </c>
      <c r="G766" t="s">
        <v>848</v>
      </c>
      <c r="H766" t="s">
        <v>915</v>
      </c>
      <c r="I766" t="str">
        <f t="shared" si="123"/>
        <v>Mr. Dean Bertram</v>
      </c>
      <c r="J766" t="s">
        <v>20</v>
      </c>
      <c r="K766" t="str">
        <f t="shared" si="124"/>
        <v>Male</v>
      </c>
      <c r="L766">
        <v>26</v>
      </c>
      <c r="O766">
        <f t="shared" si="125"/>
        <v>26</v>
      </c>
      <c r="P766">
        <v>1</v>
      </c>
      <c r="R766" s="4">
        <v>2</v>
      </c>
      <c r="T766" s="5">
        <v>20.574999999999999</v>
      </c>
      <c r="W766" s="4">
        <v>26</v>
      </c>
      <c r="X766" s="4" t="str">
        <f t="shared" si="126"/>
        <v>Young Adult</v>
      </c>
      <c r="Y766" s="4" t="s">
        <v>3561</v>
      </c>
      <c r="AB766" s="4" t="str">
        <f t="shared" si="127"/>
        <v/>
      </c>
      <c r="AC766" s="4" t="str">
        <f t="shared" si="128"/>
        <v>Unknown</v>
      </c>
      <c r="AD766" s="4" t="s">
        <v>457</v>
      </c>
      <c r="AG766" s="4" t="str">
        <f t="shared" si="129"/>
        <v>Not Applicable</v>
      </c>
      <c r="AK766" s="4" t="s">
        <v>3573</v>
      </c>
      <c r="AL766" s="4" t="str">
        <f t="shared" si="130"/>
        <v>Found</v>
      </c>
      <c r="AN766" s="6">
        <v>20.574999999999999</v>
      </c>
      <c r="AO766" s="4" t="str">
        <f t="shared" si="131"/>
        <v>Mid</v>
      </c>
    </row>
    <row r="767" spans="1:41">
      <c r="A767">
        <v>3</v>
      </c>
      <c r="B767" t="str">
        <f t="shared" si="121"/>
        <v>Third Class</v>
      </c>
      <c r="C767">
        <v>1</v>
      </c>
      <c r="E767" t="str">
        <f t="shared" si="122"/>
        <v>Survived</v>
      </c>
      <c r="F767" t="s">
        <v>1707</v>
      </c>
      <c r="G767" t="s">
        <v>849</v>
      </c>
      <c r="H767" t="s">
        <v>915</v>
      </c>
      <c r="I767" t="str">
        <f t="shared" si="123"/>
        <v>Mrs. Dean Bertram</v>
      </c>
      <c r="J767" t="s">
        <v>47</v>
      </c>
      <c r="K767" t="str">
        <f t="shared" si="124"/>
        <v>Female</v>
      </c>
      <c r="L767">
        <v>33</v>
      </c>
      <c r="O767">
        <f t="shared" si="125"/>
        <v>33</v>
      </c>
      <c r="P767">
        <v>1</v>
      </c>
      <c r="R767" s="4">
        <v>2</v>
      </c>
      <c r="T767" s="5">
        <v>20.574999999999999</v>
      </c>
      <c r="W767" s="4">
        <v>33</v>
      </c>
      <c r="X767" s="4" t="str">
        <f t="shared" si="126"/>
        <v>Adult</v>
      </c>
      <c r="Y767" s="4" t="s">
        <v>3561</v>
      </c>
      <c r="AB767" s="4" t="str">
        <f t="shared" si="127"/>
        <v/>
      </c>
      <c r="AC767" s="4" t="str">
        <f t="shared" si="128"/>
        <v>Unknown</v>
      </c>
      <c r="AD767" s="4" t="s">
        <v>457</v>
      </c>
      <c r="AF767" s="4">
        <v>10</v>
      </c>
      <c r="AG767" s="4">
        <f t="shared" si="129"/>
        <v>10</v>
      </c>
      <c r="AK767" s="4" t="s">
        <v>3573</v>
      </c>
      <c r="AL767" s="4" t="str">
        <f t="shared" si="130"/>
        <v>Found</v>
      </c>
      <c r="AN767" s="6">
        <v>20.574999999999999</v>
      </c>
      <c r="AO767" s="4" t="str">
        <f t="shared" si="131"/>
        <v>Mid</v>
      </c>
    </row>
    <row r="768" spans="1:41">
      <c r="A768">
        <v>3</v>
      </c>
      <c r="B768" t="str">
        <f t="shared" si="121"/>
        <v>Third Class</v>
      </c>
      <c r="C768">
        <v>0</v>
      </c>
      <c r="E768" t="str">
        <f t="shared" si="122"/>
        <v>Died</v>
      </c>
      <c r="F768" t="s">
        <v>1708</v>
      </c>
      <c r="G768" t="s">
        <v>848</v>
      </c>
      <c r="H768" t="s">
        <v>1709</v>
      </c>
      <c r="I768" t="str">
        <f t="shared" si="123"/>
        <v>Mr. Delalic Redjo</v>
      </c>
      <c r="J768" t="s">
        <v>20</v>
      </c>
      <c r="K768" t="str">
        <f t="shared" si="124"/>
        <v>Male</v>
      </c>
      <c r="L768">
        <v>25</v>
      </c>
      <c r="O768">
        <f t="shared" si="125"/>
        <v>25</v>
      </c>
      <c r="P768">
        <v>0</v>
      </c>
      <c r="R768" s="4">
        <v>0</v>
      </c>
      <c r="T768" s="5">
        <v>7.8958000000000004</v>
      </c>
      <c r="W768" s="4">
        <v>25</v>
      </c>
      <c r="X768" s="4" t="str">
        <f t="shared" si="126"/>
        <v>Young Adult</v>
      </c>
      <c r="Y768" s="4" t="s">
        <v>3561</v>
      </c>
      <c r="AB768" s="4" t="str">
        <f t="shared" si="127"/>
        <v/>
      </c>
      <c r="AC768" s="4" t="str">
        <f t="shared" si="128"/>
        <v>Unknown</v>
      </c>
      <c r="AD768" s="4" t="s">
        <v>457</v>
      </c>
      <c r="AG768" s="4" t="str">
        <f t="shared" si="129"/>
        <v>Not Applicable</v>
      </c>
      <c r="AK768" s="4" t="s">
        <v>3573</v>
      </c>
      <c r="AL768" s="4" t="str">
        <f t="shared" si="130"/>
        <v>Found</v>
      </c>
      <c r="AN768" s="6">
        <v>7.8958000000000004</v>
      </c>
      <c r="AO768" s="4" t="str">
        <f t="shared" si="131"/>
        <v>Low</v>
      </c>
    </row>
    <row r="769" spans="1:41">
      <c r="A769">
        <v>3</v>
      </c>
      <c r="B769" t="str">
        <f t="shared" si="121"/>
        <v>Third Class</v>
      </c>
      <c r="C769">
        <v>0</v>
      </c>
      <c r="E769" t="str">
        <f t="shared" si="122"/>
        <v>Died</v>
      </c>
      <c r="F769" t="s">
        <v>1710</v>
      </c>
      <c r="G769" t="s">
        <v>848</v>
      </c>
      <c r="H769" t="s">
        <v>1711</v>
      </c>
      <c r="I769" t="str">
        <f t="shared" si="123"/>
        <v>Mr. Demetri Marinko</v>
      </c>
      <c r="J769" t="s">
        <v>20</v>
      </c>
      <c r="K769" t="str">
        <f t="shared" si="124"/>
        <v>Male</v>
      </c>
      <c r="L769">
        <v>28</v>
      </c>
      <c r="O769">
        <f t="shared" si="125"/>
        <v>28</v>
      </c>
      <c r="P769">
        <v>0</v>
      </c>
      <c r="R769" s="4">
        <v>0</v>
      </c>
      <c r="T769" s="5">
        <v>7.8958000000000004</v>
      </c>
      <c r="W769" s="4">
        <v>28</v>
      </c>
      <c r="X769" s="4" t="str">
        <f t="shared" si="126"/>
        <v>Young Adult</v>
      </c>
      <c r="Y769" s="4" t="s">
        <v>3561</v>
      </c>
      <c r="AB769" s="4" t="str">
        <f t="shared" si="127"/>
        <v/>
      </c>
      <c r="AC769" s="4" t="str">
        <f t="shared" si="128"/>
        <v>Unknown</v>
      </c>
      <c r="AD769" s="4" t="s">
        <v>457</v>
      </c>
      <c r="AG769" s="4" t="str">
        <f t="shared" si="129"/>
        <v>Not Applicable</v>
      </c>
      <c r="AK769" s="4" t="s">
        <v>3573</v>
      </c>
      <c r="AL769" s="4" t="str">
        <f t="shared" si="130"/>
        <v>Found</v>
      </c>
      <c r="AN769" s="6">
        <v>7.8958000000000004</v>
      </c>
      <c r="AO769" s="4" t="str">
        <f t="shared" si="131"/>
        <v>Low</v>
      </c>
    </row>
    <row r="770" spans="1:41">
      <c r="A770">
        <v>3</v>
      </c>
      <c r="B770" t="str">
        <f t="shared" si="121"/>
        <v>Third Class</v>
      </c>
      <c r="C770">
        <v>0</v>
      </c>
      <c r="E770" t="str">
        <f t="shared" si="122"/>
        <v>Died</v>
      </c>
      <c r="F770" t="s">
        <v>1712</v>
      </c>
      <c r="G770" t="s">
        <v>848</v>
      </c>
      <c r="H770" t="s">
        <v>1713</v>
      </c>
      <c r="I770" t="str">
        <f t="shared" si="123"/>
        <v>Mr. Denkoff Mitto</v>
      </c>
      <c r="J770" t="s">
        <v>20</v>
      </c>
      <c r="K770" t="str">
        <f t="shared" si="124"/>
        <v>Male</v>
      </c>
      <c r="L770">
        <v>28</v>
      </c>
      <c r="O770">
        <f t="shared" si="125"/>
        <v>28</v>
      </c>
      <c r="P770">
        <v>0</v>
      </c>
      <c r="R770" s="4">
        <v>0</v>
      </c>
      <c r="T770" s="5">
        <v>7.8958000000000004</v>
      </c>
      <c r="W770" s="4">
        <v>28</v>
      </c>
      <c r="X770" s="4" t="str">
        <f t="shared" si="126"/>
        <v>Young Adult</v>
      </c>
      <c r="Y770" s="4" t="s">
        <v>3561</v>
      </c>
      <c r="AB770" s="4" t="str">
        <f t="shared" si="127"/>
        <v/>
      </c>
      <c r="AC770" s="4" t="str">
        <f t="shared" si="128"/>
        <v>Unknown</v>
      </c>
      <c r="AD770" s="4" t="s">
        <v>457</v>
      </c>
      <c r="AG770" s="4" t="str">
        <f t="shared" si="129"/>
        <v>Not Applicable</v>
      </c>
      <c r="AK770" s="4" t="s">
        <v>3573</v>
      </c>
      <c r="AL770" s="4" t="str">
        <f t="shared" si="130"/>
        <v>Found</v>
      </c>
      <c r="AN770" s="6">
        <v>7.8958000000000004</v>
      </c>
      <c r="AO770" s="4" t="str">
        <f t="shared" si="131"/>
        <v>Low</v>
      </c>
    </row>
    <row r="771" spans="1:41">
      <c r="A771">
        <v>3</v>
      </c>
      <c r="B771" t="str">
        <f t="shared" ref="B771:B834" si="132">IF(A771=1,"First Class",IF(A771=2,"Second Class",IF(A771=3,"Third Class"," ")))</f>
        <v>Third Class</v>
      </c>
      <c r="C771">
        <v>0</v>
      </c>
      <c r="E771" t="str">
        <f t="shared" ref="E771:E834" si="133">IF(C771=1,"Survived",IF(C771=0,"Died"))</f>
        <v>Died</v>
      </c>
      <c r="F771" t="s">
        <v>1714</v>
      </c>
      <c r="G771" t="s">
        <v>848</v>
      </c>
      <c r="H771" t="s">
        <v>1046</v>
      </c>
      <c r="I771" t="str">
        <f t="shared" ref="I771:I834" si="134">_xlfn.CONCAT(G771," ",F771," ",H771)</f>
        <v>Mr. Dennis Samuel</v>
      </c>
      <c r="J771" t="s">
        <v>20</v>
      </c>
      <c r="K771" t="str">
        <f t="shared" ref="K771:K834" si="135">PROPER(J771)</f>
        <v>Male</v>
      </c>
      <c r="L771">
        <v>22</v>
      </c>
      <c r="O771">
        <f t="shared" ref="O771:O834" si="136">IF(L771&lt;1,1,ROUND(L771,0))</f>
        <v>22</v>
      </c>
      <c r="P771">
        <v>0</v>
      </c>
      <c r="R771" s="4">
        <v>0</v>
      </c>
      <c r="T771" s="5">
        <v>7.25</v>
      </c>
      <c r="W771" s="4">
        <v>22</v>
      </c>
      <c r="X771" s="4" t="str">
        <f t="shared" ref="X771:X834" si="137">IF(W771&lt;10,"Child",IF(W771&lt;18,"Teenager",IF(W771&lt;30,"Young Adult",IF(W771&lt;60,"Adult","Old Adult"))))</f>
        <v>Young Adult</v>
      </c>
      <c r="Y771" s="4" t="s">
        <v>3561</v>
      </c>
      <c r="AB771" s="4" t="str">
        <f t="shared" ref="AB771:AB834" si="138">LEFT(AA771,1)</f>
        <v/>
      </c>
      <c r="AC771" s="4" t="str">
        <f t="shared" ref="AC771:AC834" si="139">IF(AB771="","Unknown",LEFT(AB771,1))</f>
        <v>Unknown</v>
      </c>
      <c r="AD771" s="4" t="s">
        <v>457</v>
      </c>
      <c r="AG771" s="4" t="str">
        <f t="shared" ref="AG771:AG834" si="140">IF(AF771="",IF(E771=1,"Unknown","Not Applicable"),AF771)</f>
        <v>Not Applicable</v>
      </c>
      <c r="AK771" s="4" t="s">
        <v>3573</v>
      </c>
      <c r="AL771" s="4" t="str">
        <f t="shared" ref="AL771:AL834" si="141">IF(AK771="","Not Found","Found")</f>
        <v>Found</v>
      </c>
      <c r="AN771" s="6">
        <v>7.25</v>
      </c>
      <c r="AO771" s="4" t="str">
        <f t="shared" ref="AO771:AO834" si="142">IF(AN771&lt;=10,"Low",IF(AN771&lt;=50,"Mid","High"))</f>
        <v>Low</v>
      </c>
    </row>
    <row r="772" spans="1:41">
      <c r="A772">
        <v>3</v>
      </c>
      <c r="B772" t="str">
        <f t="shared" si="132"/>
        <v>Third Class</v>
      </c>
      <c r="C772">
        <v>0</v>
      </c>
      <c r="E772" t="str">
        <f t="shared" si="133"/>
        <v>Died</v>
      </c>
      <c r="F772" t="s">
        <v>1714</v>
      </c>
      <c r="G772" t="s">
        <v>848</v>
      </c>
      <c r="H772" t="s">
        <v>924</v>
      </c>
      <c r="I772" t="str">
        <f t="shared" si="134"/>
        <v>Mr. Dennis William</v>
      </c>
      <c r="J772" t="s">
        <v>20</v>
      </c>
      <c r="K772" t="str">
        <f t="shared" si="135"/>
        <v>Male</v>
      </c>
      <c r="L772">
        <v>36</v>
      </c>
      <c r="O772">
        <f t="shared" si="136"/>
        <v>36</v>
      </c>
      <c r="P772">
        <v>0</v>
      </c>
      <c r="R772" s="4">
        <v>0</v>
      </c>
      <c r="T772" s="5">
        <v>7.25</v>
      </c>
      <c r="W772" s="4">
        <v>36</v>
      </c>
      <c r="X772" s="4" t="str">
        <f t="shared" si="137"/>
        <v>Adult</v>
      </c>
      <c r="Y772" s="4" t="s">
        <v>3561</v>
      </c>
      <c r="AB772" s="4" t="str">
        <f t="shared" si="138"/>
        <v/>
      </c>
      <c r="AC772" s="4" t="str">
        <f t="shared" si="139"/>
        <v>Unknown</v>
      </c>
      <c r="AD772" s="4" t="s">
        <v>457</v>
      </c>
      <c r="AG772" s="4" t="str">
        <f t="shared" si="140"/>
        <v>Not Applicable</v>
      </c>
      <c r="AK772" s="4" t="s">
        <v>3573</v>
      </c>
      <c r="AL772" s="4" t="str">
        <f t="shared" si="141"/>
        <v>Found</v>
      </c>
      <c r="AN772" s="6">
        <v>7.25</v>
      </c>
      <c r="AO772" s="4" t="str">
        <f t="shared" si="142"/>
        <v>Low</v>
      </c>
    </row>
    <row r="773" spans="1:41">
      <c r="A773">
        <v>3</v>
      </c>
      <c r="B773" t="str">
        <f t="shared" si="132"/>
        <v>Third Class</v>
      </c>
      <c r="C773">
        <v>1</v>
      </c>
      <c r="E773" t="str">
        <f t="shared" si="133"/>
        <v>Survived</v>
      </c>
      <c r="F773" t="s">
        <v>1715</v>
      </c>
      <c r="G773" t="s">
        <v>842</v>
      </c>
      <c r="H773" t="s">
        <v>927</v>
      </c>
      <c r="I773" t="str">
        <f t="shared" si="134"/>
        <v>Miss. Devaney Margaret</v>
      </c>
      <c r="J773" t="s">
        <v>47</v>
      </c>
      <c r="K773" t="str">
        <f t="shared" si="135"/>
        <v>Female</v>
      </c>
      <c r="L773">
        <v>19</v>
      </c>
      <c r="O773">
        <f t="shared" si="136"/>
        <v>19</v>
      </c>
      <c r="P773">
        <v>0</v>
      </c>
      <c r="R773" s="4">
        <v>0</v>
      </c>
      <c r="T773" s="5">
        <v>7.8792</v>
      </c>
      <c r="W773" s="4">
        <v>19</v>
      </c>
      <c r="X773" s="4" t="str">
        <f t="shared" si="137"/>
        <v>Young Adult</v>
      </c>
      <c r="Y773" s="4" t="s">
        <v>3561</v>
      </c>
      <c r="AB773" s="4" t="str">
        <f t="shared" si="138"/>
        <v/>
      </c>
      <c r="AC773" s="4" t="str">
        <f t="shared" si="139"/>
        <v>Unknown</v>
      </c>
      <c r="AD773" s="4" t="s">
        <v>3567</v>
      </c>
      <c r="AF773" s="4" t="s">
        <v>62</v>
      </c>
      <c r="AG773" s="4" t="str">
        <f t="shared" si="140"/>
        <v>C</v>
      </c>
      <c r="AK773" s="4" t="s">
        <v>3573</v>
      </c>
      <c r="AL773" s="4" t="str">
        <f t="shared" si="141"/>
        <v>Found</v>
      </c>
      <c r="AN773" s="6">
        <v>7.8792</v>
      </c>
      <c r="AO773" s="4" t="str">
        <f t="shared" si="142"/>
        <v>Low</v>
      </c>
    </row>
    <row r="774" spans="1:41">
      <c r="A774">
        <v>3</v>
      </c>
      <c r="B774" t="str">
        <f t="shared" si="132"/>
        <v>Third Class</v>
      </c>
      <c r="C774">
        <v>0</v>
      </c>
      <c r="E774" t="str">
        <f t="shared" si="133"/>
        <v>Died</v>
      </c>
      <c r="F774" t="s">
        <v>1716</v>
      </c>
      <c r="G774" t="s">
        <v>848</v>
      </c>
      <c r="H774" t="s">
        <v>1717</v>
      </c>
      <c r="I774" t="str">
        <f t="shared" si="134"/>
        <v>Mr. Dika Mirko</v>
      </c>
      <c r="J774" t="s">
        <v>20</v>
      </c>
      <c r="K774" t="str">
        <f t="shared" si="135"/>
        <v>Male</v>
      </c>
      <c r="L774">
        <v>17</v>
      </c>
      <c r="O774">
        <f t="shared" si="136"/>
        <v>17</v>
      </c>
      <c r="P774">
        <v>0</v>
      </c>
      <c r="R774" s="4">
        <v>0</v>
      </c>
      <c r="T774" s="5">
        <v>7.8958000000000004</v>
      </c>
      <c r="W774" s="4">
        <v>17</v>
      </c>
      <c r="X774" s="4" t="str">
        <f t="shared" si="137"/>
        <v>Teenager</v>
      </c>
      <c r="Y774" s="4" t="s">
        <v>3561</v>
      </c>
      <c r="AB774" s="4" t="str">
        <f t="shared" si="138"/>
        <v/>
      </c>
      <c r="AC774" s="4" t="str">
        <f t="shared" si="139"/>
        <v>Unknown</v>
      </c>
      <c r="AD774" s="4" t="s">
        <v>457</v>
      </c>
      <c r="AG774" s="4" t="str">
        <f t="shared" si="140"/>
        <v>Not Applicable</v>
      </c>
      <c r="AK774" s="4" t="s">
        <v>3573</v>
      </c>
      <c r="AL774" s="4" t="str">
        <f t="shared" si="141"/>
        <v>Found</v>
      </c>
      <c r="AN774" s="6">
        <v>7.8958000000000004</v>
      </c>
      <c r="AO774" s="4" t="str">
        <f t="shared" si="142"/>
        <v>Low</v>
      </c>
    </row>
    <row r="775" spans="1:41">
      <c r="A775">
        <v>3</v>
      </c>
      <c r="B775" t="str">
        <f t="shared" si="132"/>
        <v>Third Class</v>
      </c>
      <c r="C775">
        <v>0</v>
      </c>
      <c r="E775" t="str">
        <f t="shared" si="133"/>
        <v>Died</v>
      </c>
      <c r="F775" t="s">
        <v>1718</v>
      </c>
      <c r="G775" t="s">
        <v>848</v>
      </c>
      <c r="H775" t="s">
        <v>1719</v>
      </c>
      <c r="I775" t="str">
        <f t="shared" si="134"/>
        <v>Mr. Dimic Jovan</v>
      </c>
      <c r="J775" t="s">
        <v>20</v>
      </c>
      <c r="K775" t="str">
        <f t="shared" si="135"/>
        <v>Male</v>
      </c>
      <c r="L775">
        <v>42</v>
      </c>
      <c r="O775">
        <f t="shared" si="136"/>
        <v>42</v>
      </c>
      <c r="P775">
        <v>0</v>
      </c>
      <c r="R775" s="4">
        <v>0</v>
      </c>
      <c r="T775" s="5">
        <v>8.6624999999999996</v>
      </c>
      <c r="W775" s="4">
        <v>42</v>
      </c>
      <c r="X775" s="4" t="str">
        <f t="shared" si="137"/>
        <v>Adult</v>
      </c>
      <c r="Y775" s="4" t="s">
        <v>3561</v>
      </c>
      <c r="AB775" s="4" t="str">
        <f t="shared" si="138"/>
        <v/>
      </c>
      <c r="AC775" s="4" t="str">
        <f t="shared" si="139"/>
        <v>Unknown</v>
      </c>
      <c r="AD775" s="4" t="s">
        <v>457</v>
      </c>
      <c r="AG775" s="4" t="str">
        <f t="shared" si="140"/>
        <v>Not Applicable</v>
      </c>
      <c r="AK775" s="4" t="s">
        <v>3573</v>
      </c>
      <c r="AL775" s="4" t="str">
        <f t="shared" si="141"/>
        <v>Found</v>
      </c>
      <c r="AN775" s="6">
        <v>8.6624999999999996</v>
      </c>
      <c r="AO775" s="4" t="str">
        <f t="shared" si="142"/>
        <v>Low</v>
      </c>
    </row>
    <row r="776" spans="1:41">
      <c r="A776">
        <v>3</v>
      </c>
      <c r="B776" t="str">
        <f t="shared" si="132"/>
        <v>Third Class</v>
      </c>
      <c r="C776">
        <v>0</v>
      </c>
      <c r="E776" t="str">
        <f t="shared" si="133"/>
        <v>Died</v>
      </c>
      <c r="F776" t="s">
        <v>1720</v>
      </c>
      <c r="G776" t="s">
        <v>848</v>
      </c>
      <c r="H776" t="s">
        <v>1721</v>
      </c>
      <c r="I776" t="str">
        <f t="shared" si="134"/>
        <v>Mr. Dintcheff Valtcho</v>
      </c>
      <c r="J776" t="s">
        <v>20</v>
      </c>
      <c r="K776" t="str">
        <f t="shared" si="135"/>
        <v>Male</v>
      </c>
      <c r="L776">
        <v>43</v>
      </c>
      <c r="O776">
        <f t="shared" si="136"/>
        <v>43</v>
      </c>
      <c r="P776">
        <v>0</v>
      </c>
      <c r="R776" s="4">
        <v>0</v>
      </c>
      <c r="T776" s="5">
        <v>7.8958000000000004</v>
      </c>
      <c r="W776" s="4">
        <v>43</v>
      </c>
      <c r="X776" s="4" t="str">
        <f t="shared" si="137"/>
        <v>Adult</v>
      </c>
      <c r="Y776" s="4" t="s">
        <v>3561</v>
      </c>
      <c r="AB776" s="4" t="str">
        <f t="shared" si="138"/>
        <v/>
      </c>
      <c r="AC776" s="4" t="str">
        <f t="shared" si="139"/>
        <v>Unknown</v>
      </c>
      <c r="AD776" s="4" t="s">
        <v>457</v>
      </c>
      <c r="AG776" s="4" t="str">
        <f t="shared" si="140"/>
        <v>Not Applicable</v>
      </c>
      <c r="AK776" s="4" t="s">
        <v>3573</v>
      </c>
      <c r="AL776" s="4" t="str">
        <f t="shared" si="141"/>
        <v>Found</v>
      </c>
      <c r="AN776" s="6">
        <v>7.8958000000000004</v>
      </c>
      <c r="AO776" s="4" t="str">
        <f t="shared" si="142"/>
        <v>Low</v>
      </c>
    </row>
    <row r="777" spans="1:41">
      <c r="A777">
        <v>3</v>
      </c>
      <c r="B777" t="str">
        <f t="shared" si="132"/>
        <v>Third Class</v>
      </c>
      <c r="C777">
        <v>0</v>
      </c>
      <c r="E777" t="str">
        <f t="shared" si="133"/>
        <v>Died</v>
      </c>
      <c r="F777" t="s">
        <v>1722</v>
      </c>
      <c r="G777" t="s">
        <v>848</v>
      </c>
      <c r="H777" t="s">
        <v>1618</v>
      </c>
      <c r="I777" t="str">
        <f t="shared" si="134"/>
        <v>Mr. Doharr Tannous</v>
      </c>
      <c r="J777" t="s">
        <v>20</v>
      </c>
      <c r="K777" t="str">
        <f t="shared" si="135"/>
        <v>Male</v>
      </c>
      <c r="L777">
        <v>28</v>
      </c>
      <c r="O777">
        <f t="shared" si="136"/>
        <v>28</v>
      </c>
      <c r="P777">
        <v>0</v>
      </c>
      <c r="R777" s="4">
        <v>0</v>
      </c>
      <c r="T777" s="5">
        <v>7.2291999999999996</v>
      </c>
      <c r="W777" s="4">
        <v>28</v>
      </c>
      <c r="X777" s="4" t="str">
        <f t="shared" si="137"/>
        <v>Young Adult</v>
      </c>
      <c r="Y777" s="4" t="s">
        <v>3561</v>
      </c>
      <c r="AB777" s="4" t="str">
        <f t="shared" si="138"/>
        <v/>
      </c>
      <c r="AC777" s="4" t="str">
        <f t="shared" si="139"/>
        <v>Unknown</v>
      </c>
      <c r="AD777" s="4" t="s">
        <v>3566</v>
      </c>
      <c r="AG777" s="4" t="str">
        <f t="shared" si="140"/>
        <v>Not Applicable</v>
      </c>
      <c r="AK777" s="4" t="s">
        <v>3573</v>
      </c>
      <c r="AL777" s="4" t="str">
        <f t="shared" si="141"/>
        <v>Found</v>
      </c>
      <c r="AN777" s="6">
        <v>7.2291999999999996</v>
      </c>
      <c r="AO777" s="4" t="str">
        <f t="shared" si="142"/>
        <v>Low</v>
      </c>
    </row>
    <row r="778" spans="1:41">
      <c r="A778">
        <v>3</v>
      </c>
      <c r="B778" t="str">
        <f t="shared" si="132"/>
        <v>Third Class</v>
      </c>
      <c r="C778">
        <v>0</v>
      </c>
      <c r="E778" t="str">
        <f t="shared" si="133"/>
        <v>Died</v>
      </c>
      <c r="F778" t="s">
        <v>1723</v>
      </c>
      <c r="G778" t="s">
        <v>848</v>
      </c>
      <c r="H778" t="s">
        <v>1649</v>
      </c>
      <c r="I778" t="str">
        <f t="shared" si="134"/>
        <v>Mr. Dooley Patrick</v>
      </c>
      <c r="J778" t="s">
        <v>20</v>
      </c>
      <c r="K778" t="str">
        <f t="shared" si="135"/>
        <v>Male</v>
      </c>
      <c r="L778">
        <v>32</v>
      </c>
      <c r="O778">
        <f t="shared" si="136"/>
        <v>32</v>
      </c>
      <c r="P778">
        <v>0</v>
      </c>
      <c r="R778" s="4">
        <v>0</v>
      </c>
      <c r="T778" s="5">
        <v>7.75</v>
      </c>
      <c r="W778" s="4">
        <v>32</v>
      </c>
      <c r="X778" s="4" t="str">
        <f t="shared" si="137"/>
        <v>Adult</v>
      </c>
      <c r="Y778" s="4" t="s">
        <v>3561</v>
      </c>
      <c r="AB778" s="4" t="str">
        <f t="shared" si="138"/>
        <v/>
      </c>
      <c r="AC778" s="4" t="str">
        <f t="shared" si="139"/>
        <v>Unknown</v>
      </c>
      <c r="AD778" s="4" t="s">
        <v>3567</v>
      </c>
      <c r="AG778" s="4" t="str">
        <f t="shared" si="140"/>
        <v>Not Applicable</v>
      </c>
      <c r="AK778" s="4" t="s">
        <v>3573</v>
      </c>
      <c r="AL778" s="4" t="str">
        <f t="shared" si="141"/>
        <v>Found</v>
      </c>
      <c r="AN778" s="6">
        <v>7.75</v>
      </c>
      <c r="AO778" s="4" t="str">
        <f t="shared" si="142"/>
        <v>Low</v>
      </c>
    </row>
    <row r="779" spans="1:41">
      <c r="A779">
        <v>3</v>
      </c>
      <c r="B779" t="str">
        <f t="shared" si="132"/>
        <v>Third Class</v>
      </c>
      <c r="C779">
        <v>1</v>
      </c>
      <c r="E779" t="str">
        <f t="shared" si="133"/>
        <v>Survived</v>
      </c>
      <c r="F779" t="s">
        <v>1724</v>
      </c>
      <c r="G779" t="s">
        <v>848</v>
      </c>
      <c r="H779" t="s">
        <v>857</v>
      </c>
      <c r="I779" t="str">
        <f t="shared" si="134"/>
        <v>Mr. Dorking Edward</v>
      </c>
      <c r="J779" t="s">
        <v>20</v>
      </c>
      <c r="K779" t="str">
        <f t="shared" si="135"/>
        <v>Male</v>
      </c>
      <c r="L779">
        <v>19</v>
      </c>
      <c r="O779">
        <f t="shared" si="136"/>
        <v>19</v>
      </c>
      <c r="P779">
        <v>0</v>
      </c>
      <c r="R779" s="4">
        <v>0</v>
      </c>
      <c r="T779" s="5">
        <v>8.0500000000000007</v>
      </c>
      <c r="W779" s="4">
        <v>19</v>
      </c>
      <c r="X779" s="4" t="str">
        <f t="shared" si="137"/>
        <v>Young Adult</v>
      </c>
      <c r="Y779" s="4" t="s">
        <v>3561</v>
      </c>
      <c r="AB779" s="4" t="str">
        <f t="shared" si="138"/>
        <v/>
      </c>
      <c r="AC779" s="4" t="str">
        <f t="shared" si="139"/>
        <v>Unknown</v>
      </c>
      <c r="AD779" s="4" t="s">
        <v>457</v>
      </c>
      <c r="AF779" s="4" t="s">
        <v>70</v>
      </c>
      <c r="AG779" s="4" t="str">
        <f t="shared" si="140"/>
        <v>B</v>
      </c>
      <c r="AK779" s="4" t="s">
        <v>3573</v>
      </c>
      <c r="AL779" s="4" t="str">
        <f t="shared" si="141"/>
        <v>Found</v>
      </c>
      <c r="AN779" s="6">
        <v>8.0500000000000007</v>
      </c>
      <c r="AO779" s="4" t="str">
        <f t="shared" si="142"/>
        <v>Low</v>
      </c>
    </row>
    <row r="780" spans="1:41">
      <c r="A780">
        <v>3</v>
      </c>
      <c r="B780" t="str">
        <f t="shared" si="132"/>
        <v>Third Class</v>
      </c>
      <c r="C780">
        <v>1</v>
      </c>
      <c r="E780" t="str">
        <f t="shared" si="133"/>
        <v>Survived</v>
      </c>
      <c r="F780" t="s">
        <v>1725</v>
      </c>
      <c r="G780" t="s">
        <v>842</v>
      </c>
      <c r="H780" t="s">
        <v>904</v>
      </c>
      <c r="I780" t="str">
        <f t="shared" si="134"/>
        <v>Miss. Dowdell Elizabeth</v>
      </c>
      <c r="J780" t="s">
        <v>47</v>
      </c>
      <c r="K780" t="str">
        <f t="shared" si="135"/>
        <v>Female</v>
      </c>
      <c r="L780">
        <v>30</v>
      </c>
      <c r="O780">
        <f t="shared" si="136"/>
        <v>30</v>
      </c>
      <c r="P780">
        <v>0</v>
      </c>
      <c r="R780" s="4">
        <v>0</v>
      </c>
      <c r="T780" s="5">
        <v>12.475</v>
      </c>
      <c r="W780" s="4">
        <v>30</v>
      </c>
      <c r="X780" s="4" t="str">
        <f t="shared" si="137"/>
        <v>Adult</v>
      </c>
      <c r="Y780" s="4" t="s">
        <v>3561</v>
      </c>
      <c r="AB780" s="4" t="str">
        <f t="shared" si="138"/>
        <v/>
      </c>
      <c r="AC780" s="4" t="str">
        <f t="shared" si="139"/>
        <v>Unknown</v>
      </c>
      <c r="AD780" s="4" t="s">
        <v>457</v>
      </c>
      <c r="AF780" s="4">
        <v>13</v>
      </c>
      <c r="AG780" s="4">
        <f t="shared" si="140"/>
        <v>13</v>
      </c>
      <c r="AK780" s="4" t="s">
        <v>3573</v>
      </c>
      <c r="AL780" s="4" t="str">
        <f t="shared" si="141"/>
        <v>Found</v>
      </c>
      <c r="AN780" s="6">
        <v>12.475</v>
      </c>
      <c r="AO780" s="4" t="str">
        <f t="shared" si="142"/>
        <v>Mid</v>
      </c>
    </row>
    <row r="781" spans="1:41">
      <c r="A781">
        <v>3</v>
      </c>
      <c r="B781" t="str">
        <f t="shared" si="132"/>
        <v>Third Class</v>
      </c>
      <c r="C781">
        <v>0</v>
      </c>
      <c r="E781" t="str">
        <f t="shared" si="133"/>
        <v>Died</v>
      </c>
      <c r="F781" t="s">
        <v>1726</v>
      </c>
      <c r="G781" t="s">
        <v>842</v>
      </c>
      <c r="H781" t="s">
        <v>904</v>
      </c>
      <c r="I781" t="str">
        <f t="shared" si="134"/>
        <v>Miss. Doyle Elizabeth</v>
      </c>
      <c r="J781" t="s">
        <v>47</v>
      </c>
      <c r="K781" t="str">
        <f t="shared" si="135"/>
        <v>Female</v>
      </c>
      <c r="L781">
        <v>24</v>
      </c>
      <c r="O781">
        <f t="shared" si="136"/>
        <v>24</v>
      </c>
      <c r="P781">
        <v>0</v>
      </c>
      <c r="R781" s="4">
        <v>0</v>
      </c>
      <c r="T781" s="5">
        <v>7.75</v>
      </c>
      <c r="W781" s="4">
        <v>24</v>
      </c>
      <c r="X781" s="4" t="str">
        <f t="shared" si="137"/>
        <v>Young Adult</v>
      </c>
      <c r="Y781" s="4" t="s">
        <v>3561</v>
      </c>
      <c r="AB781" s="4" t="str">
        <f t="shared" si="138"/>
        <v/>
      </c>
      <c r="AC781" s="4" t="str">
        <f t="shared" si="139"/>
        <v>Unknown</v>
      </c>
      <c r="AD781" s="4" t="s">
        <v>3567</v>
      </c>
      <c r="AG781" s="4" t="str">
        <f t="shared" si="140"/>
        <v>Not Applicable</v>
      </c>
      <c r="AK781" s="4" t="s">
        <v>3573</v>
      </c>
      <c r="AL781" s="4" t="str">
        <f t="shared" si="141"/>
        <v>Found</v>
      </c>
      <c r="AN781" s="6">
        <v>7.75</v>
      </c>
      <c r="AO781" s="4" t="str">
        <f t="shared" si="142"/>
        <v>Low</v>
      </c>
    </row>
    <row r="782" spans="1:41">
      <c r="A782">
        <v>3</v>
      </c>
      <c r="B782" t="str">
        <f t="shared" si="132"/>
        <v>Third Class</v>
      </c>
      <c r="C782">
        <v>1</v>
      </c>
      <c r="E782" t="str">
        <f t="shared" si="133"/>
        <v>Survived</v>
      </c>
      <c r="F782" t="s">
        <v>1727</v>
      </c>
      <c r="G782" t="s">
        <v>842</v>
      </c>
      <c r="H782" t="s">
        <v>1728</v>
      </c>
      <c r="I782" t="str">
        <f t="shared" si="134"/>
        <v>Miss. Drapkin Jennie</v>
      </c>
      <c r="J782" t="s">
        <v>47</v>
      </c>
      <c r="K782" t="str">
        <f t="shared" si="135"/>
        <v>Female</v>
      </c>
      <c r="L782">
        <v>23</v>
      </c>
      <c r="O782">
        <f t="shared" si="136"/>
        <v>23</v>
      </c>
      <c r="P782">
        <v>0</v>
      </c>
      <c r="R782" s="4">
        <v>0</v>
      </c>
      <c r="T782" s="5">
        <v>8.0500000000000007</v>
      </c>
      <c r="W782" s="4">
        <v>23</v>
      </c>
      <c r="X782" s="4" t="str">
        <f t="shared" si="137"/>
        <v>Young Adult</v>
      </c>
      <c r="Y782" s="4" t="s">
        <v>3561</v>
      </c>
      <c r="AB782" s="4" t="str">
        <f t="shared" si="138"/>
        <v/>
      </c>
      <c r="AC782" s="4" t="str">
        <f t="shared" si="139"/>
        <v>Unknown</v>
      </c>
      <c r="AD782" s="4" t="s">
        <v>457</v>
      </c>
      <c r="AG782" s="4" t="str">
        <f t="shared" si="140"/>
        <v>Not Applicable</v>
      </c>
      <c r="AK782" s="4" t="s">
        <v>3573</v>
      </c>
      <c r="AL782" s="4" t="str">
        <f t="shared" si="141"/>
        <v>Found</v>
      </c>
      <c r="AN782" s="6">
        <v>8.0500000000000007</v>
      </c>
      <c r="AO782" s="4" t="str">
        <f t="shared" si="142"/>
        <v>Low</v>
      </c>
    </row>
    <row r="783" spans="1:41">
      <c r="A783">
        <v>3</v>
      </c>
      <c r="B783" t="str">
        <f t="shared" si="132"/>
        <v>Third Class</v>
      </c>
      <c r="C783">
        <v>0</v>
      </c>
      <c r="E783" t="str">
        <f t="shared" si="133"/>
        <v>Died</v>
      </c>
      <c r="F783" t="s">
        <v>1729</v>
      </c>
      <c r="G783" t="s">
        <v>848</v>
      </c>
      <c r="H783" t="s">
        <v>1730</v>
      </c>
      <c r="I783" t="str">
        <f t="shared" si="134"/>
        <v>Mr. Drazenoic Jozef</v>
      </c>
      <c r="J783" t="s">
        <v>20</v>
      </c>
      <c r="K783" t="str">
        <f t="shared" si="135"/>
        <v>Male</v>
      </c>
      <c r="L783">
        <v>33</v>
      </c>
      <c r="O783">
        <f t="shared" si="136"/>
        <v>33</v>
      </c>
      <c r="P783">
        <v>0</v>
      </c>
      <c r="R783" s="4">
        <v>0</v>
      </c>
      <c r="T783" s="5">
        <v>7.8958000000000004</v>
      </c>
      <c r="W783" s="4">
        <v>33</v>
      </c>
      <c r="X783" s="4" t="str">
        <f t="shared" si="137"/>
        <v>Adult</v>
      </c>
      <c r="Y783" s="4" t="s">
        <v>3561</v>
      </c>
      <c r="AB783" s="4" t="str">
        <f t="shared" si="138"/>
        <v/>
      </c>
      <c r="AC783" s="4" t="str">
        <f t="shared" si="139"/>
        <v>Unknown</v>
      </c>
      <c r="AD783" s="4" t="s">
        <v>3566</v>
      </c>
      <c r="AG783" s="4" t="str">
        <f t="shared" si="140"/>
        <v>Not Applicable</v>
      </c>
      <c r="AH783" s="4">
        <v>51</v>
      </c>
      <c r="AK783" s="4">
        <v>51</v>
      </c>
      <c r="AL783" s="4" t="str">
        <f t="shared" si="141"/>
        <v>Found</v>
      </c>
      <c r="AN783" s="6">
        <v>7.8958000000000004</v>
      </c>
      <c r="AO783" s="4" t="str">
        <f t="shared" si="142"/>
        <v>Low</v>
      </c>
    </row>
    <row r="784" spans="1:41">
      <c r="A784">
        <v>3</v>
      </c>
      <c r="B784" t="str">
        <f t="shared" si="132"/>
        <v>Third Class</v>
      </c>
      <c r="C784">
        <v>0</v>
      </c>
      <c r="E784" t="str">
        <f t="shared" si="133"/>
        <v>Died</v>
      </c>
      <c r="F784" t="s">
        <v>1256</v>
      </c>
      <c r="G784" t="s">
        <v>848</v>
      </c>
      <c r="H784" t="s">
        <v>1249</v>
      </c>
      <c r="I784" t="str">
        <f t="shared" si="134"/>
        <v>Mr. Duane Frank</v>
      </c>
      <c r="J784" t="s">
        <v>20</v>
      </c>
      <c r="K784" t="str">
        <f t="shared" si="135"/>
        <v>Male</v>
      </c>
      <c r="L784">
        <v>65</v>
      </c>
      <c r="O784">
        <f t="shared" si="136"/>
        <v>65</v>
      </c>
      <c r="P784">
        <v>0</v>
      </c>
      <c r="R784" s="4">
        <v>0</v>
      </c>
      <c r="T784" s="5">
        <v>7.75</v>
      </c>
      <c r="W784" s="4">
        <v>65</v>
      </c>
      <c r="X784" s="4" t="str">
        <f t="shared" si="137"/>
        <v>Old Adult</v>
      </c>
      <c r="Y784" s="4" t="s">
        <v>3561</v>
      </c>
      <c r="AB784" s="4" t="str">
        <f t="shared" si="138"/>
        <v/>
      </c>
      <c r="AC784" s="4" t="str">
        <f t="shared" si="139"/>
        <v>Unknown</v>
      </c>
      <c r="AD784" s="4" t="s">
        <v>3567</v>
      </c>
      <c r="AG784" s="4" t="str">
        <f t="shared" si="140"/>
        <v>Not Applicable</v>
      </c>
      <c r="AK784" s="4" t="s">
        <v>3573</v>
      </c>
      <c r="AL784" s="4" t="str">
        <f t="shared" si="141"/>
        <v>Found</v>
      </c>
      <c r="AN784" s="6">
        <v>7.75</v>
      </c>
      <c r="AO784" s="4" t="str">
        <f t="shared" si="142"/>
        <v>Low</v>
      </c>
    </row>
    <row r="785" spans="1:41">
      <c r="A785">
        <v>3</v>
      </c>
      <c r="B785" t="str">
        <f t="shared" si="132"/>
        <v>Third Class</v>
      </c>
      <c r="C785">
        <v>1</v>
      </c>
      <c r="E785" t="str">
        <f t="shared" si="133"/>
        <v>Survived</v>
      </c>
      <c r="F785" t="s">
        <v>1731</v>
      </c>
      <c r="G785" t="s">
        <v>848</v>
      </c>
      <c r="H785" t="s">
        <v>921</v>
      </c>
      <c r="I785" t="str">
        <f t="shared" si="134"/>
        <v>Mr. Duquemin Joseph</v>
      </c>
      <c r="J785" t="s">
        <v>20</v>
      </c>
      <c r="K785" t="str">
        <f t="shared" si="135"/>
        <v>Male</v>
      </c>
      <c r="L785">
        <v>24</v>
      </c>
      <c r="O785">
        <f t="shared" si="136"/>
        <v>24</v>
      </c>
      <c r="P785">
        <v>0</v>
      </c>
      <c r="R785" s="4">
        <v>0</v>
      </c>
      <c r="T785" s="5">
        <v>7.55</v>
      </c>
      <c r="W785" s="4">
        <v>24</v>
      </c>
      <c r="X785" s="4" t="str">
        <f t="shared" si="137"/>
        <v>Young Adult</v>
      </c>
      <c r="Y785" s="4" t="s">
        <v>3561</v>
      </c>
      <c r="AB785" s="4" t="str">
        <f t="shared" si="138"/>
        <v/>
      </c>
      <c r="AC785" s="4" t="str">
        <f t="shared" si="139"/>
        <v>Unknown</v>
      </c>
      <c r="AD785" s="4" t="s">
        <v>457</v>
      </c>
      <c r="AF785" s="4" t="s">
        <v>59</v>
      </c>
      <c r="AG785" s="4" t="str">
        <f t="shared" si="140"/>
        <v>D</v>
      </c>
      <c r="AK785" s="4" t="s">
        <v>3573</v>
      </c>
      <c r="AL785" s="4" t="str">
        <f t="shared" si="141"/>
        <v>Found</v>
      </c>
      <c r="AN785" s="6">
        <v>7.55</v>
      </c>
      <c r="AO785" s="4" t="str">
        <f t="shared" si="142"/>
        <v>Low</v>
      </c>
    </row>
    <row r="786" spans="1:41">
      <c r="A786">
        <v>3</v>
      </c>
      <c r="B786" t="str">
        <f t="shared" si="132"/>
        <v>Third Class</v>
      </c>
      <c r="C786">
        <v>0</v>
      </c>
      <c r="E786" t="str">
        <f t="shared" si="133"/>
        <v>Died</v>
      </c>
      <c r="F786" t="s">
        <v>1732</v>
      </c>
      <c r="G786" t="s">
        <v>848</v>
      </c>
      <c r="H786" t="s">
        <v>1498</v>
      </c>
      <c r="I786" t="str">
        <f t="shared" si="134"/>
        <v>Mr. Dyker Adolf</v>
      </c>
      <c r="J786" t="s">
        <v>20</v>
      </c>
      <c r="K786" t="str">
        <f t="shared" si="135"/>
        <v>Male</v>
      </c>
      <c r="L786">
        <v>23</v>
      </c>
      <c r="O786">
        <f t="shared" si="136"/>
        <v>23</v>
      </c>
      <c r="P786">
        <v>1</v>
      </c>
      <c r="R786" s="4">
        <v>0</v>
      </c>
      <c r="T786" s="5">
        <v>13.9</v>
      </c>
      <c r="W786" s="4">
        <v>23</v>
      </c>
      <c r="X786" s="4" t="str">
        <f t="shared" si="137"/>
        <v>Young Adult</v>
      </c>
      <c r="Y786" s="4" t="s">
        <v>3561</v>
      </c>
      <c r="AB786" s="4" t="str">
        <f t="shared" si="138"/>
        <v/>
      </c>
      <c r="AC786" s="4" t="str">
        <f t="shared" si="139"/>
        <v>Unknown</v>
      </c>
      <c r="AD786" s="4" t="s">
        <v>457</v>
      </c>
      <c r="AG786" s="4" t="str">
        <f t="shared" si="140"/>
        <v>Not Applicable</v>
      </c>
      <c r="AK786" s="4" t="s">
        <v>3573</v>
      </c>
      <c r="AL786" s="4" t="str">
        <f t="shared" si="141"/>
        <v>Found</v>
      </c>
      <c r="AN786" s="6">
        <v>13.9</v>
      </c>
      <c r="AO786" s="4" t="str">
        <f t="shared" si="142"/>
        <v>Mid</v>
      </c>
    </row>
    <row r="787" spans="1:41">
      <c r="A787">
        <v>3</v>
      </c>
      <c r="B787" t="str">
        <f t="shared" si="132"/>
        <v>Third Class</v>
      </c>
      <c r="C787">
        <v>1</v>
      </c>
      <c r="E787" t="str">
        <f t="shared" si="133"/>
        <v>Survived</v>
      </c>
      <c r="F787" t="s">
        <v>1732</v>
      </c>
      <c r="G787" t="s">
        <v>849</v>
      </c>
      <c r="H787" t="s">
        <v>1498</v>
      </c>
      <c r="I787" t="str">
        <f t="shared" si="134"/>
        <v>Mrs. Dyker Adolf</v>
      </c>
      <c r="J787" t="s">
        <v>47</v>
      </c>
      <c r="K787" t="str">
        <f t="shared" si="135"/>
        <v>Female</v>
      </c>
      <c r="L787">
        <v>22</v>
      </c>
      <c r="O787">
        <f t="shared" si="136"/>
        <v>22</v>
      </c>
      <c r="P787">
        <v>1</v>
      </c>
      <c r="R787" s="4">
        <v>0</v>
      </c>
      <c r="T787" s="5">
        <v>13.9</v>
      </c>
      <c r="W787" s="4">
        <v>22</v>
      </c>
      <c r="X787" s="4" t="str">
        <f t="shared" si="137"/>
        <v>Young Adult</v>
      </c>
      <c r="Y787" s="4" t="s">
        <v>3561</v>
      </c>
      <c r="AB787" s="4" t="str">
        <f t="shared" si="138"/>
        <v/>
      </c>
      <c r="AC787" s="4" t="str">
        <f t="shared" si="139"/>
        <v>Unknown</v>
      </c>
      <c r="AD787" s="4" t="s">
        <v>457</v>
      </c>
      <c r="AF787" s="4">
        <v>16</v>
      </c>
      <c r="AG787" s="4">
        <f t="shared" si="140"/>
        <v>16</v>
      </c>
      <c r="AK787" s="4" t="s">
        <v>3573</v>
      </c>
      <c r="AL787" s="4" t="str">
        <f t="shared" si="141"/>
        <v>Found</v>
      </c>
      <c r="AN787" s="6">
        <v>13.9</v>
      </c>
      <c r="AO787" s="4" t="str">
        <f t="shared" si="142"/>
        <v>Mid</v>
      </c>
    </row>
    <row r="788" spans="1:41">
      <c r="A788">
        <v>3</v>
      </c>
      <c r="B788" t="str">
        <f t="shared" si="132"/>
        <v>Third Class</v>
      </c>
      <c r="C788">
        <v>0</v>
      </c>
      <c r="E788" t="str">
        <f t="shared" si="133"/>
        <v>Died</v>
      </c>
      <c r="F788" t="s">
        <v>1733</v>
      </c>
      <c r="G788" t="s">
        <v>848</v>
      </c>
      <c r="H788" t="s">
        <v>1102</v>
      </c>
      <c r="I788" t="str">
        <f t="shared" si="134"/>
        <v>Mr. Edvardsson Gustaf</v>
      </c>
      <c r="J788" t="s">
        <v>20</v>
      </c>
      <c r="K788" t="str">
        <f t="shared" si="135"/>
        <v>Male</v>
      </c>
      <c r="L788">
        <v>18</v>
      </c>
      <c r="O788">
        <f t="shared" si="136"/>
        <v>18</v>
      </c>
      <c r="P788">
        <v>0</v>
      </c>
      <c r="R788" s="4">
        <v>0</v>
      </c>
      <c r="T788" s="5">
        <v>7.7750000000000004</v>
      </c>
      <c r="W788" s="4">
        <v>18</v>
      </c>
      <c r="X788" s="4" t="str">
        <f t="shared" si="137"/>
        <v>Young Adult</v>
      </c>
      <c r="Y788" s="4" t="s">
        <v>3561</v>
      </c>
      <c r="AB788" s="4" t="str">
        <f t="shared" si="138"/>
        <v/>
      </c>
      <c r="AC788" s="4" t="str">
        <f t="shared" si="139"/>
        <v>Unknown</v>
      </c>
      <c r="AD788" s="4" t="s">
        <v>457</v>
      </c>
      <c r="AG788" s="4" t="str">
        <f t="shared" si="140"/>
        <v>Not Applicable</v>
      </c>
      <c r="AK788" s="4" t="s">
        <v>3573</v>
      </c>
      <c r="AL788" s="4" t="str">
        <f t="shared" si="141"/>
        <v>Found</v>
      </c>
      <c r="AN788" s="6">
        <v>7.7750000000000004</v>
      </c>
      <c r="AO788" s="4" t="str">
        <f t="shared" si="142"/>
        <v>Low</v>
      </c>
    </row>
    <row r="789" spans="1:41">
      <c r="A789">
        <v>3</v>
      </c>
      <c r="B789" t="str">
        <f t="shared" si="132"/>
        <v>Third Class</v>
      </c>
      <c r="C789">
        <v>0</v>
      </c>
      <c r="E789" t="str">
        <f t="shared" si="133"/>
        <v>Died</v>
      </c>
      <c r="F789" t="s">
        <v>1735</v>
      </c>
      <c r="G789" t="s">
        <v>848</v>
      </c>
      <c r="H789" t="s">
        <v>1365</v>
      </c>
      <c r="I789" t="str">
        <f t="shared" si="134"/>
        <v>Mr. Eklund Hans</v>
      </c>
      <c r="J789" t="s">
        <v>20</v>
      </c>
      <c r="K789" t="str">
        <f t="shared" si="135"/>
        <v>Male</v>
      </c>
      <c r="L789">
        <v>16</v>
      </c>
      <c r="O789">
        <f t="shared" si="136"/>
        <v>16</v>
      </c>
      <c r="P789">
        <v>0</v>
      </c>
      <c r="R789" s="4">
        <v>0</v>
      </c>
      <c r="T789" s="5">
        <v>7.7750000000000004</v>
      </c>
      <c r="W789" s="4">
        <v>16</v>
      </c>
      <c r="X789" s="4" t="str">
        <f t="shared" si="137"/>
        <v>Teenager</v>
      </c>
      <c r="Y789" s="4" t="s">
        <v>3561</v>
      </c>
      <c r="AB789" s="4" t="str">
        <f t="shared" si="138"/>
        <v/>
      </c>
      <c r="AC789" s="4" t="str">
        <f t="shared" si="139"/>
        <v>Unknown</v>
      </c>
      <c r="AD789" s="4" t="s">
        <v>457</v>
      </c>
      <c r="AG789" s="4" t="str">
        <f t="shared" si="140"/>
        <v>Not Applicable</v>
      </c>
      <c r="AK789" s="4" t="s">
        <v>3573</v>
      </c>
      <c r="AL789" s="4" t="str">
        <f t="shared" si="141"/>
        <v>Found</v>
      </c>
      <c r="AN789" s="6">
        <v>7.7750000000000004</v>
      </c>
      <c r="AO789" s="4" t="str">
        <f t="shared" si="142"/>
        <v>Low</v>
      </c>
    </row>
    <row r="790" spans="1:41">
      <c r="A790">
        <v>3</v>
      </c>
      <c r="B790" t="str">
        <f t="shared" si="132"/>
        <v>Third Class</v>
      </c>
      <c r="C790">
        <v>0</v>
      </c>
      <c r="E790" t="str">
        <f t="shared" si="133"/>
        <v>Died</v>
      </c>
      <c r="F790" t="s">
        <v>1736</v>
      </c>
      <c r="G790" t="s">
        <v>848</v>
      </c>
      <c r="H790" t="s">
        <v>1105</v>
      </c>
      <c r="I790" t="str">
        <f t="shared" si="134"/>
        <v>Mr. Ekstrom Johan</v>
      </c>
      <c r="J790" t="s">
        <v>20</v>
      </c>
      <c r="K790" t="str">
        <f t="shared" si="135"/>
        <v>Male</v>
      </c>
      <c r="L790">
        <v>45</v>
      </c>
      <c r="O790">
        <f t="shared" si="136"/>
        <v>45</v>
      </c>
      <c r="P790">
        <v>0</v>
      </c>
      <c r="R790" s="4">
        <v>0</v>
      </c>
      <c r="T790" s="5">
        <v>6.9749999999999996</v>
      </c>
      <c r="W790" s="4">
        <v>45</v>
      </c>
      <c r="X790" s="4" t="str">
        <f t="shared" si="137"/>
        <v>Adult</v>
      </c>
      <c r="Y790" s="4" t="s">
        <v>3561</v>
      </c>
      <c r="AB790" s="4" t="str">
        <f t="shared" si="138"/>
        <v/>
      </c>
      <c r="AC790" s="4" t="str">
        <f t="shared" si="139"/>
        <v>Unknown</v>
      </c>
      <c r="AD790" s="4" t="s">
        <v>457</v>
      </c>
      <c r="AG790" s="4" t="str">
        <f t="shared" si="140"/>
        <v>Not Applicable</v>
      </c>
      <c r="AK790" s="4" t="s">
        <v>3573</v>
      </c>
      <c r="AL790" s="4" t="str">
        <f t="shared" si="141"/>
        <v>Found</v>
      </c>
      <c r="AN790" s="6">
        <v>6.9749999999999996</v>
      </c>
      <c r="AO790" s="4" t="str">
        <f t="shared" si="142"/>
        <v>Low</v>
      </c>
    </row>
    <row r="791" spans="1:41">
      <c r="A791">
        <v>3</v>
      </c>
      <c r="B791" t="str">
        <f t="shared" si="132"/>
        <v>Third Class</v>
      </c>
      <c r="C791">
        <v>0</v>
      </c>
      <c r="E791" t="str">
        <f t="shared" si="133"/>
        <v>Died</v>
      </c>
      <c r="F791" t="s">
        <v>1565</v>
      </c>
      <c r="G791" t="s">
        <v>848</v>
      </c>
      <c r="H791" t="s">
        <v>1737</v>
      </c>
      <c r="I791" t="str">
        <f t="shared" si="134"/>
        <v>Mr. Elias Dibo</v>
      </c>
      <c r="J791" t="s">
        <v>20</v>
      </c>
      <c r="K791" t="str">
        <f t="shared" si="135"/>
        <v>Male</v>
      </c>
      <c r="L791">
        <v>28</v>
      </c>
      <c r="O791">
        <f t="shared" si="136"/>
        <v>28</v>
      </c>
      <c r="P791">
        <v>0</v>
      </c>
      <c r="R791" s="4">
        <v>0</v>
      </c>
      <c r="T791" s="5">
        <v>7.2249999999999996</v>
      </c>
      <c r="W791" s="4">
        <v>28</v>
      </c>
      <c r="X791" s="4" t="str">
        <f t="shared" si="137"/>
        <v>Young Adult</v>
      </c>
      <c r="Y791" s="4" t="s">
        <v>3561</v>
      </c>
      <c r="AB791" s="4" t="str">
        <f t="shared" si="138"/>
        <v/>
      </c>
      <c r="AC791" s="4" t="str">
        <f t="shared" si="139"/>
        <v>Unknown</v>
      </c>
      <c r="AD791" s="4" t="s">
        <v>3566</v>
      </c>
      <c r="AG791" s="4" t="str">
        <f t="shared" si="140"/>
        <v>Not Applicable</v>
      </c>
      <c r="AK791" s="4" t="s">
        <v>3573</v>
      </c>
      <c r="AL791" s="4" t="str">
        <f t="shared" si="141"/>
        <v>Found</v>
      </c>
      <c r="AN791" s="6">
        <v>7.2249999999999996</v>
      </c>
      <c r="AO791" s="4" t="str">
        <f t="shared" si="142"/>
        <v>Low</v>
      </c>
    </row>
    <row r="792" spans="1:41">
      <c r="A792">
        <v>3</v>
      </c>
      <c r="B792" t="str">
        <f t="shared" si="132"/>
        <v>Third Class</v>
      </c>
      <c r="C792">
        <v>0</v>
      </c>
      <c r="E792" t="str">
        <f t="shared" si="133"/>
        <v>Died</v>
      </c>
      <c r="F792" t="s">
        <v>1565</v>
      </c>
      <c r="G792" t="s">
        <v>848</v>
      </c>
      <c r="H792" t="s">
        <v>921</v>
      </c>
      <c r="I792" t="str">
        <f t="shared" si="134"/>
        <v>Mr. Elias Joseph</v>
      </c>
      <c r="J792" t="s">
        <v>20</v>
      </c>
      <c r="K792" t="str">
        <f t="shared" si="135"/>
        <v>Male</v>
      </c>
      <c r="L792">
        <v>39</v>
      </c>
      <c r="O792">
        <f t="shared" si="136"/>
        <v>39</v>
      </c>
      <c r="P792">
        <v>0</v>
      </c>
      <c r="R792" s="4">
        <v>2</v>
      </c>
      <c r="T792" s="5">
        <v>7.2291999999999996</v>
      </c>
      <c r="W792" s="4">
        <v>39</v>
      </c>
      <c r="X792" s="4" t="str">
        <f t="shared" si="137"/>
        <v>Adult</v>
      </c>
      <c r="Y792" s="4" t="s">
        <v>3561</v>
      </c>
      <c r="AB792" s="4" t="str">
        <f t="shared" si="138"/>
        <v/>
      </c>
      <c r="AC792" s="4" t="str">
        <f t="shared" si="139"/>
        <v>Unknown</v>
      </c>
      <c r="AD792" s="4" t="s">
        <v>3566</v>
      </c>
      <c r="AG792" s="4" t="str">
        <f t="shared" si="140"/>
        <v>Not Applicable</v>
      </c>
      <c r="AK792" s="4" t="s">
        <v>3573</v>
      </c>
      <c r="AL792" s="4" t="str">
        <f t="shared" si="141"/>
        <v>Found</v>
      </c>
      <c r="AN792" s="6">
        <v>7.2291999999999996</v>
      </c>
      <c r="AO792" s="4" t="str">
        <f t="shared" si="142"/>
        <v>Low</v>
      </c>
    </row>
    <row r="793" spans="1:41">
      <c r="A793">
        <v>3</v>
      </c>
      <c r="B793" t="str">
        <f t="shared" si="132"/>
        <v>Third Class</v>
      </c>
      <c r="C793">
        <v>0</v>
      </c>
      <c r="E793" t="str">
        <f t="shared" si="133"/>
        <v>Died</v>
      </c>
      <c r="F793" t="s">
        <v>1565</v>
      </c>
      <c r="G793" t="s">
        <v>848</v>
      </c>
      <c r="H793" t="s">
        <v>921</v>
      </c>
      <c r="I793" t="str">
        <f t="shared" si="134"/>
        <v>Mr. Elias Joseph</v>
      </c>
      <c r="J793" t="s">
        <v>20</v>
      </c>
      <c r="K793" t="str">
        <f t="shared" si="135"/>
        <v>Male</v>
      </c>
      <c r="L793">
        <v>17</v>
      </c>
      <c r="O793">
        <f t="shared" si="136"/>
        <v>17</v>
      </c>
      <c r="P793">
        <v>1</v>
      </c>
      <c r="R793" s="4">
        <v>1</v>
      </c>
      <c r="T793" s="5">
        <v>7.2291999999999996</v>
      </c>
      <c r="W793" s="4">
        <v>17</v>
      </c>
      <c r="X793" s="4" t="str">
        <f t="shared" si="137"/>
        <v>Teenager</v>
      </c>
      <c r="Y793" s="4" t="s">
        <v>3561</v>
      </c>
      <c r="AB793" s="4" t="str">
        <f t="shared" si="138"/>
        <v/>
      </c>
      <c r="AC793" s="4" t="str">
        <f t="shared" si="139"/>
        <v>Unknown</v>
      </c>
      <c r="AD793" s="4" t="s">
        <v>3566</v>
      </c>
      <c r="AG793" s="4" t="str">
        <f t="shared" si="140"/>
        <v>Not Applicable</v>
      </c>
      <c r="AK793" s="4" t="s">
        <v>3573</v>
      </c>
      <c r="AL793" s="4" t="str">
        <f t="shared" si="141"/>
        <v>Found</v>
      </c>
      <c r="AN793" s="6">
        <v>7.2291999999999996</v>
      </c>
      <c r="AO793" s="4" t="str">
        <f t="shared" si="142"/>
        <v>Low</v>
      </c>
    </row>
    <row r="794" spans="1:41">
      <c r="A794">
        <v>3</v>
      </c>
      <c r="B794" t="str">
        <f t="shared" si="132"/>
        <v>Third Class</v>
      </c>
      <c r="C794">
        <v>0</v>
      </c>
      <c r="E794" t="str">
        <f t="shared" si="133"/>
        <v>Died</v>
      </c>
      <c r="F794" t="s">
        <v>1565</v>
      </c>
      <c r="G794" t="s">
        <v>848</v>
      </c>
      <c r="H794" t="s">
        <v>1618</v>
      </c>
      <c r="I794" t="str">
        <f t="shared" si="134"/>
        <v>Mr. Elias Tannous</v>
      </c>
      <c r="J794" t="s">
        <v>20</v>
      </c>
      <c r="K794" t="str">
        <f t="shared" si="135"/>
        <v>Male</v>
      </c>
      <c r="L794">
        <v>15</v>
      </c>
      <c r="O794">
        <f t="shared" si="136"/>
        <v>15</v>
      </c>
      <c r="P794">
        <v>1</v>
      </c>
      <c r="R794" s="4">
        <v>1</v>
      </c>
      <c r="T794" s="5">
        <v>7.2291999999999996</v>
      </c>
      <c r="W794" s="4">
        <v>15</v>
      </c>
      <c r="X794" s="4" t="str">
        <f t="shared" si="137"/>
        <v>Teenager</v>
      </c>
      <c r="Y794" s="4" t="s">
        <v>3561</v>
      </c>
      <c r="AB794" s="4" t="str">
        <f t="shared" si="138"/>
        <v/>
      </c>
      <c r="AC794" s="4" t="str">
        <f t="shared" si="139"/>
        <v>Unknown</v>
      </c>
      <c r="AD794" s="4" t="s">
        <v>3566</v>
      </c>
      <c r="AG794" s="4" t="str">
        <f t="shared" si="140"/>
        <v>Not Applicable</v>
      </c>
      <c r="AK794" s="4" t="s">
        <v>3573</v>
      </c>
      <c r="AL794" s="4" t="str">
        <f t="shared" si="141"/>
        <v>Found</v>
      </c>
      <c r="AN794" s="6">
        <v>7.2291999999999996</v>
      </c>
      <c r="AO794" s="4" t="str">
        <f t="shared" si="142"/>
        <v>Low</v>
      </c>
    </row>
    <row r="795" spans="1:41">
      <c r="A795">
        <v>3</v>
      </c>
      <c r="B795" t="str">
        <f t="shared" si="132"/>
        <v>Third Class</v>
      </c>
      <c r="C795">
        <v>0</v>
      </c>
      <c r="E795" t="str">
        <f t="shared" si="133"/>
        <v>Died</v>
      </c>
      <c r="F795" t="s">
        <v>1738</v>
      </c>
      <c r="G795" t="s">
        <v>848</v>
      </c>
      <c r="H795" t="s">
        <v>924</v>
      </c>
      <c r="I795" t="str">
        <f t="shared" si="134"/>
        <v>Mr. Elsbury William</v>
      </c>
      <c r="J795" t="s">
        <v>20</v>
      </c>
      <c r="K795" t="str">
        <f t="shared" si="135"/>
        <v>Male</v>
      </c>
      <c r="L795">
        <v>47</v>
      </c>
      <c r="O795">
        <f t="shared" si="136"/>
        <v>47</v>
      </c>
      <c r="P795">
        <v>0</v>
      </c>
      <c r="R795" s="4">
        <v>0</v>
      </c>
      <c r="T795" s="5">
        <v>7.25</v>
      </c>
      <c r="W795" s="4">
        <v>47</v>
      </c>
      <c r="X795" s="4" t="str">
        <f t="shared" si="137"/>
        <v>Adult</v>
      </c>
      <c r="Y795" s="4" t="s">
        <v>3561</v>
      </c>
      <c r="AB795" s="4" t="str">
        <f t="shared" si="138"/>
        <v/>
      </c>
      <c r="AC795" s="4" t="str">
        <f t="shared" si="139"/>
        <v>Unknown</v>
      </c>
      <c r="AD795" s="4" t="s">
        <v>457</v>
      </c>
      <c r="AG795" s="4" t="str">
        <f t="shared" si="140"/>
        <v>Not Applicable</v>
      </c>
      <c r="AK795" s="4" t="s">
        <v>3573</v>
      </c>
      <c r="AL795" s="4" t="str">
        <f t="shared" si="141"/>
        <v>Found</v>
      </c>
      <c r="AN795" s="6">
        <v>7.25</v>
      </c>
      <c r="AO795" s="4" t="str">
        <f t="shared" si="142"/>
        <v>Low</v>
      </c>
    </row>
    <row r="796" spans="1:41">
      <c r="A796">
        <v>3</v>
      </c>
      <c r="B796" t="str">
        <f t="shared" si="132"/>
        <v>Third Class</v>
      </c>
      <c r="C796">
        <v>1</v>
      </c>
      <c r="E796" t="str">
        <f t="shared" si="133"/>
        <v>Survived</v>
      </c>
      <c r="F796" t="s">
        <v>1697</v>
      </c>
      <c r="G796" t="s">
        <v>842</v>
      </c>
      <c r="H796" t="s">
        <v>1739</v>
      </c>
      <c r="I796" t="str">
        <f t="shared" si="134"/>
        <v>Miss. Emanuel Virginia</v>
      </c>
      <c r="J796" t="s">
        <v>47</v>
      </c>
      <c r="K796" t="str">
        <f t="shared" si="135"/>
        <v>Female</v>
      </c>
      <c r="L796">
        <v>5</v>
      </c>
      <c r="O796">
        <f t="shared" si="136"/>
        <v>5</v>
      </c>
      <c r="P796">
        <v>0</v>
      </c>
      <c r="R796" s="4">
        <v>0</v>
      </c>
      <c r="T796" s="5">
        <v>12.475</v>
      </c>
      <c r="W796" s="4">
        <v>5</v>
      </c>
      <c r="X796" s="4" t="str">
        <f t="shared" si="137"/>
        <v>Child</v>
      </c>
      <c r="Y796" s="4" t="s">
        <v>3561</v>
      </c>
      <c r="AB796" s="4" t="str">
        <f t="shared" si="138"/>
        <v/>
      </c>
      <c r="AC796" s="4" t="str">
        <f t="shared" si="139"/>
        <v>Unknown</v>
      </c>
      <c r="AD796" s="4" t="s">
        <v>457</v>
      </c>
      <c r="AF796" s="4">
        <v>13</v>
      </c>
      <c r="AG796" s="4">
        <f t="shared" si="140"/>
        <v>13</v>
      </c>
      <c r="AK796" s="4" t="s">
        <v>3573</v>
      </c>
      <c r="AL796" s="4" t="str">
        <f t="shared" si="141"/>
        <v>Found</v>
      </c>
      <c r="AN796" s="6">
        <v>12.475</v>
      </c>
      <c r="AO796" s="4" t="str">
        <f t="shared" si="142"/>
        <v>Mid</v>
      </c>
    </row>
    <row r="797" spans="1:41">
      <c r="A797">
        <v>3</v>
      </c>
      <c r="B797" t="str">
        <f t="shared" si="132"/>
        <v>Third Class</v>
      </c>
      <c r="C797">
        <v>0</v>
      </c>
      <c r="E797" t="str">
        <f t="shared" si="133"/>
        <v>Died</v>
      </c>
      <c r="F797" t="s">
        <v>1740</v>
      </c>
      <c r="G797" t="s">
        <v>848</v>
      </c>
      <c r="H797" t="s">
        <v>1741</v>
      </c>
      <c r="I797" t="str">
        <f t="shared" si="134"/>
        <v>Mr. Emir Farred</v>
      </c>
      <c r="J797" t="s">
        <v>20</v>
      </c>
      <c r="K797" t="str">
        <f t="shared" si="135"/>
        <v>Male</v>
      </c>
      <c r="L797">
        <v>28</v>
      </c>
      <c r="O797">
        <f t="shared" si="136"/>
        <v>28</v>
      </c>
      <c r="P797">
        <v>0</v>
      </c>
      <c r="R797" s="4">
        <v>0</v>
      </c>
      <c r="T797" s="5">
        <v>7.2249999999999996</v>
      </c>
      <c r="W797" s="4">
        <v>28</v>
      </c>
      <c r="X797" s="4" t="str">
        <f t="shared" si="137"/>
        <v>Young Adult</v>
      </c>
      <c r="Y797" s="4" t="s">
        <v>3561</v>
      </c>
      <c r="AB797" s="4" t="str">
        <f t="shared" si="138"/>
        <v/>
      </c>
      <c r="AC797" s="4" t="str">
        <f t="shared" si="139"/>
        <v>Unknown</v>
      </c>
      <c r="AD797" s="4" t="s">
        <v>3566</v>
      </c>
      <c r="AG797" s="4" t="str">
        <f t="shared" si="140"/>
        <v>Not Applicable</v>
      </c>
      <c r="AK797" s="4" t="s">
        <v>3573</v>
      </c>
      <c r="AL797" s="4" t="str">
        <f t="shared" si="141"/>
        <v>Found</v>
      </c>
      <c r="AN797" s="6">
        <v>7.2249999999999996</v>
      </c>
      <c r="AO797" s="4" t="str">
        <f t="shared" si="142"/>
        <v>Low</v>
      </c>
    </row>
    <row r="798" spans="1:41">
      <c r="A798">
        <v>3</v>
      </c>
      <c r="B798" t="str">
        <f t="shared" si="132"/>
        <v>Third Class</v>
      </c>
      <c r="C798">
        <v>0</v>
      </c>
      <c r="E798" t="str">
        <f t="shared" si="133"/>
        <v>Died</v>
      </c>
      <c r="F798" t="s">
        <v>1742</v>
      </c>
      <c r="G798" t="s">
        <v>848</v>
      </c>
      <c r="H798" t="s">
        <v>855</v>
      </c>
      <c r="I798" t="str">
        <f t="shared" si="134"/>
        <v>Mr. Everett Thomas</v>
      </c>
      <c r="J798" t="s">
        <v>20</v>
      </c>
      <c r="K798" t="str">
        <f t="shared" si="135"/>
        <v>Male</v>
      </c>
      <c r="L798">
        <v>40.5</v>
      </c>
      <c r="O798">
        <f t="shared" si="136"/>
        <v>41</v>
      </c>
      <c r="P798">
        <v>0</v>
      </c>
      <c r="R798" s="4">
        <v>0</v>
      </c>
      <c r="T798" s="5">
        <v>15.1</v>
      </c>
      <c r="W798" s="4">
        <v>41</v>
      </c>
      <c r="X798" s="4" t="str">
        <f t="shared" si="137"/>
        <v>Adult</v>
      </c>
      <c r="Y798" s="4" t="s">
        <v>3561</v>
      </c>
      <c r="AB798" s="4" t="str">
        <f t="shared" si="138"/>
        <v/>
      </c>
      <c r="AC798" s="4" t="str">
        <f t="shared" si="139"/>
        <v>Unknown</v>
      </c>
      <c r="AD798" s="4" t="s">
        <v>457</v>
      </c>
      <c r="AG798" s="4" t="str">
        <f t="shared" si="140"/>
        <v>Not Applicable</v>
      </c>
      <c r="AH798" s="4">
        <v>187</v>
      </c>
      <c r="AK798" s="4">
        <v>187</v>
      </c>
      <c r="AL798" s="4" t="str">
        <f t="shared" si="141"/>
        <v>Found</v>
      </c>
      <c r="AN798" s="6">
        <v>15.1</v>
      </c>
      <c r="AO798" s="4" t="str">
        <f t="shared" si="142"/>
        <v>Mid</v>
      </c>
    </row>
    <row r="799" spans="1:41">
      <c r="A799">
        <v>3</v>
      </c>
      <c r="B799" t="str">
        <f t="shared" si="132"/>
        <v>Third Class</v>
      </c>
      <c r="C799">
        <v>0</v>
      </c>
      <c r="E799" t="str">
        <f t="shared" si="133"/>
        <v>Died</v>
      </c>
      <c r="F799" t="s">
        <v>1743</v>
      </c>
      <c r="G799" t="s">
        <v>848</v>
      </c>
      <c r="H799" t="s">
        <v>878</v>
      </c>
      <c r="I799" t="str">
        <f t="shared" si="134"/>
        <v>Mr. Farrell James</v>
      </c>
      <c r="J799" t="s">
        <v>20</v>
      </c>
      <c r="K799" t="str">
        <f t="shared" si="135"/>
        <v>Male</v>
      </c>
      <c r="L799">
        <v>40.5</v>
      </c>
      <c r="O799">
        <f t="shared" si="136"/>
        <v>41</v>
      </c>
      <c r="P799">
        <v>0</v>
      </c>
      <c r="R799" s="4">
        <v>0</v>
      </c>
      <c r="T799" s="5">
        <v>7.75</v>
      </c>
      <c r="W799" s="4">
        <v>41</v>
      </c>
      <c r="X799" s="4" t="str">
        <f t="shared" si="137"/>
        <v>Adult</v>
      </c>
      <c r="Y799" s="4" t="s">
        <v>3561</v>
      </c>
      <c r="AB799" s="4" t="str">
        <f t="shared" si="138"/>
        <v/>
      </c>
      <c r="AC799" s="4" t="str">
        <f t="shared" si="139"/>
        <v>Unknown</v>
      </c>
      <c r="AD799" s="4" t="s">
        <v>3567</v>
      </c>
      <c r="AG799" s="4" t="str">
        <f t="shared" si="140"/>
        <v>Not Applicable</v>
      </c>
      <c r="AH799" s="4">
        <v>68</v>
      </c>
      <c r="AK799" s="4">
        <v>68</v>
      </c>
      <c r="AL799" s="4" t="str">
        <f t="shared" si="141"/>
        <v>Found</v>
      </c>
      <c r="AN799" s="6">
        <v>7.75</v>
      </c>
      <c r="AO799" s="4" t="str">
        <f t="shared" si="142"/>
        <v>Low</v>
      </c>
    </row>
    <row r="800" spans="1:41">
      <c r="A800">
        <v>3</v>
      </c>
      <c r="B800" t="str">
        <f t="shared" si="132"/>
        <v>Third Class</v>
      </c>
      <c r="C800">
        <v>1</v>
      </c>
      <c r="E800" t="str">
        <f t="shared" si="133"/>
        <v>Survived</v>
      </c>
      <c r="F800" t="s">
        <v>1744</v>
      </c>
      <c r="G800" t="s">
        <v>848</v>
      </c>
      <c r="H800" t="s">
        <v>1745</v>
      </c>
      <c r="I800" t="str">
        <f t="shared" si="134"/>
        <v>Mr. Finoli Luigi</v>
      </c>
      <c r="J800" t="s">
        <v>20</v>
      </c>
      <c r="K800" t="str">
        <f t="shared" si="135"/>
        <v>Male</v>
      </c>
      <c r="L800">
        <v>28</v>
      </c>
      <c r="O800">
        <f t="shared" si="136"/>
        <v>28</v>
      </c>
      <c r="P800">
        <v>0</v>
      </c>
      <c r="R800" s="4">
        <v>0</v>
      </c>
      <c r="T800" s="5">
        <v>7.05</v>
      </c>
      <c r="W800" s="4">
        <v>28</v>
      </c>
      <c r="X800" s="4" t="str">
        <f t="shared" si="137"/>
        <v>Young Adult</v>
      </c>
      <c r="Y800" s="4" t="s">
        <v>3561</v>
      </c>
      <c r="AB800" s="4" t="str">
        <f t="shared" si="138"/>
        <v/>
      </c>
      <c r="AC800" s="4" t="str">
        <f t="shared" si="139"/>
        <v>Unknown</v>
      </c>
      <c r="AD800" s="4" t="s">
        <v>457</v>
      </c>
      <c r="AF800" s="4">
        <v>15</v>
      </c>
      <c r="AG800" s="4">
        <f t="shared" si="140"/>
        <v>15</v>
      </c>
      <c r="AK800" s="4" t="s">
        <v>3573</v>
      </c>
      <c r="AL800" s="4" t="str">
        <f t="shared" si="141"/>
        <v>Found</v>
      </c>
      <c r="AN800" s="6">
        <v>7.05</v>
      </c>
      <c r="AO800" s="4" t="str">
        <f t="shared" si="142"/>
        <v>Low</v>
      </c>
    </row>
    <row r="801" spans="1:41">
      <c r="A801">
        <v>3</v>
      </c>
      <c r="B801" t="str">
        <f t="shared" si="132"/>
        <v>Third Class</v>
      </c>
      <c r="C801">
        <v>0</v>
      </c>
      <c r="E801" t="str">
        <f t="shared" si="133"/>
        <v>Died</v>
      </c>
      <c r="F801" t="s">
        <v>1746</v>
      </c>
      <c r="G801" t="s">
        <v>848</v>
      </c>
      <c r="H801" t="s">
        <v>1747</v>
      </c>
      <c r="I801" t="str">
        <f t="shared" si="134"/>
        <v>Mr. Fischer Eberhard</v>
      </c>
      <c r="J801" t="s">
        <v>20</v>
      </c>
      <c r="K801" t="str">
        <f t="shared" si="135"/>
        <v>Male</v>
      </c>
      <c r="L801">
        <v>18</v>
      </c>
      <c r="O801">
        <f t="shared" si="136"/>
        <v>18</v>
      </c>
      <c r="P801">
        <v>0</v>
      </c>
      <c r="R801" s="4">
        <v>0</v>
      </c>
      <c r="T801" s="5">
        <v>7.7957999999999998</v>
      </c>
      <c r="W801" s="4">
        <v>18</v>
      </c>
      <c r="X801" s="4" t="str">
        <f t="shared" si="137"/>
        <v>Young Adult</v>
      </c>
      <c r="Y801" s="4" t="s">
        <v>3561</v>
      </c>
      <c r="AB801" s="4" t="str">
        <f t="shared" si="138"/>
        <v/>
      </c>
      <c r="AC801" s="4" t="str">
        <f t="shared" si="139"/>
        <v>Unknown</v>
      </c>
      <c r="AD801" s="4" t="s">
        <v>457</v>
      </c>
      <c r="AG801" s="4" t="str">
        <f t="shared" si="140"/>
        <v>Not Applicable</v>
      </c>
      <c r="AK801" s="4" t="s">
        <v>3573</v>
      </c>
      <c r="AL801" s="4" t="str">
        <f t="shared" si="141"/>
        <v>Found</v>
      </c>
      <c r="AN801" s="6">
        <v>7.7957999999999998</v>
      </c>
      <c r="AO801" s="4" t="str">
        <f t="shared" si="142"/>
        <v>Low</v>
      </c>
    </row>
    <row r="802" spans="1:41">
      <c r="A802">
        <v>3</v>
      </c>
      <c r="B802" t="str">
        <f t="shared" si="132"/>
        <v>Third Class</v>
      </c>
      <c r="C802">
        <v>0</v>
      </c>
      <c r="E802" t="str">
        <f t="shared" si="133"/>
        <v>Died</v>
      </c>
      <c r="F802" t="s">
        <v>1016</v>
      </c>
      <c r="G802" t="s">
        <v>842</v>
      </c>
      <c r="H802" t="s">
        <v>1748</v>
      </c>
      <c r="I802" t="str">
        <f t="shared" si="134"/>
        <v>Miss. Fleming Honora</v>
      </c>
      <c r="J802" t="s">
        <v>47</v>
      </c>
      <c r="K802" t="str">
        <f t="shared" si="135"/>
        <v>Female</v>
      </c>
      <c r="L802">
        <v>28</v>
      </c>
      <c r="O802">
        <f t="shared" si="136"/>
        <v>28</v>
      </c>
      <c r="P802">
        <v>0</v>
      </c>
      <c r="R802" s="4">
        <v>0</v>
      </c>
      <c r="T802" s="5">
        <v>7.75</v>
      </c>
      <c r="W802" s="4">
        <v>28</v>
      </c>
      <c r="X802" s="4" t="str">
        <f t="shared" si="137"/>
        <v>Young Adult</v>
      </c>
      <c r="Y802" s="4" t="s">
        <v>3561</v>
      </c>
      <c r="AB802" s="4" t="str">
        <f t="shared" si="138"/>
        <v/>
      </c>
      <c r="AC802" s="4" t="str">
        <f t="shared" si="139"/>
        <v>Unknown</v>
      </c>
      <c r="AD802" s="4" t="s">
        <v>3567</v>
      </c>
      <c r="AG802" s="4" t="str">
        <f t="shared" si="140"/>
        <v>Not Applicable</v>
      </c>
      <c r="AK802" s="4" t="s">
        <v>3573</v>
      </c>
      <c r="AL802" s="4" t="str">
        <f t="shared" si="141"/>
        <v>Found</v>
      </c>
      <c r="AN802" s="6">
        <v>7.75</v>
      </c>
      <c r="AO802" s="4" t="str">
        <f t="shared" si="142"/>
        <v>Low</v>
      </c>
    </row>
    <row r="803" spans="1:41">
      <c r="A803">
        <v>3</v>
      </c>
      <c r="B803" t="str">
        <f t="shared" si="132"/>
        <v>Third Class</v>
      </c>
      <c r="C803">
        <v>0</v>
      </c>
      <c r="E803" t="str">
        <f t="shared" si="133"/>
        <v>Died</v>
      </c>
      <c r="F803" t="s">
        <v>1017</v>
      </c>
      <c r="G803" t="s">
        <v>848</v>
      </c>
      <c r="H803" t="s">
        <v>878</v>
      </c>
      <c r="I803" t="str">
        <f t="shared" si="134"/>
        <v>Mr. Flynn James</v>
      </c>
      <c r="J803" t="s">
        <v>20</v>
      </c>
      <c r="K803" t="str">
        <f t="shared" si="135"/>
        <v>Male</v>
      </c>
      <c r="L803">
        <v>28</v>
      </c>
      <c r="O803">
        <f t="shared" si="136"/>
        <v>28</v>
      </c>
      <c r="P803">
        <v>0</v>
      </c>
      <c r="R803" s="4">
        <v>0</v>
      </c>
      <c r="T803" s="5">
        <v>7.75</v>
      </c>
      <c r="W803" s="4">
        <v>28</v>
      </c>
      <c r="X803" s="4" t="str">
        <f t="shared" si="137"/>
        <v>Young Adult</v>
      </c>
      <c r="Y803" s="4" t="s">
        <v>3561</v>
      </c>
      <c r="AB803" s="4" t="str">
        <f t="shared" si="138"/>
        <v/>
      </c>
      <c r="AC803" s="4" t="str">
        <f t="shared" si="139"/>
        <v>Unknown</v>
      </c>
      <c r="AD803" s="4" t="s">
        <v>3567</v>
      </c>
      <c r="AG803" s="4" t="str">
        <f t="shared" si="140"/>
        <v>Not Applicable</v>
      </c>
      <c r="AK803" s="4" t="s">
        <v>3573</v>
      </c>
      <c r="AL803" s="4" t="str">
        <f t="shared" si="141"/>
        <v>Found</v>
      </c>
      <c r="AN803" s="6">
        <v>7.75</v>
      </c>
      <c r="AO803" s="4" t="str">
        <f t="shared" si="142"/>
        <v>Low</v>
      </c>
    </row>
    <row r="804" spans="1:41">
      <c r="A804">
        <v>3</v>
      </c>
      <c r="B804" t="str">
        <f t="shared" si="132"/>
        <v>Third Class</v>
      </c>
      <c r="C804">
        <v>0</v>
      </c>
      <c r="E804" t="str">
        <f t="shared" si="133"/>
        <v>Died</v>
      </c>
      <c r="F804" t="s">
        <v>1017</v>
      </c>
      <c r="G804" t="s">
        <v>848</v>
      </c>
      <c r="H804" t="s">
        <v>862</v>
      </c>
      <c r="I804" t="str">
        <f t="shared" si="134"/>
        <v>Mr. Flynn John</v>
      </c>
      <c r="J804" t="s">
        <v>20</v>
      </c>
      <c r="K804" t="str">
        <f t="shared" si="135"/>
        <v>Male</v>
      </c>
      <c r="L804">
        <v>28</v>
      </c>
      <c r="O804">
        <f t="shared" si="136"/>
        <v>28</v>
      </c>
      <c r="P804">
        <v>0</v>
      </c>
      <c r="R804" s="4">
        <v>0</v>
      </c>
      <c r="T804" s="5">
        <v>6.95</v>
      </c>
      <c r="W804" s="4">
        <v>28</v>
      </c>
      <c r="X804" s="4" t="str">
        <f t="shared" si="137"/>
        <v>Young Adult</v>
      </c>
      <c r="Y804" s="4" t="s">
        <v>3561</v>
      </c>
      <c r="AB804" s="4" t="str">
        <f t="shared" si="138"/>
        <v/>
      </c>
      <c r="AC804" s="4" t="str">
        <f t="shared" si="139"/>
        <v>Unknown</v>
      </c>
      <c r="AD804" s="4" t="s">
        <v>3567</v>
      </c>
      <c r="AG804" s="4" t="str">
        <f t="shared" si="140"/>
        <v>Not Applicable</v>
      </c>
      <c r="AK804" s="4" t="s">
        <v>3573</v>
      </c>
      <c r="AL804" s="4" t="str">
        <f t="shared" si="141"/>
        <v>Found</v>
      </c>
      <c r="AN804" s="6">
        <v>6.95</v>
      </c>
      <c r="AO804" s="4" t="str">
        <f t="shared" si="142"/>
        <v>Low</v>
      </c>
    </row>
    <row r="805" spans="1:41">
      <c r="A805">
        <v>3</v>
      </c>
      <c r="B805" t="str">
        <f t="shared" si="132"/>
        <v>Third Class</v>
      </c>
      <c r="C805">
        <v>0</v>
      </c>
      <c r="E805" t="str">
        <f t="shared" si="133"/>
        <v>Died</v>
      </c>
      <c r="F805" t="s">
        <v>1749</v>
      </c>
      <c r="G805" t="s">
        <v>848</v>
      </c>
      <c r="H805" t="s">
        <v>921</v>
      </c>
      <c r="I805" t="str">
        <f t="shared" si="134"/>
        <v>Mr. Foley Joseph</v>
      </c>
      <c r="J805" t="s">
        <v>20</v>
      </c>
      <c r="K805" t="str">
        <f t="shared" si="135"/>
        <v>Male</v>
      </c>
      <c r="L805">
        <v>26</v>
      </c>
      <c r="O805">
        <f t="shared" si="136"/>
        <v>26</v>
      </c>
      <c r="P805">
        <v>0</v>
      </c>
      <c r="R805" s="4">
        <v>0</v>
      </c>
      <c r="T805" s="5">
        <v>7.8792</v>
      </c>
      <c r="W805" s="4">
        <v>26</v>
      </c>
      <c r="X805" s="4" t="str">
        <f t="shared" si="137"/>
        <v>Young Adult</v>
      </c>
      <c r="Y805" s="4" t="s">
        <v>3561</v>
      </c>
      <c r="AB805" s="4" t="str">
        <f t="shared" si="138"/>
        <v/>
      </c>
      <c r="AC805" s="4" t="str">
        <f t="shared" si="139"/>
        <v>Unknown</v>
      </c>
      <c r="AD805" s="4" t="s">
        <v>3567</v>
      </c>
      <c r="AG805" s="4" t="str">
        <f t="shared" si="140"/>
        <v>Not Applicable</v>
      </c>
      <c r="AK805" s="4" t="s">
        <v>3573</v>
      </c>
      <c r="AL805" s="4" t="str">
        <f t="shared" si="141"/>
        <v>Found</v>
      </c>
      <c r="AN805" s="6">
        <v>7.8792</v>
      </c>
      <c r="AO805" s="4" t="str">
        <f t="shared" si="142"/>
        <v>Low</v>
      </c>
    </row>
    <row r="806" spans="1:41">
      <c r="A806">
        <v>3</v>
      </c>
      <c r="B806" t="str">
        <f t="shared" si="132"/>
        <v>Third Class</v>
      </c>
      <c r="C806">
        <v>0</v>
      </c>
      <c r="E806" t="str">
        <f t="shared" si="133"/>
        <v>Died</v>
      </c>
      <c r="F806" t="s">
        <v>1749</v>
      </c>
      <c r="G806" t="s">
        <v>848</v>
      </c>
      <c r="H806" t="s">
        <v>924</v>
      </c>
      <c r="I806" t="str">
        <f t="shared" si="134"/>
        <v>Mr. Foley William</v>
      </c>
      <c r="J806" t="s">
        <v>20</v>
      </c>
      <c r="K806" t="str">
        <f t="shared" si="135"/>
        <v>Male</v>
      </c>
      <c r="L806">
        <v>28</v>
      </c>
      <c r="O806">
        <f t="shared" si="136"/>
        <v>28</v>
      </c>
      <c r="P806">
        <v>0</v>
      </c>
      <c r="R806" s="4">
        <v>0</v>
      </c>
      <c r="T806" s="5">
        <v>7.75</v>
      </c>
      <c r="W806" s="4">
        <v>28</v>
      </c>
      <c r="X806" s="4" t="str">
        <f t="shared" si="137"/>
        <v>Young Adult</v>
      </c>
      <c r="Y806" s="4" t="s">
        <v>3561</v>
      </c>
      <c r="AB806" s="4" t="str">
        <f t="shared" si="138"/>
        <v/>
      </c>
      <c r="AC806" s="4" t="str">
        <f t="shared" si="139"/>
        <v>Unknown</v>
      </c>
      <c r="AD806" s="4" t="s">
        <v>3567</v>
      </c>
      <c r="AG806" s="4" t="str">
        <f t="shared" si="140"/>
        <v>Not Applicable</v>
      </c>
      <c r="AK806" s="4" t="s">
        <v>3573</v>
      </c>
      <c r="AL806" s="4" t="str">
        <f t="shared" si="141"/>
        <v>Found</v>
      </c>
      <c r="AN806" s="6">
        <v>7.75</v>
      </c>
      <c r="AO806" s="4" t="str">
        <f t="shared" si="142"/>
        <v>Low</v>
      </c>
    </row>
    <row r="807" spans="1:41">
      <c r="A807">
        <v>3</v>
      </c>
      <c r="B807" t="str">
        <f t="shared" si="132"/>
        <v>Third Class</v>
      </c>
      <c r="C807">
        <v>1</v>
      </c>
      <c r="E807" t="str">
        <f t="shared" si="133"/>
        <v>Survived</v>
      </c>
      <c r="F807" t="s">
        <v>1750</v>
      </c>
      <c r="G807" t="s">
        <v>848</v>
      </c>
      <c r="H807" t="s">
        <v>1751</v>
      </c>
      <c r="I807" t="str">
        <f t="shared" si="134"/>
        <v>Mr. Foo Choong</v>
      </c>
      <c r="J807" t="s">
        <v>20</v>
      </c>
      <c r="K807" t="str">
        <f t="shared" si="135"/>
        <v>Male</v>
      </c>
      <c r="L807">
        <v>28</v>
      </c>
      <c r="O807">
        <f t="shared" si="136"/>
        <v>28</v>
      </c>
      <c r="P807">
        <v>0</v>
      </c>
      <c r="R807" s="4">
        <v>0</v>
      </c>
      <c r="T807" s="5">
        <v>56.495800000000003</v>
      </c>
      <c r="W807" s="4">
        <v>28</v>
      </c>
      <c r="X807" s="4" t="str">
        <f t="shared" si="137"/>
        <v>Young Adult</v>
      </c>
      <c r="Y807" s="4" t="s">
        <v>3561</v>
      </c>
      <c r="AB807" s="4" t="str">
        <f t="shared" si="138"/>
        <v/>
      </c>
      <c r="AC807" s="4" t="str">
        <f t="shared" si="139"/>
        <v>Unknown</v>
      </c>
      <c r="AD807" s="4" t="s">
        <v>457</v>
      </c>
      <c r="AF807" s="4">
        <v>13</v>
      </c>
      <c r="AG807" s="4">
        <f t="shared" si="140"/>
        <v>13</v>
      </c>
      <c r="AK807" s="4" t="s">
        <v>3573</v>
      </c>
      <c r="AL807" s="4" t="str">
        <f t="shared" si="141"/>
        <v>Found</v>
      </c>
      <c r="AN807" s="6">
        <v>56.495800000000003</v>
      </c>
      <c r="AO807" s="4" t="str">
        <f t="shared" si="142"/>
        <v>High</v>
      </c>
    </row>
    <row r="808" spans="1:41">
      <c r="A808">
        <v>3</v>
      </c>
      <c r="B808" t="str">
        <f t="shared" si="132"/>
        <v>Third Class</v>
      </c>
      <c r="C808">
        <v>0</v>
      </c>
      <c r="E808" t="str">
        <f t="shared" si="133"/>
        <v>Died</v>
      </c>
      <c r="F808" t="s">
        <v>1752</v>
      </c>
      <c r="G808" t="s">
        <v>842</v>
      </c>
      <c r="H808" t="s">
        <v>1753</v>
      </c>
      <c r="I808" t="str">
        <f t="shared" si="134"/>
        <v>Miss. Ford Doolina</v>
      </c>
      <c r="J808" t="s">
        <v>47</v>
      </c>
      <c r="K808" t="str">
        <f t="shared" si="135"/>
        <v>Female</v>
      </c>
      <c r="L808">
        <v>21</v>
      </c>
      <c r="O808">
        <f t="shared" si="136"/>
        <v>21</v>
      </c>
      <c r="P808">
        <v>2</v>
      </c>
      <c r="R808" s="4">
        <v>2</v>
      </c>
      <c r="T808" s="5">
        <v>34.375</v>
      </c>
      <c r="W808" s="4">
        <v>21</v>
      </c>
      <c r="X808" s="4" t="str">
        <f t="shared" si="137"/>
        <v>Young Adult</v>
      </c>
      <c r="Y808" s="4" t="s">
        <v>3561</v>
      </c>
      <c r="AB808" s="4" t="str">
        <f t="shared" si="138"/>
        <v/>
      </c>
      <c r="AC808" s="4" t="str">
        <f t="shared" si="139"/>
        <v>Unknown</v>
      </c>
      <c r="AD808" s="4" t="s">
        <v>457</v>
      </c>
      <c r="AG808" s="4" t="str">
        <f t="shared" si="140"/>
        <v>Not Applicable</v>
      </c>
      <c r="AK808" s="4" t="s">
        <v>3573</v>
      </c>
      <c r="AL808" s="4" t="str">
        <f t="shared" si="141"/>
        <v>Found</v>
      </c>
      <c r="AN808" s="6">
        <v>34.375</v>
      </c>
      <c r="AO808" s="4" t="str">
        <f t="shared" si="142"/>
        <v>Mid</v>
      </c>
    </row>
    <row r="809" spans="1:41">
      <c r="A809">
        <v>3</v>
      </c>
      <c r="B809" t="str">
        <f t="shared" si="132"/>
        <v>Third Class</v>
      </c>
      <c r="C809">
        <v>0</v>
      </c>
      <c r="E809" t="str">
        <f t="shared" si="133"/>
        <v>Died</v>
      </c>
      <c r="F809" t="s">
        <v>1752</v>
      </c>
      <c r="G809" t="s">
        <v>842</v>
      </c>
      <c r="H809" t="s">
        <v>1754</v>
      </c>
      <c r="I809" t="str">
        <f t="shared" si="134"/>
        <v>Miss. Ford Robina</v>
      </c>
      <c r="J809" t="s">
        <v>47</v>
      </c>
      <c r="K809" t="str">
        <f t="shared" si="135"/>
        <v>Female</v>
      </c>
      <c r="L809">
        <v>9</v>
      </c>
      <c r="O809">
        <f t="shared" si="136"/>
        <v>9</v>
      </c>
      <c r="P809">
        <v>2</v>
      </c>
      <c r="R809" s="4">
        <v>2</v>
      </c>
      <c r="T809" s="5">
        <v>34.375</v>
      </c>
      <c r="W809" s="4">
        <v>9</v>
      </c>
      <c r="X809" s="4" t="str">
        <f t="shared" si="137"/>
        <v>Child</v>
      </c>
      <c r="Y809" s="4" t="s">
        <v>3561</v>
      </c>
      <c r="AB809" s="4" t="str">
        <f t="shared" si="138"/>
        <v/>
      </c>
      <c r="AC809" s="4" t="str">
        <f t="shared" si="139"/>
        <v>Unknown</v>
      </c>
      <c r="AD809" s="4" t="s">
        <v>457</v>
      </c>
      <c r="AG809" s="4" t="str">
        <f t="shared" si="140"/>
        <v>Not Applicable</v>
      </c>
      <c r="AK809" s="4" t="s">
        <v>3573</v>
      </c>
      <c r="AL809" s="4" t="str">
        <f t="shared" si="141"/>
        <v>Found</v>
      </c>
      <c r="AN809" s="6">
        <v>34.375</v>
      </c>
      <c r="AO809" s="4" t="str">
        <f t="shared" si="142"/>
        <v>Mid</v>
      </c>
    </row>
    <row r="810" spans="1:41">
      <c r="A810">
        <v>3</v>
      </c>
      <c r="B810" t="str">
        <f t="shared" si="132"/>
        <v>Third Class</v>
      </c>
      <c r="C810">
        <v>0</v>
      </c>
      <c r="E810" t="str">
        <f t="shared" si="133"/>
        <v>Died</v>
      </c>
      <c r="F810" t="s">
        <v>1752</v>
      </c>
      <c r="G810" t="s">
        <v>848</v>
      </c>
      <c r="H810" t="s">
        <v>913</v>
      </c>
      <c r="I810" t="str">
        <f t="shared" si="134"/>
        <v>Mr. Ford Arthur</v>
      </c>
      <c r="J810" t="s">
        <v>20</v>
      </c>
      <c r="K810" t="str">
        <f t="shared" si="135"/>
        <v>Male</v>
      </c>
      <c r="L810">
        <v>28</v>
      </c>
      <c r="O810">
        <f t="shared" si="136"/>
        <v>28</v>
      </c>
      <c r="P810">
        <v>0</v>
      </c>
      <c r="R810" s="4">
        <v>0</v>
      </c>
      <c r="T810" s="5">
        <v>8.0500000000000007</v>
      </c>
      <c r="W810" s="4">
        <v>28</v>
      </c>
      <c r="X810" s="4" t="str">
        <f t="shared" si="137"/>
        <v>Young Adult</v>
      </c>
      <c r="Y810" s="4" t="s">
        <v>3561</v>
      </c>
      <c r="AB810" s="4" t="str">
        <f t="shared" si="138"/>
        <v/>
      </c>
      <c r="AC810" s="4" t="str">
        <f t="shared" si="139"/>
        <v>Unknown</v>
      </c>
      <c r="AD810" s="4" t="s">
        <v>457</v>
      </c>
      <c r="AG810" s="4" t="str">
        <f t="shared" si="140"/>
        <v>Not Applicable</v>
      </c>
      <c r="AK810" s="4" t="s">
        <v>3573</v>
      </c>
      <c r="AL810" s="4" t="str">
        <f t="shared" si="141"/>
        <v>Found</v>
      </c>
      <c r="AN810" s="6">
        <v>8.0500000000000007</v>
      </c>
      <c r="AO810" s="4" t="str">
        <f t="shared" si="142"/>
        <v>Low</v>
      </c>
    </row>
    <row r="811" spans="1:41">
      <c r="A811">
        <v>3</v>
      </c>
      <c r="B811" t="str">
        <f t="shared" si="132"/>
        <v>Third Class</v>
      </c>
      <c r="C811">
        <v>0</v>
      </c>
      <c r="E811" t="str">
        <f t="shared" si="133"/>
        <v>Died</v>
      </c>
      <c r="F811" t="s">
        <v>1752</v>
      </c>
      <c r="G811" t="s">
        <v>848</v>
      </c>
      <c r="H811" t="s">
        <v>857</v>
      </c>
      <c r="I811" t="str">
        <f t="shared" si="134"/>
        <v>Mr. Ford Edward</v>
      </c>
      <c r="J811" t="s">
        <v>20</v>
      </c>
      <c r="K811" t="str">
        <f t="shared" si="135"/>
        <v>Male</v>
      </c>
      <c r="L811">
        <v>18</v>
      </c>
      <c r="O811">
        <f t="shared" si="136"/>
        <v>18</v>
      </c>
      <c r="P811">
        <v>2</v>
      </c>
      <c r="R811" s="4">
        <v>2</v>
      </c>
      <c r="T811" s="5">
        <v>34.375</v>
      </c>
      <c r="W811" s="4">
        <v>18</v>
      </c>
      <c r="X811" s="4" t="str">
        <f t="shared" si="137"/>
        <v>Young Adult</v>
      </c>
      <c r="Y811" s="4" t="s">
        <v>3561</v>
      </c>
      <c r="AB811" s="4" t="str">
        <f t="shared" si="138"/>
        <v/>
      </c>
      <c r="AC811" s="4" t="str">
        <f t="shared" si="139"/>
        <v>Unknown</v>
      </c>
      <c r="AD811" s="4" t="s">
        <v>457</v>
      </c>
      <c r="AG811" s="4" t="str">
        <f t="shared" si="140"/>
        <v>Not Applicable</v>
      </c>
      <c r="AK811" s="4" t="s">
        <v>3573</v>
      </c>
      <c r="AL811" s="4" t="str">
        <f t="shared" si="141"/>
        <v>Found</v>
      </c>
      <c r="AN811" s="6">
        <v>34.375</v>
      </c>
      <c r="AO811" s="4" t="str">
        <f t="shared" si="142"/>
        <v>Mid</v>
      </c>
    </row>
    <row r="812" spans="1:41">
      <c r="A812">
        <v>3</v>
      </c>
      <c r="B812" t="str">
        <f t="shared" si="132"/>
        <v>Third Class</v>
      </c>
      <c r="C812">
        <v>0</v>
      </c>
      <c r="E812" t="str">
        <f t="shared" si="133"/>
        <v>Died</v>
      </c>
      <c r="F812" t="s">
        <v>1752</v>
      </c>
      <c r="G812" t="s">
        <v>848</v>
      </c>
      <c r="H812" t="s">
        <v>924</v>
      </c>
      <c r="I812" t="str">
        <f t="shared" si="134"/>
        <v>Mr. Ford William</v>
      </c>
      <c r="J812" t="s">
        <v>20</v>
      </c>
      <c r="K812" t="str">
        <f t="shared" si="135"/>
        <v>Male</v>
      </c>
      <c r="L812">
        <v>16</v>
      </c>
      <c r="O812">
        <f t="shared" si="136"/>
        <v>16</v>
      </c>
      <c r="P812">
        <v>1</v>
      </c>
      <c r="R812" s="4">
        <v>3</v>
      </c>
      <c r="T812" s="5">
        <v>34.375</v>
      </c>
      <c r="W812" s="4">
        <v>16</v>
      </c>
      <c r="X812" s="4" t="str">
        <f t="shared" si="137"/>
        <v>Teenager</v>
      </c>
      <c r="Y812" s="4" t="s">
        <v>3561</v>
      </c>
      <c r="AB812" s="4" t="str">
        <f t="shared" si="138"/>
        <v/>
      </c>
      <c r="AC812" s="4" t="str">
        <f t="shared" si="139"/>
        <v>Unknown</v>
      </c>
      <c r="AD812" s="4" t="s">
        <v>457</v>
      </c>
      <c r="AG812" s="4" t="str">
        <f t="shared" si="140"/>
        <v>Not Applicable</v>
      </c>
      <c r="AK812" s="4" t="s">
        <v>3573</v>
      </c>
      <c r="AL812" s="4" t="str">
        <f t="shared" si="141"/>
        <v>Found</v>
      </c>
      <c r="AN812" s="6">
        <v>34.375</v>
      </c>
      <c r="AO812" s="4" t="str">
        <f t="shared" si="142"/>
        <v>Mid</v>
      </c>
    </row>
    <row r="813" spans="1:41">
      <c r="A813">
        <v>3</v>
      </c>
      <c r="B813" t="str">
        <f t="shared" si="132"/>
        <v>Third Class</v>
      </c>
      <c r="C813">
        <v>0</v>
      </c>
      <c r="E813" t="str">
        <f t="shared" si="133"/>
        <v>Died</v>
      </c>
      <c r="F813" t="s">
        <v>1752</v>
      </c>
      <c r="G813" t="s">
        <v>849</v>
      </c>
      <c r="H813" t="s">
        <v>857</v>
      </c>
      <c r="I813" t="str">
        <f t="shared" si="134"/>
        <v>Mrs. Ford Edward</v>
      </c>
      <c r="J813" t="s">
        <v>47</v>
      </c>
      <c r="K813" t="str">
        <f t="shared" si="135"/>
        <v>Female</v>
      </c>
      <c r="L813">
        <v>48</v>
      </c>
      <c r="O813">
        <f t="shared" si="136"/>
        <v>48</v>
      </c>
      <c r="P813">
        <v>1</v>
      </c>
      <c r="R813" s="4">
        <v>3</v>
      </c>
      <c r="T813" s="5">
        <v>34.375</v>
      </c>
      <c r="W813" s="4">
        <v>48</v>
      </c>
      <c r="X813" s="4" t="str">
        <f t="shared" si="137"/>
        <v>Adult</v>
      </c>
      <c r="Y813" s="4" t="s">
        <v>3561</v>
      </c>
      <c r="AB813" s="4" t="str">
        <f t="shared" si="138"/>
        <v/>
      </c>
      <c r="AC813" s="4" t="str">
        <f t="shared" si="139"/>
        <v>Unknown</v>
      </c>
      <c r="AD813" s="4" t="s">
        <v>457</v>
      </c>
      <c r="AG813" s="4" t="str">
        <f t="shared" si="140"/>
        <v>Not Applicable</v>
      </c>
      <c r="AK813" s="4" t="s">
        <v>3573</v>
      </c>
      <c r="AL813" s="4" t="str">
        <f t="shared" si="141"/>
        <v>Found</v>
      </c>
      <c r="AN813" s="6">
        <v>34.375</v>
      </c>
      <c r="AO813" s="4" t="str">
        <f t="shared" si="142"/>
        <v>Mid</v>
      </c>
    </row>
    <row r="814" spans="1:41">
      <c r="A814">
        <v>3</v>
      </c>
      <c r="B814" t="str">
        <f t="shared" si="132"/>
        <v>Third Class</v>
      </c>
      <c r="C814">
        <v>0</v>
      </c>
      <c r="E814" t="str">
        <f t="shared" si="133"/>
        <v>Died</v>
      </c>
      <c r="F814" t="s">
        <v>1349</v>
      </c>
      <c r="G814" t="s">
        <v>848</v>
      </c>
      <c r="H814" t="s">
        <v>1649</v>
      </c>
      <c r="I814" t="str">
        <f t="shared" si="134"/>
        <v>Mr. Fox Patrick</v>
      </c>
      <c r="J814" t="s">
        <v>20</v>
      </c>
      <c r="K814" t="str">
        <f t="shared" si="135"/>
        <v>Male</v>
      </c>
      <c r="L814">
        <v>28</v>
      </c>
      <c r="O814">
        <f t="shared" si="136"/>
        <v>28</v>
      </c>
      <c r="P814">
        <v>0</v>
      </c>
      <c r="R814" s="4">
        <v>0</v>
      </c>
      <c r="T814" s="5">
        <v>7.75</v>
      </c>
      <c r="W814" s="4">
        <v>28</v>
      </c>
      <c r="X814" s="4" t="str">
        <f t="shared" si="137"/>
        <v>Young Adult</v>
      </c>
      <c r="Y814" s="4" t="s">
        <v>3561</v>
      </c>
      <c r="AB814" s="4" t="str">
        <f t="shared" si="138"/>
        <v/>
      </c>
      <c r="AC814" s="4" t="str">
        <f t="shared" si="139"/>
        <v>Unknown</v>
      </c>
      <c r="AD814" s="4" t="s">
        <v>3567</v>
      </c>
      <c r="AG814" s="4" t="str">
        <f t="shared" si="140"/>
        <v>Not Applicable</v>
      </c>
      <c r="AK814" s="4" t="s">
        <v>3573</v>
      </c>
      <c r="AL814" s="4" t="str">
        <f t="shared" si="141"/>
        <v>Found</v>
      </c>
      <c r="AN814" s="6">
        <v>7.75</v>
      </c>
      <c r="AO814" s="4" t="str">
        <f t="shared" si="142"/>
        <v>Low</v>
      </c>
    </row>
    <row r="815" spans="1:41">
      <c r="A815">
        <v>3</v>
      </c>
      <c r="B815" t="str">
        <f t="shared" si="132"/>
        <v>Third Class</v>
      </c>
      <c r="C815">
        <v>0</v>
      </c>
      <c r="E815" t="str">
        <f t="shared" si="133"/>
        <v>Died</v>
      </c>
      <c r="F815" t="s">
        <v>1026</v>
      </c>
      <c r="G815" t="s">
        <v>848</v>
      </c>
      <c r="H815" t="s">
        <v>1000</v>
      </c>
      <c r="I815" t="str">
        <f t="shared" si="134"/>
        <v>Mr. Franklin Charles</v>
      </c>
      <c r="J815" t="s">
        <v>20</v>
      </c>
      <c r="K815" t="str">
        <f t="shared" si="135"/>
        <v>Male</v>
      </c>
      <c r="L815">
        <v>28</v>
      </c>
      <c r="O815">
        <f t="shared" si="136"/>
        <v>28</v>
      </c>
      <c r="P815">
        <v>0</v>
      </c>
      <c r="R815" s="4">
        <v>0</v>
      </c>
      <c r="T815" s="5">
        <v>7.25</v>
      </c>
      <c r="W815" s="4">
        <v>28</v>
      </c>
      <c r="X815" s="4" t="str">
        <f t="shared" si="137"/>
        <v>Young Adult</v>
      </c>
      <c r="Y815" s="4" t="s">
        <v>3561</v>
      </c>
      <c r="AB815" s="4" t="str">
        <f t="shared" si="138"/>
        <v/>
      </c>
      <c r="AC815" s="4" t="str">
        <f t="shared" si="139"/>
        <v>Unknown</v>
      </c>
      <c r="AD815" s="4" t="s">
        <v>457</v>
      </c>
      <c r="AG815" s="4" t="str">
        <f t="shared" si="140"/>
        <v>Not Applicable</v>
      </c>
      <c r="AK815" s="4" t="s">
        <v>3573</v>
      </c>
      <c r="AL815" s="4" t="str">
        <f t="shared" si="141"/>
        <v>Found</v>
      </c>
      <c r="AN815" s="6">
        <v>7.25</v>
      </c>
      <c r="AO815" s="4" t="str">
        <f t="shared" si="142"/>
        <v>Low</v>
      </c>
    </row>
    <row r="816" spans="1:41">
      <c r="A816">
        <v>3</v>
      </c>
      <c r="B816" t="str">
        <f t="shared" si="132"/>
        <v>Third Class</v>
      </c>
      <c r="C816">
        <v>0</v>
      </c>
      <c r="E816" t="str">
        <f t="shared" si="133"/>
        <v>Died</v>
      </c>
      <c r="F816" t="s">
        <v>1756</v>
      </c>
      <c r="G816" t="s">
        <v>848</v>
      </c>
      <c r="H816" t="s">
        <v>1189</v>
      </c>
      <c r="I816" t="str">
        <f t="shared" si="134"/>
        <v>Mr. Gallagher Martin</v>
      </c>
      <c r="J816" t="s">
        <v>20</v>
      </c>
      <c r="K816" t="str">
        <f t="shared" si="135"/>
        <v>Male</v>
      </c>
      <c r="L816">
        <v>25</v>
      </c>
      <c r="O816">
        <f t="shared" si="136"/>
        <v>25</v>
      </c>
      <c r="P816">
        <v>0</v>
      </c>
      <c r="R816" s="4">
        <v>0</v>
      </c>
      <c r="T816" s="5">
        <v>7.7416999999999998</v>
      </c>
      <c r="W816" s="4">
        <v>25</v>
      </c>
      <c r="X816" s="4" t="str">
        <f t="shared" si="137"/>
        <v>Young Adult</v>
      </c>
      <c r="Y816" s="4" t="s">
        <v>3561</v>
      </c>
      <c r="AB816" s="4" t="str">
        <f t="shared" si="138"/>
        <v/>
      </c>
      <c r="AC816" s="4" t="str">
        <f t="shared" si="139"/>
        <v>Unknown</v>
      </c>
      <c r="AD816" s="4" t="s">
        <v>3567</v>
      </c>
      <c r="AG816" s="4" t="str">
        <f t="shared" si="140"/>
        <v>Not Applicable</v>
      </c>
      <c r="AK816" s="4" t="s">
        <v>3573</v>
      </c>
      <c r="AL816" s="4" t="str">
        <f t="shared" si="141"/>
        <v>Found</v>
      </c>
      <c r="AN816" s="6">
        <v>7.7416999999999998</v>
      </c>
      <c r="AO816" s="4" t="str">
        <f t="shared" si="142"/>
        <v>Low</v>
      </c>
    </row>
    <row r="817" spans="1:41">
      <c r="A817">
        <v>3</v>
      </c>
      <c r="B817" t="str">
        <f t="shared" si="132"/>
        <v>Third Class</v>
      </c>
      <c r="C817">
        <v>0</v>
      </c>
      <c r="E817" t="str">
        <f t="shared" si="133"/>
        <v>Died</v>
      </c>
      <c r="F817" t="s">
        <v>1757</v>
      </c>
      <c r="G817" t="s">
        <v>848</v>
      </c>
      <c r="H817" t="s">
        <v>862</v>
      </c>
      <c r="I817" t="str">
        <f t="shared" si="134"/>
        <v>Mr. Garfirth John</v>
      </c>
      <c r="J817" t="s">
        <v>20</v>
      </c>
      <c r="K817" t="str">
        <f t="shared" si="135"/>
        <v>Male</v>
      </c>
      <c r="L817">
        <v>28</v>
      </c>
      <c r="O817">
        <f t="shared" si="136"/>
        <v>28</v>
      </c>
      <c r="P817">
        <v>0</v>
      </c>
      <c r="R817" s="4">
        <v>0</v>
      </c>
      <c r="T817" s="5">
        <v>14.5</v>
      </c>
      <c r="W817" s="4">
        <v>28</v>
      </c>
      <c r="X817" s="4" t="str">
        <f t="shared" si="137"/>
        <v>Young Adult</v>
      </c>
      <c r="Y817" s="4" t="s">
        <v>3561</v>
      </c>
      <c r="AB817" s="4" t="str">
        <f t="shared" si="138"/>
        <v/>
      </c>
      <c r="AC817" s="4" t="str">
        <f t="shared" si="139"/>
        <v>Unknown</v>
      </c>
      <c r="AD817" s="4" t="s">
        <v>457</v>
      </c>
      <c r="AG817" s="4" t="str">
        <f t="shared" si="140"/>
        <v>Not Applicable</v>
      </c>
      <c r="AK817" s="4" t="s">
        <v>3573</v>
      </c>
      <c r="AL817" s="4" t="str">
        <f t="shared" si="141"/>
        <v>Found</v>
      </c>
      <c r="AN817" s="6">
        <v>14.5</v>
      </c>
      <c r="AO817" s="4" t="str">
        <f t="shared" si="142"/>
        <v>Mid</v>
      </c>
    </row>
    <row r="818" spans="1:41">
      <c r="A818">
        <v>3</v>
      </c>
      <c r="B818" t="str">
        <f t="shared" si="132"/>
        <v>Third Class</v>
      </c>
      <c r="C818">
        <v>0</v>
      </c>
      <c r="E818" t="str">
        <f t="shared" si="133"/>
        <v>Died</v>
      </c>
      <c r="F818" t="s">
        <v>1758</v>
      </c>
      <c r="G818" t="s">
        <v>848</v>
      </c>
      <c r="H818" t="s">
        <v>1759</v>
      </c>
      <c r="I818" t="str">
        <f t="shared" si="134"/>
        <v>Mr. Gheorgheff Stanio</v>
      </c>
      <c r="J818" t="s">
        <v>20</v>
      </c>
      <c r="K818" t="str">
        <f t="shared" si="135"/>
        <v>Male</v>
      </c>
      <c r="L818">
        <v>28</v>
      </c>
      <c r="O818">
        <f t="shared" si="136"/>
        <v>28</v>
      </c>
      <c r="P818">
        <v>0</v>
      </c>
      <c r="R818" s="4">
        <v>0</v>
      </c>
      <c r="T818" s="5">
        <v>7.8958000000000004</v>
      </c>
      <c r="W818" s="4">
        <v>28</v>
      </c>
      <c r="X818" s="4" t="str">
        <f t="shared" si="137"/>
        <v>Young Adult</v>
      </c>
      <c r="Y818" s="4" t="s">
        <v>3561</v>
      </c>
      <c r="AB818" s="4" t="str">
        <f t="shared" si="138"/>
        <v/>
      </c>
      <c r="AC818" s="4" t="str">
        <f t="shared" si="139"/>
        <v>Unknown</v>
      </c>
      <c r="AD818" s="4" t="s">
        <v>3566</v>
      </c>
      <c r="AG818" s="4" t="str">
        <f t="shared" si="140"/>
        <v>Not Applicable</v>
      </c>
      <c r="AK818" s="4" t="s">
        <v>3573</v>
      </c>
      <c r="AL818" s="4" t="str">
        <f t="shared" si="141"/>
        <v>Found</v>
      </c>
      <c r="AN818" s="6">
        <v>7.8958000000000004</v>
      </c>
      <c r="AO818" s="4" t="str">
        <f t="shared" si="142"/>
        <v>Low</v>
      </c>
    </row>
    <row r="819" spans="1:41">
      <c r="A819">
        <v>3</v>
      </c>
      <c r="B819" t="str">
        <f t="shared" si="132"/>
        <v>Third Class</v>
      </c>
      <c r="C819">
        <v>0</v>
      </c>
      <c r="E819" t="str">
        <f t="shared" si="133"/>
        <v>Died</v>
      </c>
      <c r="F819" t="s">
        <v>1760</v>
      </c>
      <c r="G819" t="s">
        <v>848</v>
      </c>
      <c r="H819" t="s">
        <v>1761</v>
      </c>
      <c r="I819" t="str">
        <f t="shared" si="134"/>
        <v>Mr. Gilinski Eliezer</v>
      </c>
      <c r="J819" t="s">
        <v>20</v>
      </c>
      <c r="K819" t="str">
        <f t="shared" si="135"/>
        <v>Male</v>
      </c>
      <c r="L819">
        <v>22</v>
      </c>
      <c r="O819">
        <f t="shared" si="136"/>
        <v>22</v>
      </c>
      <c r="P819">
        <v>0</v>
      </c>
      <c r="R819" s="4">
        <v>0</v>
      </c>
      <c r="T819" s="5">
        <v>8.0500000000000007</v>
      </c>
      <c r="W819" s="4">
        <v>22</v>
      </c>
      <c r="X819" s="4" t="str">
        <f t="shared" si="137"/>
        <v>Young Adult</v>
      </c>
      <c r="Y819" s="4" t="s">
        <v>3561</v>
      </c>
      <c r="AB819" s="4" t="str">
        <f t="shared" si="138"/>
        <v/>
      </c>
      <c r="AC819" s="4" t="str">
        <f t="shared" si="139"/>
        <v>Unknown</v>
      </c>
      <c r="AD819" s="4" t="s">
        <v>457</v>
      </c>
      <c r="AG819" s="4" t="str">
        <f t="shared" si="140"/>
        <v>Not Applicable</v>
      </c>
      <c r="AH819" s="4">
        <v>47</v>
      </c>
      <c r="AK819" s="4">
        <v>47</v>
      </c>
      <c r="AL819" s="4" t="str">
        <f t="shared" si="141"/>
        <v>Found</v>
      </c>
      <c r="AN819" s="6">
        <v>8.0500000000000007</v>
      </c>
      <c r="AO819" s="4" t="str">
        <f t="shared" si="142"/>
        <v>Low</v>
      </c>
    </row>
    <row r="820" spans="1:41">
      <c r="A820">
        <v>3</v>
      </c>
      <c r="B820" t="str">
        <f t="shared" si="132"/>
        <v>Third Class</v>
      </c>
      <c r="C820">
        <v>1</v>
      </c>
      <c r="E820" t="str">
        <f t="shared" si="133"/>
        <v>Survived</v>
      </c>
      <c r="F820" t="s">
        <v>1762</v>
      </c>
      <c r="G820" t="s">
        <v>842</v>
      </c>
      <c r="H820" t="s">
        <v>1637</v>
      </c>
      <c r="I820" t="str">
        <f t="shared" si="134"/>
        <v>Miss. Gilnagh Katherine</v>
      </c>
      <c r="J820" t="s">
        <v>47</v>
      </c>
      <c r="K820" t="str">
        <f t="shared" si="135"/>
        <v>Female</v>
      </c>
      <c r="L820">
        <v>16</v>
      </c>
      <c r="O820">
        <f t="shared" si="136"/>
        <v>16</v>
      </c>
      <c r="P820">
        <v>0</v>
      </c>
      <c r="R820" s="4">
        <v>0</v>
      </c>
      <c r="T820" s="5">
        <v>7.7332999999999998</v>
      </c>
      <c r="W820" s="4">
        <v>16</v>
      </c>
      <c r="X820" s="4" t="str">
        <f t="shared" si="137"/>
        <v>Teenager</v>
      </c>
      <c r="Y820" s="4" t="s">
        <v>3561</v>
      </c>
      <c r="AB820" s="4" t="str">
        <f t="shared" si="138"/>
        <v/>
      </c>
      <c r="AC820" s="4" t="str">
        <f t="shared" si="139"/>
        <v>Unknown</v>
      </c>
      <c r="AD820" s="4" t="s">
        <v>3567</v>
      </c>
      <c r="AF820" s="4">
        <v>16</v>
      </c>
      <c r="AG820" s="4">
        <f t="shared" si="140"/>
        <v>16</v>
      </c>
      <c r="AK820" s="4" t="s">
        <v>3573</v>
      </c>
      <c r="AL820" s="4" t="str">
        <f t="shared" si="141"/>
        <v>Found</v>
      </c>
      <c r="AN820" s="6">
        <v>7.7332999999999998</v>
      </c>
      <c r="AO820" s="4" t="str">
        <f t="shared" si="142"/>
        <v>Low</v>
      </c>
    </row>
    <row r="821" spans="1:41">
      <c r="A821">
        <v>3</v>
      </c>
      <c r="B821" t="str">
        <f t="shared" si="132"/>
        <v>Third Class</v>
      </c>
      <c r="C821">
        <v>1</v>
      </c>
      <c r="E821" t="str">
        <f t="shared" si="133"/>
        <v>Survived</v>
      </c>
      <c r="F821" t="s">
        <v>1764</v>
      </c>
      <c r="G821" t="s">
        <v>842</v>
      </c>
      <c r="H821" t="s">
        <v>1107</v>
      </c>
      <c r="I821" t="str">
        <f t="shared" si="134"/>
        <v>Miss. Glynn Mary</v>
      </c>
      <c r="J821" t="s">
        <v>47</v>
      </c>
      <c r="K821" t="str">
        <f t="shared" si="135"/>
        <v>Female</v>
      </c>
      <c r="L821">
        <v>28</v>
      </c>
      <c r="O821">
        <f t="shared" si="136"/>
        <v>28</v>
      </c>
      <c r="P821">
        <v>0</v>
      </c>
      <c r="R821" s="4">
        <v>0</v>
      </c>
      <c r="T821" s="5">
        <v>7.75</v>
      </c>
      <c r="W821" s="4">
        <v>28</v>
      </c>
      <c r="X821" s="4" t="str">
        <f t="shared" si="137"/>
        <v>Young Adult</v>
      </c>
      <c r="Y821" s="4" t="s">
        <v>3561</v>
      </c>
      <c r="AB821" s="4" t="str">
        <f t="shared" si="138"/>
        <v/>
      </c>
      <c r="AC821" s="4" t="str">
        <f t="shared" si="139"/>
        <v>Unknown</v>
      </c>
      <c r="AD821" s="4" t="s">
        <v>3567</v>
      </c>
      <c r="AF821" s="4">
        <v>13</v>
      </c>
      <c r="AG821" s="4">
        <f t="shared" si="140"/>
        <v>13</v>
      </c>
      <c r="AK821" s="4" t="s">
        <v>3573</v>
      </c>
      <c r="AL821" s="4" t="str">
        <f t="shared" si="141"/>
        <v>Found</v>
      </c>
      <c r="AN821" s="6">
        <v>7.75</v>
      </c>
      <c r="AO821" s="4" t="str">
        <f t="shared" si="142"/>
        <v>Low</v>
      </c>
    </row>
    <row r="822" spans="1:41">
      <c r="A822">
        <v>3</v>
      </c>
      <c r="B822" t="str">
        <f t="shared" si="132"/>
        <v>Third Class</v>
      </c>
      <c r="C822">
        <v>1</v>
      </c>
      <c r="E822" t="str">
        <f t="shared" si="133"/>
        <v>Survived</v>
      </c>
      <c r="F822" t="s">
        <v>1765</v>
      </c>
      <c r="G822" t="s">
        <v>845</v>
      </c>
      <c r="H822" t="s">
        <v>1249</v>
      </c>
      <c r="I822" t="str">
        <f t="shared" si="134"/>
        <v>Master. Goldsmith Frank</v>
      </c>
      <c r="J822" t="s">
        <v>20</v>
      </c>
      <c r="K822" t="str">
        <f t="shared" si="135"/>
        <v>Male</v>
      </c>
      <c r="L822">
        <v>9</v>
      </c>
      <c r="O822">
        <f t="shared" si="136"/>
        <v>9</v>
      </c>
      <c r="P822">
        <v>0</v>
      </c>
      <c r="R822" s="4">
        <v>2</v>
      </c>
      <c r="T822" s="5">
        <v>20.524999999999999</v>
      </c>
      <c r="W822" s="4">
        <v>9</v>
      </c>
      <c r="X822" s="4" t="str">
        <f t="shared" si="137"/>
        <v>Child</v>
      </c>
      <c r="Y822" s="4" t="s">
        <v>3561</v>
      </c>
      <c r="AB822" s="4" t="str">
        <f t="shared" si="138"/>
        <v/>
      </c>
      <c r="AC822" s="4" t="str">
        <f t="shared" si="139"/>
        <v>Unknown</v>
      </c>
      <c r="AD822" s="4" t="s">
        <v>457</v>
      </c>
      <c r="AF822" s="4" t="s">
        <v>739</v>
      </c>
      <c r="AG822" s="4" t="str">
        <f t="shared" si="140"/>
        <v>C D</v>
      </c>
      <c r="AK822" s="4" t="s">
        <v>3573</v>
      </c>
      <c r="AL822" s="4" t="str">
        <f t="shared" si="141"/>
        <v>Found</v>
      </c>
      <c r="AN822" s="6">
        <v>20.524999999999999</v>
      </c>
      <c r="AO822" s="4" t="str">
        <f t="shared" si="142"/>
        <v>Mid</v>
      </c>
    </row>
    <row r="823" spans="1:41">
      <c r="A823">
        <v>3</v>
      </c>
      <c r="B823" t="str">
        <f t="shared" si="132"/>
        <v>Third Class</v>
      </c>
      <c r="C823">
        <v>0</v>
      </c>
      <c r="E823" t="str">
        <f t="shared" si="133"/>
        <v>Died</v>
      </c>
      <c r="F823" t="s">
        <v>1765</v>
      </c>
      <c r="G823" t="s">
        <v>848</v>
      </c>
      <c r="H823" t="s">
        <v>1249</v>
      </c>
      <c r="I823" t="str">
        <f t="shared" si="134"/>
        <v>Mr. Goldsmith Frank</v>
      </c>
      <c r="J823" t="s">
        <v>20</v>
      </c>
      <c r="K823" t="str">
        <f t="shared" si="135"/>
        <v>Male</v>
      </c>
      <c r="L823">
        <v>33</v>
      </c>
      <c r="O823">
        <f t="shared" si="136"/>
        <v>33</v>
      </c>
      <c r="P823">
        <v>1</v>
      </c>
      <c r="R823" s="4">
        <v>1</v>
      </c>
      <c r="T823" s="5">
        <v>20.524999999999999</v>
      </c>
      <c r="W823" s="4">
        <v>33</v>
      </c>
      <c r="X823" s="4" t="str">
        <f t="shared" si="137"/>
        <v>Adult</v>
      </c>
      <c r="Y823" s="4" t="s">
        <v>3561</v>
      </c>
      <c r="AB823" s="4" t="str">
        <f t="shared" si="138"/>
        <v/>
      </c>
      <c r="AC823" s="4" t="str">
        <f t="shared" si="139"/>
        <v>Unknown</v>
      </c>
      <c r="AD823" s="4" t="s">
        <v>457</v>
      </c>
      <c r="AG823" s="4" t="str">
        <f t="shared" si="140"/>
        <v>Not Applicable</v>
      </c>
      <c r="AK823" s="4" t="s">
        <v>3573</v>
      </c>
      <c r="AL823" s="4" t="str">
        <f t="shared" si="141"/>
        <v>Found</v>
      </c>
      <c r="AN823" s="6">
        <v>20.524999999999999</v>
      </c>
      <c r="AO823" s="4" t="str">
        <f t="shared" si="142"/>
        <v>Mid</v>
      </c>
    </row>
    <row r="824" spans="1:41">
      <c r="A824">
        <v>3</v>
      </c>
      <c r="B824" t="str">
        <f t="shared" si="132"/>
        <v>Third Class</v>
      </c>
      <c r="C824">
        <v>0</v>
      </c>
      <c r="E824" t="str">
        <f t="shared" si="133"/>
        <v>Died</v>
      </c>
      <c r="F824" t="s">
        <v>1765</v>
      </c>
      <c r="G824" t="s">
        <v>848</v>
      </c>
      <c r="H824" t="s">
        <v>1766</v>
      </c>
      <c r="I824" t="str">
        <f t="shared" si="134"/>
        <v>Mr. Goldsmith Nathan</v>
      </c>
      <c r="J824" t="s">
        <v>20</v>
      </c>
      <c r="K824" t="str">
        <f t="shared" si="135"/>
        <v>Male</v>
      </c>
      <c r="L824">
        <v>41</v>
      </c>
      <c r="O824">
        <f t="shared" si="136"/>
        <v>41</v>
      </c>
      <c r="P824">
        <v>0</v>
      </c>
      <c r="R824" s="4">
        <v>0</v>
      </c>
      <c r="T824" s="5">
        <v>7.85</v>
      </c>
      <c r="W824" s="4">
        <v>41</v>
      </c>
      <c r="X824" s="4" t="str">
        <f t="shared" si="137"/>
        <v>Adult</v>
      </c>
      <c r="Y824" s="4" t="s">
        <v>3561</v>
      </c>
      <c r="AB824" s="4" t="str">
        <f t="shared" si="138"/>
        <v/>
      </c>
      <c r="AC824" s="4" t="str">
        <f t="shared" si="139"/>
        <v>Unknown</v>
      </c>
      <c r="AD824" s="4" t="s">
        <v>457</v>
      </c>
      <c r="AG824" s="4" t="str">
        <f t="shared" si="140"/>
        <v>Not Applicable</v>
      </c>
      <c r="AK824" s="4" t="s">
        <v>3573</v>
      </c>
      <c r="AL824" s="4" t="str">
        <f t="shared" si="141"/>
        <v>Found</v>
      </c>
      <c r="AN824" s="6">
        <v>7.85</v>
      </c>
      <c r="AO824" s="4" t="str">
        <f t="shared" si="142"/>
        <v>Low</v>
      </c>
    </row>
    <row r="825" spans="1:41">
      <c r="A825">
        <v>3</v>
      </c>
      <c r="B825" t="str">
        <f t="shared" si="132"/>
        <v>Third Class</v>
      </c>
      <c r="C825">
        <v>1</v>
      </c>
      <c r="E825" t="str">
        <f t="shared" si="133"/>
        <v>Survived</v>
      </c>
      <c r="F825" t="s">
        <v>1765</v>
      </c>
      <c r="G825" t="s">
        <v>849</v>
      </c>
      <c r="H825" t="s">
        <v>1249</v>
      </c>
      <c r="I825" t="str">
        <f t="shared" si="134"/>
        <v>Mrs. Goldsmith Frank</v>
      </c>
      <c r="J825" t="s">
        <v>47</v>
      </c>
      <c r="K825" t="str">
        <f t="shared" si="135"/>
        <v>Female</v>
      </c>
      <c r="L825">
        <v>31</v>
      </c>
      <c r="O825">
        <f t="shared" si="136"/>
        <v>31</v>
      </c>
      <c r="P825">
        <v>1</v>
      </c>
      <c r="R825" s="4">
        <v>1</v>
      </c>
      <c r="T825" s="5">
        <v>20.524999999999999</v>
      </c>
      <c r="W825" s="4">
        <v>31</v>
      </c>
      <c r="X825" s="4" t="str">
        <f t="shared" si="137"/>
        <v>Adult</v>
      </c>
      <c r="Y825" s="4" t="s">
        <v>3561</v>
      </c>
      <c r="AB825" s="4" t="str">
        <f t="shared" si="138"/>
        <v/>
      </c>
      <c r="AC825" s="4" t="str">
        <f t="shared" si="139"/>
        <v>Unknown</v>
      </c>
      <c r="AD825" s="4" t="s">
        <v>457</v>
      </c>
      <c r="AF825" s="4" t="s">
        <v>739</v>
      </c>
      <c r="AG825" s="4" t="str">
        <f t="shared" si="140"/>
        <v>C D</v>
      </c>
      <c r="AK825" s="4" t="s">
        <v>3573</v>
      </c>
      <c r="AL825" s="4" t="str">
        <f t="shared" si="141"/>
        <v>Found</v>
      </c>
      <c r="AN825" s="6">
        <v>20.524999999999999</v>
      </c>
      <c r="AO825" s="4" t="str">
        <f t="shared" si="142"/>
        <v>Mid</v>
      </c>
    </row>
    <row r="826" spans="1:41">
      <c r="A826">
        <v>3</v>
      </c>
      <c r="B826" t="str">
        <f t="shared" si="132"/>
        <v>Third Class</v>
      </c>
      <c r="C826">
        <v>0</v>
      </c>
      <c r="E826" t="str">
        <f t="shared" si="133"/>
        <v>Died</v>
      </c>
      <c r="F826" t="s">
        <v>1767</v>
      </c>
      <c r="G826" t="s">
        <v>848</v>
      </c>
      <c r="H826" t="s">
        <v>1241</v>
      </c>
      <c r="I826" t="str">
        <f t="shared" si="134"/>
        <v>Mr. Goncalves Manuel</v>
      </c>
      <c r="J826" t="s">
        <v>20</v>
      </c>
      <c r="K826" t="str">
        <f t="shared" si="135"/>
        <v>Male</v>
      </c>
      <c r="L826">
        <v>38</v>
      </c>
      <c r="O826">
        <f t="shared" si="136"/>
        <v>38</v>
      </c>
      <c r="P826">
        <v>0</v>
      </c>
      <c r="R826" s="4">
        <v>0</v>
      </c>
      <c r="T826" s="5">
        <v>7.05</v>
      </c>
      <c r="W826" s="4">
        <v>38</v>
      </c>
      <c r="X826" s="4" t="str">
        <f t="shared" si="137"/>
        <v>Adult</v>
      </c>
      <c r="Y826" s="4" t="s">
        <v>3561</v>
      </c>
      <c r="AB826" s="4" t="str">
        <f t="shared" si="138"/>
        <v/>
      </c>
      <c r="AC826" s="4" t="str">
        <f t="shared" si="139"/>
        <v>Unknown</v>
      </c>
      <c r="AD826" s="4" t="s">
        <v>457</v>
      </c>
      <c r="AG826" s="4" t="str">
        <f t="shared" si="140"/>
        <v>Not Applicable</v>
      </c>
      <c r="AK826" s="4" t="s">
        <v>3573</v>
      </c>
      <c r="AL826" s="4" t="str">
        <f t="shared" si="141"/>
        <v>Found</v>
      </c>
      <c r="AN826" s="6">
        <v>7.05</v>
      </c>
      <c r="AO826" s="4" t="str">
        <f t="shared" si="142"/>
        <v>Low</v>
      </c>
    </row>
    <row r="827" spans="1:41">
      <c r="A827">
        <v>3</v>
      </c>
      <c r="B827" t="str">
        <f t="shared" si="132"/>
        <v>Third Class</v>
      </c>
      <c r="C827">
        <v>0</v>
      </c>
      <c r="E827" t="str">
        <f t="shared" si="133"/>
        <v>Died</v>
      </c>
      <c r="F827" t="s">
        <v>1768</v>
      </c>
      <c r="G827" t="s">
        <v>845</v>
      </c>
      <c r="H827" t="s">
        <v>1769</v>
      </c>
      <c r="I827" t="str">
        <f t="shared" si="134"/>
        <v>Master. Goodwin Harold</v>
      </c>
      <c r="J827" t="s">
        <v>20</v>
      </c>
      <c r="K827" t="str">
        <f t="shared" si="135"/>
        <v>Male</v>
      </c>
      <c r="L827">
        <v>9</v>
      </c>
      <c r="O827">
        <f t="shared" si="136"/>
        <v>9</v>
      </c>
      <c r="P827">
        <v>5</v>
      </c>
      <c r="R827" s="4">
        <v>2</v>
      </c>
      <c r="T827" s="5">
        <v>46.9</v>
      </c>
      <c r="W827" s="4">
        <v>9</v>
      </c>
      <c r="X827" s="4" t="str">
        <f t="shared" si="137"/>
        <v>Child</v>
      </c>
      <c r="Y827" s="4" t="s">
        <v>3561</v>
      </c>
      <c r="AB827" s="4" t="str">
        <f t="shared" si="138"/>
        <v/>
      </c>
      <c r="AC827" s="4" t="str">
        <f t="shared" si="139"/>
        <v>Unknown</v>
      </c>
      <c r="AD827" s="4" t="s">
        <v>457</v>
      </c>
      <c r="AG827" s="4" t="str">
        <f t="shared" si="140"/>
        <v>Not Applicable</v>
      </c>
      <c r="AK827" s="4" t="s">
        <v>3573</v>
      </c>
      <c r="AL827" s="4" t="str">
        <f t="shared" si="141"/>
        <v>Found</v>
      </c>
      <c r="AN827" s="6">
        <v>46.9</v>
      </c>
      <c r="AO827" s="4" t="str">
        <f t="shared" si="142"/>
        <v>Mid</v>
      </c>
    </row>
    <row r="828" spans="1:41">
      <c r="A828">
        <v>3</v>
      </c>
      <c r="B828" t="str">
        <f t="shared" si="132"/>
        <v>Third Class</v>
      </c>
      <c r="C828">
        <v>0</v>
      </c>
      <c r="E828" t="str">
        <f t="shared" si="133"/>
        <v>Died</v>
      </c>
      <c r="F828" t="s">
        <v>1768</v>
      </c>
      <c r="G828" t="s">
        <v>845</v>
      </c>
      <c r="H828" t="s">
        <v>1317</v>
      </c>
      <c r="I828" t="str">
        <f t="shared" si="134"/>
        <v>Master. Goodwin Sidney</v>
      </c>
      <c r="J828" t="s">
        <v>20</v>
      </c>
      <c r="K828" t="str">
        <f t="shared" si="135"/>
        <v>Male</v>
      </c>
      <c r="L828">
        <v>1</v>
      </c>
      <c r="O828">
        <f t="shared" si="136"/>
        <v>1</v>
      </c>
      <c r="P828">
        <v>5</v>
      </c>
      <c r="R828" s="4">
        <v>2</v>
      </c>
      <c r="T828" s="5">
        <v>46.9</v>
      </c>
      <c r="W828" s="4">
        <v>1</v>
      </c>
      <c r="X828" s="4" t="str">
        <f t="shared" si="137"/>
        <v>Child</v>
      </c>
      <c r="Y828" s="4" t="s">
        <v>3561</v>
      </c>
      <c r="AB828" s="4" t="str">
        <f t="shared" si="138"/>
        <v/>
      </c>
      <c r="AC828" s="4" t="str">
        <f t="shared" si="139"/>
        <v>Unknown</v>
      </c>
      <c r="AD828" s="4" t="s">
        <v>457</v>
      </c>
      <c r="AG828" s="4" t="str">
        <f t="shared" si="140"/>
        <v>Not Applicable</v>
      </c>
      <c r="AK828" s="4" t="s">
        <v>3573</v>
      </c>
      <c r="AL828" s="4" t="str">
        <f t="shared" si="141"/>
        <v>Found</v>
      </c>
      <c r="AN828" s="6">
        <v>46.9</v>
      </c>
      <c r="AO828" s="4" t="str">
        <f t="shared" si="142"/>
        <v>Mid</v>
      </c>
    </row>
    <row r="829" spans="1:41">
      <c r="A829">
        <v>3</v>
      </c>
      <c r="B829" t="str">
        <f t="shared" si="132"/>
        <v>Third Class</v>
      </c>
      <c r="C829">
        <v>0</v>
      </c>
      <c r="E829" t="str">
        <f t="shared" si="133"/>
        <v>Died</v>
      </c>
      <c r="F829" t="s">
        <v>1768</v>
      </c>
      <c r="G829" t="s">
        <v>845</v>
      </c>
      <c r="H829" t="s">
        <v>924</v>
      </c>
      <c r="I829" t="str">
        <f t="shared" si="134"/>
        <v>Master. Goodwin William</v>
      </c>
      <c r="J829" t="s">
        <v>20</v>
      </c>
      <c r="K829" t="str">
        <f t="shared" si="135"/>
        <v>Male</v>
      </c>
      <c r="L829">
        <v>11</v>
      </c>
      <c r="O829">
        <f t="shared" si="136"/>
        <v>11</v>
      </c>
      <c r="P829">
        <v>5</v>
      </c>
      <c r="R829" s="4">
        <v>2</v>
      </c>
      <c r="T829" s="5">
        <v>46.9</v>
      </c>
      <c r="W829" s="4">
        <v>11</v>
      </c>
      <c r="X829" s="4" t="str">
        <f t="shared" si="137"/>
        <v>Teenager</v>
      </c>
      <c r="Y829" s="4" t="s">
        <v>3561</v>
      </c>
      <c r="AB829" s="4" t="str">
        <f t="shared" si="138"/>
        <v/>
      </c>
      <c r="AC829" s="4" t="str">
        <f t="shared" si="139"/>
        <v>Unknown</v>
      </c>
      <c r="AD829" s="4" t="s">
        <v>457</v>
      </c>
      <c r="AG829" s="4" t="str">
        <f t="shared" si="140"/>
        <v>Not Applicable</v>
      </c>
      <c r="AK829" s="4" t="s">
        <v>3573</v>
      </c>
      <c r="AL829" s="4" t="str">
        <f t="shared" si="141"/>
        <v>Found</v>
      </c>
      <c r="AN829" s="6">
        <v>46.9</v>
      </c>
      <c r="AO829" s="4" t="str">
        <f t="shared" si="142"/>
        <v>Mid</v>
      </c>
    </row>
    <row r="830" spans="1:41">
      <c r="A830">
        <v>3</v>
      </c>
      <c r="B830" t="str">
        <f t="shared" si="132"/>
        <v>Third Class</v>
      </c>
      <c r="C830">
        <v>0</v>
      </c>
      <c r="E830" t="str">
        <f t="shared" si="133"/>
        <v>Died</v>
      </c>
      <c r="F830" t="s">
        <v>1768</v>
      </c>
      <c r="G830" t="s">
        <v>842</v>
      </c>
      <c r="H830" t="s">
        <v>1371</v>
      </c>
      <c r="I830" t="str">
        <f t="shared" si="134"/>
        <v>Miss. Goodwin Jessie</v>
      </c>
      <c r="J830" t="s">
        <v>47</v>
      </c>
      <c r="K830" t="str">
        <f t="shared" si="135"/>
        <v>Female</v>
      </c>
      <c r="L830">
        <v>10</v>
      </c>
      <c r="O830">
        <f t="shared" si="136"/>
        <v>10</v>
      </c>
      <c r="P830">
        <v>5</v>
      </c>
      <c r="R830" s="4">
        <v>2</v>
      </c>
      <c r="T830" s="5">
        <v>46.9</v>
      </c>
      <c r="W830" s="4">
        <v>10</v>
      </c>
      <c r="X830" s="4" t="str">
        <f t="shared" si="137"/>
        <v>Teenager</v>
      </c>
      <c r="Y830" s="4" t="s">
        <v>3561</v>
      </c>
      <c r="AB830" s="4" t="str">
        <f t="shared" si="138"/>
        <v/>
      </c>
      <c r="AC830" s="4" t="str">
        <f t="shared" si="139"/>
        <v>Unknown</v>
      </c>
      <c r="AD830" s="4" t="s">
        <v>457</v>
      </c>
      <c r="AG830" s="4" t="str">
        <f t="shared" si="140"/>
        <v>Not Applicable</v>
      </c>
      <c r="AK830" s="4" t="s">
        <v>3573</v>
      </c>
      <c r="AL830" s="4" t="str">
        <f t="shared" si="141"/>
        <v>Found</v>
      </c>
      <c r="AN830" s="6">
        <v>46.9</v>
      </c>
      <c r="AO830" s="4" t="str">
        <f t="shared" si="142"/>
        <v>Mid</v>
      </c>
    </row>
    <row r="831" spans="1:41">
      <c r="A831">
        <v>3</v>
      </c>
      <c r="B831" t="str">
        <f t="shared" si="132"/>
        <v>Third Class</v>
      </c>
      <c r="C831">
        <v>0</v>
      </c>
      <c r="E831" t="str">
        <f t="shared" si="133"/>
        <v>Died</v>
      </c>
      <c r="F831" t="s">
        <v>1768</v>
      </c>
      <c r="G831" t="s">
        <v>842</v>
      </c>
      <c r="H831" t="s">
        <v>1584</v>
      </c>
      <c r="I831" t="str">
        <f t="shared" si="134"/>
        <v>Miss. Goodwin Lillian</v>
      </c>
      <c r="J831" t="s">
        <v>47</v>
      </c>
      <c r="K831" t="str">
        <f t="shared" si="135"/>
        <v>Female</v>
      </c>
      <c r="L831">
        <v>16</v>
      </c>
      <c r="O831">
        <f t="shared" si="136"/>
        <v>16</v>
      </c>
      <c r="P831">
        <v>5</v>
      </c>
      <c r="R831" s="4">
        <v>2</v>
      </c>
      <c r="T831" s="5">
        <v>46.9</v>
      </c>
      <c r="W831" s="4">
        <v>16</v>
      </c>
      <c r="X831" s="4" t="str">
        <f t="shared" si="137"/>
        <v>Teenager</v>
      </c>
      <c r="Y831" s="4" t="s">
        <v>3561</v>
      </c>
      <c r="AB831" s="4" t="str">
        <f t="shared" si="138"/>
        <v/>
      </c>
      <c r="AC831" s="4" t="str">
        <f t="shared" si="139"/>
        <v>Unknown</v>
      </c>
      <c r="AD831" s="4" t="s">
        <v>457</v>
      </c>
      <c r="AG831" s="4" t="str">
        <f t="shared" si="140"/>
        <v>Not Applicable</v>
      </c>
      <c r="AK831" s="4" t="s">
        <v>3573</v>
      </c>
      <c r="AL831" s="4" t="str">
        <f t="shared" si="141"/>
        <v>Found</v>
      </c>
      <c r="AN831" s="6">
        <v>46.9</v>
      </c>
      <c r="AO831" s="4" t="str">
        <f t="shared" si="142"/>
        <v>Mid</v>
      </c>
    </row>
    <row r="832" spans="1:41">
      <c r="A832">
        <v>3</v>
      </c>
      <c r="B832" t="str">
        <f t="shared" si="132"/>
        <v>Third Class</v>
      </c>
      <c r="C832">
        <v>0</v>
      </c>
      <c r="E832" t="str">
        <f t="shared" si="133"/>
        <v>Died</v>
      </c>
      <c r="F832" t="s">
        <v>1768</v>
      </c>
      <c r="G832" t="s">
        <v>848</v>
      </c>
      <c r="H832" t="s">
        <v>1000</v>
      </c>
      <c r="I832" t="str">
        <f t="shared" si="134"/>
        <v>Mr. Goodwin Charles</v>
      </c>
      <c r="J832" t="s">
        <v>20</v>
      </c>
      <c r="K832" t="str">
        <f t="shared" si="135"/>
        <v>Male</v>
      </c>
      <c r="L832">
        <v>14</v>
      </c>
      <c r="O832">
        <f t="shared" si="136"/>
        <v>14</v>
      </c>
      <c r="P832">
        <v>5</v>
      </c>
      <c r="R832" s="4">
        <v>2</v>
      </c>
      <c r="T832" s="5">
        <v>46.9</v>
      </c>
      <c r="W832" s="4">
        <v>14</v>
      </c>
      <c r="X832" s="4" t="str">
        <f t="shared" si="137"/>
        <v>Teenager</v>
      </c>
      <c r="Y832" s="4" t="s">
        <v>3561</v>
      </c>
      <c r="AB832" s="4" t="str">
        <f t="shared" si="138"/>
        <v/>
      </c>
      <c r="AC832" s="4" t="str">
        <f t="shared" si="139"/>
        <v>Unknown</v>
      </c>
      <c r="AD832" s="4" t="s">
        <v>457</v>
      </c>
      <c r="AG832" s="4" t="str">
        <f t="shared" si="140"/>
        <v>Not Applicable</v>
      </c>
      <c r="AK832" s="4" t="s">
        <v>3573</v>
      </c>
      <c r="AL832" s="4" t="str">
        <f t="shared" si="141"/>
        <v>Found</v>
      </c>
      <c r="AN832" s="6">
        <v>46.9</v>
      </c>
      <c r="AO832" s="4" t="str">
        <f t="shared" si="142"/>
        <v>Mid</v>
      </c>
    </row>
    <row r="833" spans="1:41">
      <c r="A833">
        <v>3</v>
      </c>
      <c r="B833" t="str">
        <f t="shared" si="132"/>
        <v>Third Class</v>
      </c>
      <c r="C833">
        <v>0</v>
      </c>
      <c r="E833" t="str">
        <f t="shared" si="133"/>
        <v>Died</v>
      </c>
      <c r="F833" t="s">
        <v>1768</v>
      </c>
      <c r="G833" t="s">
        <v>848</v>
      </c>
      <c r="H833" t="s">
        <v>1000</v>
      </c>
      <c r="I833" t="str">
        <f t="shared" si="134"/>
        <v>Mr. Goodwin Charles</v>
      </c>
      <c r="J833" t="s">
        <v>20</v>
      </c>
      <c r="K833" t="str">
        <f t="shared" si="135"/>
        <v>Male</v>
      </c>
      <c r="L833">
        <v>40</v>
      </c>
      <c r="O833">
        <f t="shared" si="136"/>
        <v>40</v>
      </c>
      <c r="P833">
        <v>1</v>
      </c>
      <c r="R833" s="4">
        <v>6</v>
      </c>
      <c r="T833" s="5">
        <v>46.9</v>
      </c>
      <c r="W833" s="4">
        <v>40</v>
      </c>
      <c r="X833" s="4" t="str">
        <f t="shared" si="137"/>
        <v>Adult</v>
      </c>
      <c r="Y833" s="4" t="s">
        <v>3561</v>
      </c>
      <c r="AB833" s="4" t="str">
        <f t="shared" si="138"/>
        <v/>
      </c>
      <c r="AC833" s="4" t="str">
        <f t="shared" si="139"/>
        <v>Unknown</v>
      </c>
      <c r="AD833" s="4" t="s">
        <v>457</v>
      </c>
      <c r="AG833" s="4" t="str">
        <f t="shared" si="140"/>
        <v>Not Applicable</v>
      </c>
      <c r="AK833" s="4" t="s">
        <v>3573</v>
      </c>
      <c r="AL833" s="4" t="str">
        <f t="shared" si="141"/>
        <v>Found</v>
      </c>
      <c r="AN833" s="6">
        <v>46.9</v>
      </c>
      <c r="AO833" s="4" t="str">
        <f t="shared" si="142"/>
        <v>Mid</v>
      </c>
    </row>
    <row r="834" spans="1:41">
      <c r="A834">
        <v>3</v>
      </c>
      <c r="B834" t="str">
        <f t="shared" si="132"/>
        <v>Third Class</v>
      </c>
      <c r="C834">
        <v>0</v>
      </c>
      <c r="E834" t="str">
        <f t="shared" si="133"/>
        <v>Died</v>
      </c>
      <c r="F834" t="s">
        <v>1768</v>
      </c>
      <c r="G834" t="s">
        <v>849</v>
      </c>
      <c r="H834" t="s">
        <v>999</v>
      </c>
      <c r="I834" t="str">
        <f t="shared" si="134"/>
        <v>Mrs. Goodwin Frederick</v>
      </c>
      <c r="J834" t="s">
        <v>47</v>
      </c>
      <c r="K834" t="str">
        <f t="shared" si="135"/>
        <v>Female</v>
      </c>
      <c r="L834">
        <v>43</v>
      </c>
      <c r="O834">
        <f t="shared" si="136"/>
        <v>43</v>
      </c>
      <c r="P834">
        <v>1</v>
      </c>
      <c r="R834" s="4">
        <v>6</v>
      </c>
      <c r="T834" s="5">
        <v>46.9</v>
      </c>
      <c r="W834" s="4">
        <v>43</v>
      </c>
      <c r="X834" s="4" t="str">
        <f t="shared" si="137"/>
        <v>Adult</v>
      </c>
      <c r="Y834" s="4" t="s">
        <v>3561</v>
      </c>
      <c r="AB834" s="4" t="str">
        <f t="shared" si="138"/>
        <v/>
      </c>
      <c r="AC834" s="4" t="str">
        <f t="shared" si="139"/>
        <v>Unknown</v>
      </c>
      <c r="AD834" s="4" t="s">
        <v>457</v>
      </c>
      <c r="AG834" s="4" t="str">
        <f t="shared" si="140"/>
        <v>Not Applicable</v>
      </c>
      <c r="AK834" s="4" t="s">
        <v>3573</v>
      </c>
      <c r="AL834" s="4" t="str">
        <f t="shared" si="141"/>
        <v>Found</v>
      </c>
      <c r="AN834" s="6">
        <v>46.9</v>
      </c>
      <c r="AO834" s="4" t="str">
        <f t="shared" si="142"/>
        <v>Mid</v>
      </c>
    </row>
    <row r="835" spans="1:41">
      <c r="A835">
        <v>3</v>
      </c>
      <c r="B835" t="str">
        <f t="shared" ref="B835:B898" si="143">IF(A835=1,"First Class",IF(A835=2,"Second Class",IF(A835=3,"Third Class"," ")))</f>
        <v>Third Class</v>
      </c>
      <c r="C835">
        <v>0</v>
      </c>
      <c r="E835" t="str">
        <f t="shared" ref="E835:E898" si="144">IF(C835=1,"Survived",IF(C835=0,"Died"))</f>
        <v>Died</v>
      </c>
      <c r="F835" t="s">
        <v>1771</v>
      </c>
      <c r="G835" t="s">
        <v>848</v>
      </c>
      <c r="H835" t="s">
        <v>912</v>
      </c>
      <c r="I835" t="str">
        <f t="shared" ref="I835:I898" si="145">_xlfn.CONCAT(G835," ",F835," ",H835)</f>
        <v>Mr. Green George</v>
      </c>
      <c r="J835" t="s">
        <v>20</v>
      </c>
      <c r="K835" t="str">
        <f t="shared" ref="K835:K898" si="146">PROPER(J835)</f>
        <v>Male</v>
      </c>
      <c r="L835">
        <v>51</v>
      </c>
      <c r="O835">
        <f t="shared" ref="O835:O898" si="147">IF(L835&lt;1,1,ROUND(L835,0))</f>
        <v>51</v>
      </c>
      <c r="P835">
        <v>0</v>
      </c>
      <c r="R835" s="4">
        <v>0</v>
      </c>
      <c r="T835" s="5">
        <v>8.0500000000000007</v>
      </c>
      <c r="W835" s="4">
        <v>51</v>
      </c>
      <c r="X835" s="4" t="str">
        <f t="shared" ref="X835:X898" si="148">IF(W835&lt;10,"Child",IF(W835&lt;18,"Teenager",IF(W835&lt;30,"Young Adult",IF(W835&lt;60,"Adult","Old Adult"))))</f>
        <v>Adult</v>
      </c>
      <c r="Y835" s="4" t="s">
        <v>3561</v>
      </c>
      <c r="AB835" s="4" t="str">
        <f t="shared" ref="AB835:AB898" si="149">LEFT(AA835,1)</f>
        <v/>
      </c>
      <c r="AC835" s="4" t="str">
        <f t="shared" ref="AC835:AC898" si="150">IF(AB835="","Unknown",LEFT(AB835,1))</f>
        <v>Unknown</v>
      </c>
      <c r="AD835" s="4" t="s">
        <v>457</v>
      </c>
      <c r="AG835" s="4" t="str">
        <f t="shared" ref="AG835:AG898" si="151">IF(AF835="",IF(E835=1,"Unknown","Not Applicable"),AF835)</f>
        <v>Not Applicable</v>
      </c>
      <c r="AK835" s="4" t="s">
        <v>3573</v>
      </c>
      <c r="AL835" s="4" t="str">
        <f t="shared" ref="AL835:AL898" si="152">IF(AK835="","Not Found","Found")</f>
        <v>Found</v>
      </c>
      <c r="AN835" s="6">
        <v>8.0500000000000007</v>
      </c>
      <c r="AO835" s="4" t="str">
        <f t="shared" ref="AO835:AO898" si="153">IF(AN835&lt;=10,"Low",IF(AN835&lt;=50,"Mid","High"))</f>
        <v>Low</v>
      </c>
    </row>
    <row r="836" spans="1:41">
      <c r="A836">
        <v>3</v>
      </c>
      <c r="B836" t="str">
        <f t="shared" si="143"/>
        <v>Third Class</v>
      </c>
      <c r="C836">
        <v>0</v>
      </c>
      <c r="E836" t="str">
        <f t="shared" si="144"/>
        <v>Died</v>
      </c>
      <c r="F836" t="s">
        <v>1772</v>
      </c>
      <c r="G836" t="s">
        <v>848</v>
      </c>
      <c r="H836" t="s">
        <v>989</v>
      </c>
      <c r="I836" t="str">
        <f t="shared" si="145"/>
        <v>Mr. Gronnestad Daniel</v>
      </c>
      <c r="J836" t="s">
        <v>20</v>
      </c>
      <c r="K836" t="str">
        <f t="shared" si="146"/>
        <v>Male</v>
      </c>
      <c r="L836">
        <v>32</v>
      </c>
      <c r="O836">
        <f t="shared" si="147"/>
        <v>32</v>
      </c>
      <c r="P836">
        <v>0</v>
      </c>
      <c r="R836" s="4">
        <v>0</v>
      </c>
      <c r="T836" s="5">
        <v>8.3625000000000007</v>
      </c>
      <c r="W836" s="4">
        <v>32</v>
      </c>
      <c r="X836" s="4" t="str">
        <f t="shared" si="148"/>
        <v>Adult</v>
      </c>
      <c r="Y836" s="4" t="s">
        <v>3561</v>
      </c>
      <c r="AB836" s="4" t="str">
        <f t="shared" si="149"/>
        <v/>
      </c>
      <c r="AC836" s="4" t="str">
        <f t="shared" si="150"/>
        <v>Unknown</v>
      </c>
      <c r="AD836" s="4" t="s">
        <v>457</v>
      </c>
      <c r="AG836" s="4" t="str">
        <f t="shared" si="151"/>
        <v>Not Applicable</v>
      </c>
      <c r="AK836" s="4" t="s">
        <v>3573</v>
      </c>
      <c r="AL836" s="4" t="str">
        <f t="shared" si="152"/>
        <v>Found</v>
      </c>
      <c r="AN836" s="6">
        <v>8.3625000000000007</v>
      </c>
      <c r="AO836" s="4" t="str">
        <f t="shared" si="153"/>
        <v>Low</v>
      </c>
    </row>
    <row r="837" spans="1:41">
      <c r="A837">
        <v>3</v>
      </c>
      <c r="B837" t="str">
        <f t="shared" si="143"/>
        <v>Third Class</v>
      </c>
      <c r="C837">
        <v>0</v>
      </c>
      <c r="E837" t="str">
        <f t="shared" si="144"/>
        <v>Died</v>
      </c>
      <c r="F837" t="s">
        <v>1773</v>
      </c>
      <c r="G837" t="s">
        <v>848</v>
      </c>
      <c r="H837" t="s">
        <v>925</v>
      </c>
      <c r="I837" t="str">
        <f t="shared" si="145"/>
        <v>Mr. Guest Robert</v>
      </c>
      <c r="J837" t="s">
        <v>20</v>
      </c>
      <c r="K837" t="str">
        <f t="shared" si="146"/>
        <v>Male</v>
      </c>
      <c r="L837">
        <v>28</v>
      </c>
      <c r="O837">
        <f t="shared" si="147"/>
        <v>28</v>
      </c>
      <c r="P837">
        <v>0</v>
      </c>
      <c r="R837" s="4">
        <v>0</v>
      </c>
      <c r="T837" s="5">
        <v>8.0500000000000007</v>
      </c>
      <c r="W837" s="4">
        <v>28</v>
      </c>
      <c r="X837" s="4" t="str">
        <f t="shared" si="148"/>
        <v>Young Adult</v>
      </c>
      <c r="Y837" s="4" t="s">
        <v>3561</v>
      </c>
      <c r="AB837" s="4" t="str">
        <f t="shared" si="149"/>
        <v/>
      </c>
      <c r="AC837" s="4" t="str">
        <f t="shared" si="150"/>
        <v>Unknown</v>
      </c>
      <c r="AD837" s="4" t="s">
        <v>457</v>
      </c>
      <c r="AG837" s="4" t="str">
        <f t="shared" si="151"/>
        <v>Not Applicable</v>
      </c>
      <c r="AK837" s="4" t="s">
        <v>3573</v>
      </c>
      <c r="AL837" s="4" t="str">
        <f t="shared" si="152"/>
        <v>Found</v>
      </c>
      <c r="AN837" s="6">
        <v>8.0500000000000007</v>
      </c>
      <c r="AO837" s="4" t="str">
        <f t="shared" si="153"/>
        <v>Low</v>
      </c>
    </row>
    <row r="838" spans="1:41">
      <c r="A838">
        <v>3</v>
      </c>
      <c r="B838" t="str">
        <f t="shared" si="143"/>
        <v>Third Class</v>
      </c>
      <c r="C838">
        <v>0</v>
      </c>
      <c r="E838" t="str">
        <f t="shared" si="144"/>
        <v>Died</v>
      </c>
      <c r="F838" t="s">
        <v>1586</v>
      </c>
      <c r="G838" t="s">
        <v>848</v>
      </c>
      <c r="H838" t="s">
        <v>1015</v>
      </c>
      <c r="I838" t="str">
        <f t="shared" si="145"/>
        <v>Mr. Gustafsson Alfred</v>
      </c>
      <c r="J838" t="s">
        <v>20</v>
      </c>
      <c r="K838" t="str">
        <f t="shared" si="146"/>
        <v>Male</v>
      </c>
      <c r="L838">
        <v>20</v>
      </c>
      <c r="O838">
        <f t="shared" si="147"/>
        <v>20</v>
      </c>
      <c r="P838">
        <v>0</v>
      </c>
      <c r="R838" s="4">
        <v>0</v>
      </c>
      <c r="T838" s="5">
        <v>9.8458000000000006</v>
      </c>
      <c r="W838" s="4">
        <v>20</v>
      </c>
      <c r="X838" s="4" t="str">
        <f t="shared" si="148"/>
        <v>Young Adult</v>
      </c>
      <c r="Y838" s="4" t="s">
        <v>3561</v>
      </c>
      <c r="AB838" s="4" t="str">
        <f t="shared" si="149"/>
        <v/>
      </c>
      <c r="AC838" s="4" t="str">
        <f t="shared" si="150"/>
        <v>Unknown</v>
      </c>
      <c r="AD838" s="4" t="s">
        <v>457</v>
      </c>
      <c r="AG838" s="4" t="str">
        <f t="shared" si="151"/>
        <v>Not Applicable</v>
      </c>
      <c r="AK838" s="4" t="s">
        <v>3573</v>
      </c>
      <c r="AL838" s="4" t="str">
        <f t="shared" si="152"/>
        <v>Found</v>
      </c>
      <c r="AN838" s="6">
        <v>9.8458000000000006</v>
      </c>
      <c r="AO838" s="4" t="str">
        <f t="shared" si="153"/>
        <v>Low</v>
      </c>
    </row>
    <row r="839" spans="1:41">
      <c r="A839">
        <v>3</v>
      </c>
      <c r="B839" t="str">
        <f t="shared" si="143"/>
        <v>Third Class</v>
      </c>
      <c r="C839">
        <v>0</v>
      </c>
      <c r="E839" t="str">
        <f t="shared" si="144"/>
        <v>Died</v>
      </c>
      <c r="F839" t="s">
        <v>1586</v>
      </c>
      <c r="G839" t="s">
        <v>848</v>
      </c>
      <c r="H839" t="s">
        <v>1570</v>
      </c>
      <c r="I839" t="str">
        <f t="shared" si="145"/>
        <v>Mr. Gustafsson Anders</v>
      </c>
      <c r="J839" t="s">
        <v>20</v>
      </c>
      <c r="K839" t="str">
        <f t="shared" si="146"/>
        <v>Male</v>
      </c>
      <c r="L839">
        <v>37</v>
      </c>
      <c r="O839">
        <f t="shared" si="147"/>
        <v>37</v>
      </c>
      <c r="P839">
        <v>2</v>
      </c>
      <c r="R839" s="4">
        <v>0</v>
      </c>
      <c r="T839" s="5">
        <v>7.9249999999999998</v>
      </c>
      <c r="W839" s="4">
        <v>37</v>
      </c>
      <c r="X839" s="4" t="str">
        <f t="shared" si="148"/>
        <v>Adult</v>
      </c>
      <c r="Y839" s="4" t="s">
        <v>3561</v>
      </c>
      <c r="AB839" s="4" t="str">
        <f t="shared" si="149"/>
        <v/>
      </c>
      <c r="AC839" s="4" t="str">
        <f t="shared" si="150"/>
        <v>Unknown</v>
      </c>
      <c r="AD839" s="4" t="s">
        <v>457</v>
      </c>
      <c r="AG839" s="4" t="str">
        <f t="shared" si="151"/>
        <v>Not Applicable</v>
      </c>
      <c r="AH839" s="4">
        <v>98</v>
      </c>
      <c r="AK839" s="4">
        <v>98</v>
      </c>
      <c r="AL839" s="4" t="str">
        <f t="shared" si="152"/>
        <v>Found</v>
      </c>
      <c r="AN839" s="6">
        <v>7.9249999999999998</v>
      </c>
      <c r="AO839" s="4" t="str">
        <f t="shared" si="153"/>
        <v>Low</v>
      </c>
    </row>
    <row r="840" spans="1:41">
      <c r="A840">
        <v>3</v>
      </c>
      <c r="B840" t="str">
        <f t="shared" si="143"/>
        <v>Third Class</v>
      </c>
      <c r="C840">
        <v>0</v>
      </c>
      <c r="E840" t="str">
        <f t="shared" si="144"/>
        <v>Died</v>
      </c>
      <c r="F840" t="s">
        <v>1586</v>
      </c>
      <c r="G840" t="s">
        <v>848</v>
      </c>
      <c r="H840" t="s">
        <v>1105</v>
      </c>
      <c r="I840" t="str">
        <f t="shared" si="145"/>
        <v>Mr. Gustafsson Johan</v>
      </c>
      <c r="J840" t="s">
        <v>20</v>
      </c>
      <c r="K840" t="str">
        <f t="shared" si="146"/>
        <v>Male</v>
      </c>
      <c r="L840">
        <v>28</v>
      </c>
      <c r="O840">
        <f t="shared" si="147"/>
        <v>28</v>
      </c>
      <c r="P840">
        <v>2</v>
      </c>
      <c r="R840" s="4">
        <v>0</v>
      </c>
      <c r="T840" s="5">
        <v>7.9249999999999998</v>
      </c>
      <c r="W840" s="4">
        <v>28</v>
      </c>
      <c r="X840" s="4" t="str">
        <f t="shared" si="148"/>
        <v>Young Adult</v>
      </c>
      <c r="Y840" s="4" t="s">
        <v>3561</v>
      </c>
      <c r="AB840" s="4" t="str">
        <f t="shared" si="149"/>
        <v/>
      </c>
      <c r="AC840" s="4" t="str">
        <f t="shared" si="150"/>
        <v>Unknown</v>
      </c>
      <c r="AD840" s="4" t="s">
        <v>457</v>
      </c>
      <c r="AG840" s="4" t="str">
        <f t="shared" si="151"/>
        <v>Not Applicable</v>
      </c>
      <c r="AK840" s="4" t="s">
        <v>3573</v>
      </c>
      <c r="AL840" s="4" t="str">
        <f t="shared" si="152"/>
        <v>Found</v>
      </c>
      <c r="AN840" s="6">
        <v>7.9249999999999998</v>
      </c>
      <c r="AO840" s="4" t="str">
        <f t="shared" si="153"/>
        <v>Low</v>
      </c>
    </row>
    <row r="841" spans="1:41">
      <c r="A841">
        <v>3</v>
      </c>
      <c r="B841" t="str">
        <f t="shared" si="143"/>
        <v>Third Class</v>
      </c>
      <c r="C841">
        <v>0</v>
      </c>
      <c r="E841" t="str">
        <f t="shared" si="144"/>
        <v>Died</v>
      </c>
      <c r="F841" t="s">
        <v>1586</v>
      </c>
      <c r="G841" t="s">
        <v>848</v>
      </c>
      <c r="H841" t="s">
        <v>887</v>
      </c>
      <c r="I841" t="str">
        <f t="shared" si="145"/>
        <v>Mr. Gustafsson Karl</v>
      </c>
      <c r="J841" t="s">
        <v>20</v>
      </c>
      <c r="K841" t="str">
        <f t="shared" si="146"/>
        <v>Male</v>
      </c>
      <c r="L841">
        <v>19</v>
      </c>
      <c r="O841">
        <f t="shared" si="147"/>
        <v>19</v>
      </c>
      <c r="P841">
        <v>0</v>
      </c>
      <c r="R841" s="4">
        <v>0</v>
      </c>
      <c r="T841" s="5">
        <v>7.7750000000000004</v>
      </c>
      <c r="W841" s="4">
        <v>19</v>
      </c>
      <c r="X841" s="4" t="str">
        <f t="shared" si="148"/>
        <v>Young Adult</v>
      </c>
      <c r="Y841" s="4" t="s">
        <v>3561</v>
      </c>
      <c r="AB841" s="4" t="str">
        <f t="shared" si="149"/>
        <v/>
      </c>
      <c r="AC841" s="4" t="str">
        <f t="shared" si="150"/>
        <v>Unknown</v>
      </c>
      <c r="AD841" s="4" t="s">
        <v>457</v>
      </c>
      <c r="AG841" s="4" t="str">
        <f t="shared" si="151"/>
        <v>Not Applicable</v>
      </c>
      <c r="AK841" s="4" t="s">
        <v>3573</v>
      </c>
      <c r="AL841" s="4" t="str">
        <f t="shared" si="152"/>
        <v>Found</v>
      </c>
      <c r="AN841" s="6">
        <v>7.7750000000000004</v>
      </c>
      <c r="AO841" s="4" t="str">
        <f t="shared" si="153"/>
        <v>Low</v>
      </c>
    </row>
    <row r="842" spans="1:41">
      <c r="A842">
        <v>3</v>
      </c>
      <c r="B842" t="str">
        <f t="shared" si="143"/>
        <v>Third Class</v>
      </c>
      <c r="C842">
        <v>0</v>
      </c>
      <c r="E842" t="str">
        <f t="shared" si="144"/>
        <v>Died</v>
      </c>
      <c r="F842" t="s">
        <v>1774</v>
      </c>
      <c r="G842" t="s">
        <v>842</v>
      </c>
      <c r="H842" t="s">
        <v>1775</v>
      </c>
      <c r="I842" t="str">
        <f t="shared" si="145"/>
        <v>Miss. Haas Aloisia</v>
      </c>
      <c r="J842" t="s">
        <v>47</v>
      </c>
      <c r="K842" t="str">
        <f t="shared" si="146"/>
        <v>Female</v>
      </c>
      <c r="L842">
        <v>24</v>
      </c>
      <c r="O842">
        <f t="shared" si="147"/>
        <v>24</v>
      </c>
      <c r="P842">
        <v>0</v>
      </c>
      <c r="R842" s="4">
        <v>0</v>
      </c>
      <c r="T842" s="5">
        <v>8.85</v>
      </c>
      <c r="W842" s="4">
        <v>24</v>
      </c>
      <c r="X842" s="4" t="str">
        <f t="shared" si="148"/>
        <v>Young Adult</v>
      </c>
      <c r="Y842" s="4" t="s">
        <v>3561</v>
      </c>
      <c r="AB842" s="4" t="str">
        <f t="shared" si="149"/>
        <v/>
      </c>
      <c r="AC842" s="4" t="str">
        <f t="shared" si="150"/>
        <v>Unknown</v>
      </c>
      <c r="AD842" s="4" t="s">
        <v>457</v>
      </c>
      <c r="AG842" s="4" t="str">
        <f t="shared" si="151"/>
        <v>Not Applicable</v>
      </c>
      <c r="AK842" s="4" t="s">
        <v>3573</v>
      </c>
      <c r="AL842" s="4" t="str">
        <f t="shared" si="152"/>
        <v>Found</v>
      </c>
      <c r="AN842" s="6">
        <v>8.85</v>
      </c>
      <c r="AO842" s="4" t="str">
        <f t="shared" si="153"/>
        <v>Low</v>
      </c>
    </row>
    <row r="843" spans="1:41">
      <c r="A843">
        <v>3</v>
      </c>
      <c r="B843" t="str">
        <f t="shared" si="143"/>
        <v>Third Class</v>
      </c>
      <c r="C843">
        <v>0</v>
      </c>
      <c r="E843" t="str">
        <f t="shared" si="144"/>
        <v>Died</v>
      </c>
      <c r="F843" t="s">
        <v>1776</v>
      </c>
      <c r="G843" t="s">
        <v>842</v>
      </c>
      <c r="H843" t="s">
        <v>1298</v>
      </c>
      <c r="I843" t="str">
        <f t="shared" si="145"/>
        <v>Miss. Hagardon Kate</v>
      </c>
      <c r="J843" t="s">
        <v>47</v>
      </c>
      <c r="K843" t="str">
        <f t="shared" si="146"/>
        <v>Female</v>
      </c>
      <c r="L843">
        <v>17</v>
      </c>
      <c r="O843">
        <f t="shared" si="147"/>
        <v>17</v>
      </c>
      <c r="P843">
        <v>0</v>
      </c>
      <c r="R843" s="4">
        <v>0</v>
      </c>
      <c r="T843" s="5">
        <v>7.7332999999999998</v>
      </c>
      <c r="W843" s="4">
        <v>17</v>
      </c>
      <c r="X843" s="4" t="str">
        <f t="shared" si="148"/>
        <v>Teenager</v>
      </c>
      <c r="Y843" s="4" t="s">
        <v>3561</v>
      </c>
      <c r="AB843" s="4" t="str">
        <f t="shared" si="149"/>
        <v/>
      </c>
      <c r="AC843" s="4" t="str">
        <f t="shared" si="150"/>
        <v>Unknown</v>
      </c>
      <c r="AD843" s="4" t="s">
        <v>3567</v>
      </c>
      <c r="AG843" s="4" t="str">
        <f t="shared" si="151"/>
        <v>Not Applicable</v>
      </c>
      <c r="AK843" s="4" t="s">
        <v>3573</v>
      </c>
      <c r="AL843" s="4" t="str">
        <f t="shared" si="152"/>
        <v>Found</v>
      </c>
      <c r="AN843" s="6">
        <v>7.7332999999999998</v>
      </c>
      <c r="AO843" s="4" t="str">
        <f t="shared" si="153"/>
        <v>Low</v>
      </c>
    </row>
    <row r="844" spans="1:41">
      <c r="A844">
        <v>3</v>
      </c>
      <c r="B844" t="str">
        <f t="shared" si="143"/>
        <v>Third Class</v>
      </c>
      <c r="C844">
        <v>0</v>
      </c>
      <c r="E844" t="str">
        <f t="shared" si="144"/>
        <v>Died</v>
      </c>
      <c r="F844" t="s">
        <v>1777</v>
      </c>
      <c r="G844" t="s">
        <v>848</v>
      </c>
      <c r="H844" t="s">
        <v>1778</v>
      </c>
      <c r="I844" t="str">
        <f t="shared" si="145"/>
        <v>Mr. Hagland Ingvald</v>
      </c>
      <c r="J844" t="s">
        <v>20</v>
      </c>
      <c r="K844" t="str">
        <f t="shared" si="146"/>
        <v>Male</v>
      </c>
      <c r="L844">
        <v>28</v>
      </c>
      <c r="O844">
        <f t="shared" si="147"/>
        <v>28</v>
      </c>
      <c r="P844">
        <v>1</v>
      </c>
      <c r="R844" s="4">
        <v>0</v>
      </c>
      <c r="T844" s="5">
        <v>19.966699999999999</v>
      </c>
      <c r="W844" s="4">
        <v>28</v>
      </c>
      <c r="X844" s="4" t="str">
        <f t="shared" si="148"/>
        <v>Young Adult</v>
      </c>
      <c r="Y844" s="4" t="s">
        <v>3561</v>
      </c>
      <c r="AB844" s="4" t="str">
        <f t="shared" si="149"/>
        <v/>
      </c>
      <c r="AC844" s="4" t="str">
        <f t="shared" si="150"/>
        <v>Unknown</v>
      </c>
      <c r="AD844" s="4" t="s">
        <v>457</v>
      </c>
      <c r="AG844" s="4" t="str">
        <f t="shared" si="151"/>
        <v>Not Applicable</v>
      </c>
      <c r="AK844" s="4" t="s">
        <v>3573</v>
      </c>
      <c r="AL844" s="4" t="str">
        <f t="shared" si="152"/>
        <v>Found</v>
      </c>
      <c r="AN844" s="6">
        <v>19.966699999999999</v>
      </c>
      <c r="AO844" s="4" t="str">
        <f t="shared" si="153"/>
        <v>Mid</v>
      </c>
    </row>
    <row r="845" spans="1:41">
      <c r="A845">
        <v>3</v>
      </c>
      <c r="B845" t="str">
        <f t="shared" si="143"/>
        <v>Third Class</v>
      </c>
      <c r="C845">
        <v>0</v>
      </c>
      <c r="E845" t="str">
        <f t="shared" si="144"/>
        <v>Died</v>
      </c>
      <c r="F845" t="s">
        <v>1777</v>
      </c>
      <c r="G845" t="s">
        <v>848</v>
      </c>
      <c r="H845" t="s">
        <v>1780</v>
      </c>
      <c r="I845" t="str">
        <f t="shared" si="145"/>
        <v>Mr. Hagland Konrad</v>
      </c>
      <c r="J845" t="s">
        <v>20</v>
      </c>
      <c r="K845" t="str">
        <f t="shared" si="146"/>
        <v>Male</v>
      </c>
      <c r="L845">
        <v>28</v>
      </c>
      <c r="O845">
        <f t="shared" si="147"/>
        <v>28</v>
      </c>
      <c r="P845">
        <v>1</v>
      </c>
      <c r="R845" s="4">
        <v>0</v>
      </c>
      <c r="T845" s="5">
        <v>19.966699999999999</v>
      </c>
      <c r="W845" s="4">
        <v>28</v>
      </c>
      <c r="X845" s="4" t="str">
        <f t="shared" si="148"/>
        <v>Young Adult</v>
      </c>
      <c r="Y845" s="4" t="s">
        <v>3561</v>
      </c>
      <c r="AB845" s="4" t="str">
        <f t="shared" si="149"/>
        <v/>
      </c>
      <c r="AC845" s="4" t="str">
        <f t="shared" si="150"/>
        <v>Unknown</v>
      </c>
      <c r="AD845" s="4" t="s">
        <v>457</v>
      </c>
      <c r="AG845" s="4" t="str">
        <f t="shared" si="151"/>
        <v>Not Applicable</v>
      </c>
      <c r="AK845" s="4" t="s">
        <v>3573</v>
      </c>
      <c r="AL845" s="4" t="str">
        <f t="shared" si="152"/>
        <v>Found</v>
      </c>
      <c r="AN845" s="6">
        <v>19.966699999999999</v>
      </c>
      <c r="AO845" s="4" t="str">
        <f t="shared" si="153"/>
        <v>Mid</v>
      </c>
    </row>
    <row r="846" spans="1:41">
      <c r="A846">
        <v>3</v>
      </c>
      <c r="B846" t="str">
        <f t="shared" si="143"/>
        <v>Third Class</v>
      </c>
      <c r="C846">
        <v>0</v>
      </c>
      <c r="E846" t="str">
        <f t="shared" si="144"/>
        <v>Died</v>
      </c>
      <c r="F846" t="s">
        <v>1781</v>
      </c>
      <c r="G846" t="s">
        <v>848</v>
      </c>
      <c r="H846" t="s">
        <v>1782</v>
      </c>
      <c r="I846" t="str">
        <f t="shared" si="145"/>
        <v>Mr. Hakkarainen Pekka</v>
      </c>
      <c r="J846" t="s">
        <v>20</v>
      </c>
      <c r="K846" t="str">
        <f t="shared" si="146"/>
        <v>Male</v>
      </c>
      <c r="L846">
        <v>28</v>
      </c>
      <c r="O846">
        <f t="shared" si="147"/>
        <v>28</v>
      </c>
      <c r="P846">
        <v>1</v>
      </c>
      <c r="R846" s="4">
        <v>0</v>
      </c>
      <c r="T846" s="5">
        <v>15.85</v>
      </c>
      <c r="W846" s="4">
        <v>28</v>
      </c>
      <c r="X846" s="4" t="str">
        <f t="shared" si="148"/>
        <v>Young Adult</v>
      </c>
      <c r="Y846" s="4" t="s">
        <v>3561</v>
      </c>
      <c r="AB846" s="4" t="str">
        <f t="shared" si="149"/>
        <v/>
      </c>
      <c r="AC846" s="4" t="str">
        <f t="shared" si="150"/>
        <v>Unknown</v>
      </c>
      <c r="AD846" s="4" t="s">
        <v>457</v>
      </c>
      <c r="AG846" s="4" t="str">
        <f t="shared" si="151"/>
        <v>Not Applicable</v>
      </c>
      <c r="AK846" s="4" t="s">
        <v>3573</v>
      </c>
      <c r="AL846" s="4" t="str">
        <f t="shared" si="152"/>
        <v>Found</v>
      </c>
      <c r="AN846" s="6">
        <v>15.85</v>
      </c>
      <c r="AO846" s="4" t="str">
        <f t="shared" si="153"/>
        <v>Mid</v>
      </c>
    </row>
    <row r="847" spans="1:41">
      <c r="A847">
        <v>3</v>
      </c>
      <c r="B847" t="str">
        <f t="shared" si="143"/>
        <v>Third Class</v>
      </c>
      <c r="C847">
        <v>1</v>
      </c>
      <c r="E847" t="str">
        <f t="shared" si="144"/>
        <v>Survived</v>
      </c>
      <c r="F847" t="s">
        <v>1781</v>
      </c>
      <c r="G847" t="s">
        <v>849</v>
      </c>
      <c r="H847" t="s">
        <v>1782</v>
      </c>
      <c r="I847" t="str">
        <f t="shared" si="145"/>
        <v>Mrs. Hakkarainen Pekka</v>
      </c>
      <c r="J847" t="s">
        <v>47</v>
      </c>
      <c r="K847" t="str">
        <f t="shared" si="146"/>
        <v>Female</v>
      </c>
      <c r="L847">
        <v>24</v>
      </c>
      <c r="O847">
        <f t="shared" si="147"/>
        <v>24</v>
      </c>
      <c r="P847">
        <v>1</v>
      </c>
      <c r="R847" s="4">
        <v>0</v>
      </c>
      <c r="T847" s="5">
        <v>15.85</v>
      </c>
      <c r="W847" s="4">
        <v>24</v>
      </c>
      <c r="X847" s="4" t="str">
        <f t="shared" si="148"/>
        <v>Young Adult</v>
      </c>
      <c r="Y847" s="4" t="s">
        <v>3561</v>
      </c>
      <c r="AB847" s="4" t="str">
        <f t="shared" si="149"/>
        <v/>
      </c>
      <c r="AC847" s="4" t="str">
        <f t="shared" si="150"/>
        <v>Unknown</v>
      </c>
      <c r="AD847" s="4" t="s">
        <v>457</v>
      </c>
      <c r="AF847" s="4">
        <v>15</v>
      </c>
      <c r="AG847" s="4">
        <f t="shared" si="151"/>
        <v>15</v>
      </c>
      <c r="AK847" s="4" t="s">
        <v>3573</v>
      </c>
      <c r="AL847" s="4" t="str">
        <f t="shared" si="152"/>
        <v>Found</v>
      </c>
      <c r="AN847" s="6">
        <v>15.85</v>
      </c>
      <c r="AO847" s="4" t="str">
        <f t="shared" si="153"/>
        <v>Mid</v>
      </c>
    </row>
    <row r="848" spans="1:41">
      <c r="A848">
        <v>3</v>
      </c>
      <c r="B848" t="str">
        <f t="shared" si="143"/>
        <v>Third Class</v>
      </c>
      <c r="C848">
        <v>0</v>
      </c>
      <c r="E848" t="str">
        <f t="shared" si="144"/>
        <v>Died</v>
      </c>
      <c r="F848" t="s">
        <v>1784</v>
      </c>
      <c r="G848" t="s">
        <v>848</v>
      </c>
      <c r="H848" t="s">
        <v>1785</v>
      </c>
      <c r="I848" t="str">
        <f t="shared" si="145"/>
        <v>Mr. Hampe Leon</v>
      </c>
      <c r="J848" t="s">
        <v>20</v>
      </c>
      <c r="K848" t="str">
        <f t="shared" si="146"/>
        <v>Male</v>
      </c>
      <c r="L848">
        <v>20</v>
      </c>
      <c r="O848">
        <f t="shared" si="147"/>
        <v>20</v>
      </c>
      <c r="P848">
        <v>0</v>
      </c>
      <c r="R848" s="4">
        <v>0</v>
      </c>
      <c r="T848" s="5">
        <v>9.5</v>
      </c>
      <c r="W848" s="4">
        <v>20</v>
      </c>
      <c r="X848" s="4" t="str">
        <f t="shared" si="148"/>
        <v>Young Adult</v>
      </c>
      <c r="Y848" s="4" t="s">
        <v>3561</v>
      </c>
      <c r="AB848" s="4" t="str">
        <f t="shared" si="149"/>
        <v/>
      </c>
      <c r="AC848" s="4" t="str">
        <f t="shared" si="150"/>
        <v>Unknown</v>
      </c>
      <c r="AD848" s="4" t="s">
        <v>457</v>
      </c>
      <c r="AG848" s="4" t="str">
        <f t="shared" si="151"/>
        <v>Not Applicable</v>
      </c>
      <c r="AK848" s="4" t="s">
        <v>3573</v>
      </c>
      <c r="AL848" s="4" t="str">
        <f t="shared" si="152"/>
        <v>Found</v>
      </c>
      <c r="AN848" s="6">
        <v>9.5</v>
      </c>
      <c r="AO848" s="4" t="str">
        <f t="shared" si="153"/>
        <v>Low</v>
      </c>
    </row>
    <row r="849" spans="1:41">
      <c r="A849">
        <v>3</v>
      </c>
      <c r="B849" t="str">
        <f t="shared" si="143"/>
        <v>Third Class</v>
      </c>
      <c r="C849">
        <v>0</v>
      </c>
      <c r="E849" t="str">
        <f t="shared" si="144"/>
        <v>Died</v>
      </c>
      <c r="F849" t="s">
        <v>1608</v>
      </c>
      <c r="G849" t="s">
        <v>848</v>
      </c>
      <c r="H849" t="s">
        <v>1786</v>
      </c>
      <c r="I849" t="str">
        <f t="shared" si="145"/>
        <v>Mr. Hanna Mansour</v>
      </c>
      <c r="J849" t="s">
        <v>20</v>
      </c>
      <c r="K849" t="str">
        <f t="shared" si="146"/>
        <v>Male</v>
      </c>
      <c r="L849">
        <v>23.5</v>
      </c>
      <c r="O849">
        <f t="shared" si="147"/>
        <v>24</v>
      </c>
      <c r="P849">
        <v>0</v>
      </c>
      <c r="R849" s="4">
        <v>0</v>
      </c>
      <c r="T849" s="5">
        <v>7.2291999999999996</v>
      </c>
      <c r="W849" s="4">
        <v>24</v>
      </c>
      <c r="X849" s="4" t="str">
        <f t="shared" si="148"/>
        <v>Young Adult</v>
      </c>
      <c r="Y849" s="4" t="s">
        <v>3561</v>
      </c>
      <c r="AB849" s="4" t="str">
        <f t="shared" si="149"/>
        <v/>
      </c>
      <c r="AC849" s="4" t="str">
        <f t="shared" si="150"/>
        <v>Unknown</v>
      </c>
      <c r="AD849" s="4" t="s">
        <v>3566</v>
      </c>
      <c r="AG849" s="4" t="str">
        <f t="shared" si="151"/>
        <v>Not Applicable</v>
      </c>
      <c r="AH849" s="4">
        <v>188</v>
      </c>
      <c r="AK849" s="4">
        <v>188</v>
      </c>
      <c r="AL849" s="4" t="str">
        <f t="shared" si="152"/>
        <v>Found</v>
      </c>
      <c r="AN849" s="6">
        <v>7.2291999999999996</v>
      </c>
      <c r="AO849" s="4" t="str">
        <f t="shared" si="153"/>
        <v>Low</v>
      </c>
    </row>
    <row r="850" spans="1:41">
      <c r="A850">
        <v>3</v>
      </c>
      <c r="B850" t="str">
        <f t="shared" si="143"/>
        <v>Third Class</v>
      </c>
      <c r="C850">
        <v>0</v>
      </c>
      <c r="E850" t="str">
        <f t="shared" si="144"/>
        <v>Died</v>
      </c>
      <c r="F850" t="s">
        <v>1787</v>
      </c>
      <c r="G850" t="s">
        <v>848</v>
      </c>
      <c r="H850" t="s">
        <v>1788</v>
      </c>
      <c r="I850" t="str">
        <f t="shared" si="145"/>
        <v>Mr. Hansen Claus</v>
      </c>
      <c r="J850" t="s">
        <v>20</v>
      </c>
      <c r="K850" t="str">
        <f t="shared" si="146"/>
        <v>Male</v>
      </c>
      <c r="L850">
        <v>41</v>
      </c>
      <c r="O850">
        <f t="shared" si="147"/>
        <v>41</v>
      </c>
      <c r="P850">
        <v>2</v>
      </c>
      <c r="R850" s="4">
        <v>0</v>
      </c>
      <c r="T850" s="5">
        <v>14.1083</v>
      </c>
      <c r="W850" s="4">
        <v>41</v>
      </c>
      <c r="X850" s="4" t="str">
        <f t="shared" si="148"/>
        <v>Adult</v>
      </c>
      <c r="Y850" s="4" t="s">
        <v>3561</v>
      </c>
      <c r="AB850" s="4" t="str">
        <f t="shared" si="149"/>
        <v/>
      </c>
      <c r="AC850" s="4" t="str">
        <f t="shared" si="150"/>
        <v>Unknown</v>
      </c>
      <c r="AD850" s="4" t="s">
        <v>457</v>
      </c>
      <c r="AG850" s="4" t="str">
        <f t="shared" si="151"/>
        <v>Not Applicable</v>
      </c>
      <c r="AK850" s="4" t="s">
        <v>3573</v>
      </c>
      <c r="AL850" s="4" t="str">
        <f t="shared" si="152"/>
        <v>Found</v>
      </c>
      <c r="AN850" s="6">
        <v>14.1083</v>
      </c>
      <c r="AO850" s="4" t="str">
        <f t="shared" si="153"/>
        <v>Mid</v>
      </c>
    </row>
    <row r="851" spans="1:41">
      <c r="A851">
        <v>3</v>
      </c>
      <c r="B851" t="str">
        <f t="shared" si="143"/>
        <v>Third Class</v>
      </c>
      <c r="C851">
        <v>0</v>
      </c>
      <c r="E851" t="str">
        <f t="shared" si="144"/>
        <v>Died</v>
      </c>
      <c r="F851" t="s">
        <v>1787</v>
      </c>
      <c r="G851" t="s">
        <v>848</v>
      </c>
      <c r="H851" t="s">
        <v>1404</v>
      </c>
      <c r="I851" t="str">
        <f t="shared" si="145"/>
        <v>Mr. Hansen Henrik</v>
      </c>
      <c r="J851" t="s">
        <v>20</v>
      </c>
      <c r="K851" t="str">
        <f t="shared" si="146"/>
        <v>Male</v>
      </c>
      <c r="L851">
        <v>26</v>
      </c>
      <c r="O851">
        <f t="shared" si="147"/>
        <v>26</v>
      </c>
      <c r="P851">
        <v>1</v>
      </c>
      <c r="R851" s="4">
        <v>0</v>
      </c>
      <c r="T851" s="5">
        <v>7.8541999999999996</v>
      </c>
      <c r="W851" s="4">
        <v>26</v>
      </c>
      <c r="X851" s="4" t="str">
        <f t="shared" si="148"/>
        <v>Young Adult</v>
      </c>
      <c r="Y851" s="4" t="s">
        <v>3561</v>
      </c>
      <c r="AB851" s="4" t="str">
        <f t="shared" si="149"/>
        <v/>
      </c>
      <c r="AC851" s="4" t="str">
        <f t="shared" si="150"/>
        <v>Unknown</v>
      </c>
      <c r="AD851" s="4" t="s">
        <v>457</v>
      </c>
      <c r="AG851" s="4" t="str">
        <f t="shared" si="151"/>
        <v>Not Applicable</v>
      </c>
      <c r="AK851" s="4" t="s">
        <v>3573</v>
      </c>
      <c r="AL851" s="4" t="str">
        <f t="shared" si="152"/>
        <v>Found</v>
      </c>
      <c r="AN851" s="6">
        <v>7.8541999999999996</v>
      </c>
      <c r="AO851" s="4" t="str">
        <f t="shared" si="153"/>
        <v>Low</v>
      </c>
    </row>
    <row r="852" spans="1:41">
      <c r="A852">
        <v>3</v>
      </c>
      <c r="B852" t="str">
        <f t="shared" si="143"/>
        <v>Third Class</v>
      </c>
      <c r="C852">
        <v>0</v>
      </c>
      <c r="E852" t="str">
        <f t="shared" si="144"/>
        <v>Died</v>
      </c>
      <c r="F852" t="s">
        <v>1787</v>
      </c>
      <c r="G852" t="s">
        <v>848</v>
      </c>
      <c r="H852" t="s">
        <v>872</v>
      </c>
      <c r="I852" t="str">
        <f t="shared" si="145"/>
        <v>Mr. Hansen Henry</v>
      </c>
      <c r="J852" t="s">
        <v>20</v>
      </c>
      <c r="K852" t="str">
        <f t="shared" si="146"/>
        <v>Male</v>
      </c>
      <c r="L852">
        <v>21</v>
      </c>
      <c r="O852">
        <f t="shared" si="147"/>
        <v>21</v>
      </c>
      <c r="P852">
        <v>0</v>
      </c>
      <c r="R852" s="4">
        <v>0</v>
      </c>
      <c r="T852" s="5">
        <v>7.8541999999999996</v>
      </c>
      <c r="W852" s="4">
        <v>21</v>
      </c>
      <c r="X852" s="4" t="str">
        <f t="shared" si="148"/>
        <v>Young Adult</v>
      </c>
      <c r="Y852" s="4" t="s">
        <v>3561</v>
      </c>
      <c r="AB852" s="4" t="str">
        <f t="shared" si="149"/>
        <v/>
      </c>
      <c r="AC852" s="4" t="str">
        <f t="shared" si="150"/>
        <v>Unknown</v>
      </c>
      <c r="AD852" s="4" t="s">
        <v>457</v>
      </c>
      <c r="AG852" s="4" t="str">
        <f t="shared" si="151"/>
        <v>Not Applicable</v>
      </c>
      <c r="AH852" s="4">
        <v>69</v>
      </c>
      <c r="AK852" s="4">
        <v>69</v>
      </c>
      <c r="AL852" s="4" t="str">
        <f t="shared" si="152"/>
        <v>Found</v>
      </c>
      <c r="AN852" s="6">
        <v>7.8541999999999996</v>
      </c>
      <c r="AO852" s="4" t="str">
        <f t="shared" si="153"/>
        <v>Low</v>
      </c>
    </row>
    <row r="853" spans="1:41">
      <c r="A853">
        <v>3</v>
      </c>
      <c r="B853" t="str">
        <f t="shared" si="143"/>
        <v>Third Class</v>
      </c>
      <c r="C853">
        <v>1</v>
      </c>
      <c r="E853" t="str">
        <f t="shared" si="144"/>
        <v>Survived</v>
      </c>
      <c r="F853" t="s">
        <v>1787</v>
      </c>
      <c r="G853" t="s">
        <v>849</v>
      </c>
      <c r="H853" t="s">
        <v>1788</v>
      </c>
      <c r="I853" t="str">
        <f t="shared" si="145"/>
        <v>Mrs. Hansen Claus</v>
      </c>
      <c r="J853" t="s">
        <v>47</v>
      </c>
      <c r="K853" t="str">
        <f t="shared" si="146"/>
        <v>Female</v>
      </c>
      <c r="L853">
        <v>45</v>
      </c>
      <c r="O853">
        <f t="shared" si="147"/>
        <v>45</v>
      </c>
      <c r="P853">
        <v>1</v>
      </c>
      <c r="R853" s="4">
        <v>0</v>
      </c>
      <c r="T853" s="5">
        <v>14.1083</v>
      </c>
      <c r="W853" s="4">
        <v>45</v>
      </c>
      <c r="X853" s="4" t="str">
        <f t="shared" si="148"/>
        <v>Adult</v>
      </c>
      <c r="Y853" s="4" t="s">
        <v>3561</v>
      </c>
      <c r="AB853" s="4" t="str">
        <f t="shared" si="149"/>
        <v/>
      </c>
      <c r="AC853" s="4" t="str">
        <f t="shared" si="150"/>
        <v>Unknown</v>
      </c>
      <c r="AD853" s="4" t="s">
        <v>457</v>
      </c>
      <c r="AF853" s="4">
        <v>11</v>
      </c>
      <c r="AG853" s="4">
        <f t="shared" si="151"/>
        <v>11</v>
      </c>
      <c r="AK853" s="4" t="s">
        <v>3573</v>
      </c>
      <c r="AL853" s="4" t="str">
        <f t="shared" si="152"/>
        <v>Found</v>
      </c>
      <c r="AN853" s="6">
        <v>14.1083</v>
      </c>
      <c r="AO853" s="4" t="str">
        <f t="shared" si="153"/>
        <v>Mid</v>
      </c>
    </row>
    <row r="854" spans="1:41">
      <c r="A854">
        <v>3</v>
      </c>
      <c r="B854" t="str">
        <f t="shared" si="143"/>
        <v>Third Class</v>
      </c>
      <c r="C854">
        <v>0</v>
      </c>
      <c r="E854" t="str">
        <f t="shared" si="144"/>
        <v>Died</v>
      </c>
      <c r="F854" t="s">
        <v>1789</v>
      </c>
      <c r="G854" t="s">
        <v>842</v>
      </c>
      <c r="H854" t="s">
        <v>972</v>
      </c>
      <c r="I854" t="str">
        <f t="shared" si="145"/>
        <v>Miss. Harknett Alice</v>
      </c>
      <c r="J854" t="s">
        <v>47</v>
      </c>
      <c r="K854" t="str">
        <f t="shared" si="146"/>
        <v>Female</v>
      </c>
      <c r="L854">
        <v>28</v>
      </c>
      <c r="O854">
        <f t="shared" si="147"/>
        <v>28</v>
      </c>
      <c r="P854">
        <v>0</v>
      </c>
      <c r="R854" s="4">
        <v>0</v>
      </c>
      <c r="T854" s="5">
        <v>7.55</v>
      </c>
      <c r="W854" s="4">
        <v>28</v>
      </c>
      <c r="X854" s="4" t="str">
        <f t="shared" si="148"/>
        <v>Young Adult</v>
      </c>
      <c r="Y854" s="4" t="s">
        <v>3561</v>
      </c>
      <c r="AB854" s="4" t="str">
        <f t="shared" si="149"/>
        <v/>
      </c>
      <c r="AC854" s="4" t="str">
        <f t="shared" si="150"/>
        <v>Unknown</v>
      </c>
      <c r="AD854" s="4" t="s">
        <v>457</v>
      </c>
      <c r="AG854" s="4" t="str">
        <f t="shared" si="151"/>
        <v>Not Applicable</v>
      </c>
      <c r="AK854" s="4" t="s">
        <v>3573</v>
      </c>
      <c r="AL854" s="4" t="str">
        <f t="shared" si="152"/>
        <v>Found</v>
      </c>
      <c r="AN854" s="6">
        <v>7.55</v>
      </c>
      <c r="AO854" s="4" t="str">
        <f t="shared" si="153"/>
        <v>Low</v>
      </c>
    </row>
    <row r="855" spans="1:41">
      <c r="A855">
        <v>3</v>
      </c>
      <c r="B855" t="str">
        <f t="shared" si="143"/>
        <v>Third Class</v>
      </c>
      <c r="C855">
        <v>0</v>
      </c>
      <c r="E855" t="str">
        <f t="shared" si="144"/>
        <v>Died</v>
      </c>
      <c r="F855" t="s">
        <v>1790</v>
      </c>
      <c r="G855" t="s">
        <v>848</v>
      </c>
      <c r="H855" t="s">
        <v>1201</v>
      </c>
      <c r="I855" t="str">
        <f t="shared" si="145"/>
        <v>Mr. Harmer Abraham</v>
      </c>
      <c r="J855" t="s">
        <v>20</v>
      </c>
      <c r="K855" t="str">
        <f t="shared" si="146"/>
        <v>Male</v>
      </c>
      <c r="L855">
        <v>25</v>
      </c>
      <c r="O855">
        <f t="shared" si="147"/>
        <v>25</v>
      </c>
      <c r="P855">
        <v>0</v>
      </c>
      <c r="R855" s="4">
        <v>0</v>
      </c>
      <c r="T855" s="5">
        <v>7.25</v>
      </c>
      <c r="W855" s="4">
        <v>25</v>
      </c>
      <c r="X855" s="4" t="str">
        <f t="shared" si="148"/>
        <v>Young Adult</v>
      </c>
      <c r="Y855" s="4" t="s">
        <v>3561</v>
      </c>
      <c r="AB855" s="4" t="str">
        <f t="shared" si="149"/>
        <v/>
      </c>
      <c r="AC855" s="4" t="str">
        <f t="shared" si="150"/>
        <v>Unknown</v>
      </c>
      <c r="AD855" s="4" t="s">
        <v>457</v>
      </c>
      <c r="AF855" s="4" t="s">
        <v>70</v>
      </c>
      <c r="AG855" s="4" t="str">
        <f t="shared" si="151"/>
        <v>B</v>
      </c>
      <c r="AK855" s="4" t="s">
        <v>3573</v>
      </c>
      <c r="AL855" s="4" t="str">
        <f t="shared" si="152"/>
        <v>Found</v>
      </c>
      <c r="AN855" s="6">
        <v>7.25</v>
      </c>
      <c r="AO855" s="4" t="str">
        <f t="shared" si="153"/>
        <v>Low</v>
      </c>
    </row>
    <row r="856" spans="1:41">
      <c r="A856">
        <v>3</v>
      </c>
      <c r="B856" t="str">
        <f t="shared" si="143"/>
        <v>Third Class</v>
      </c>
      <c r="C856">
        <v>0</v>
      </c>
      <c r="E856" t="str">
        <f t="shared" si="144"/>
        <v>Died</v>
      </c>
      <c r="F856" t="s">
        <v>1372</v>
      </c>
      <c r="G856" t="s">
        <v>848</v>
      </c>
      <c r="H856" t="s">
        <v>872</v>
      </c>
      <c r="I856" t="str">
        <f t="shared" si="145"/>
        <v>Mr. Hart Henry</v>
      </c>
      <c r="J856" t="s">
        <v>20</v>
      </c>
      <c r="K856" t="str">
        <f t="shared" si="146"/>
        <v>Male</v>
      </c>
      <c r="L856">
        <v>28</v>
      </c>
      <c r="O856">
        <f t="shared" si="147"/>
        <v>28</v>
      </c>
      <c r="P856">
        <v>0</v>
      </c>
      <c r="R856" s="4">
        <v>0</v>
      </c>
      <c r="T856" s="5">
        <v>6.8582999999999998</v>
      </c>
      <c r="W856" s="4">
        <v>28</v>
      </c>
      <c r="X856" s="4" t="str">
        <f t="shared" si="148"/>
        <v>Young Adult</v>
      </c>
      <c r="Y856" s="4" t="s">
        <v>3561</v>
      </c>
      <c r="AB856" s="4" t="str">
        <f t="shared" si="149"/>
        <v/>
      </c>
      <c r="AC856" s="4" t="str">
        <f t="shared" si="150"/>
        <v>Unknown</v>
      </c>
      <c r="AD856" s="4" t="s">
        <v>3567</v>
      </c>
      <c r="AG856" s="4" t="str">
        <f t="shared" si="151"/>
        <v>Not Applicable</v>
      </c>
      <c r="AK856" s="4" t="s">
        <v>3573</v>
      </c>
      <c r="AL856" s="4" t="str">
        <f t="shared" si="152"/>
        <v>Found</v>
      </c>
      <c r="AN856" s="6">
        <v>6.8582999999999998</v>
      </c>
      <c r="AO856" s="4" t="str">
        <f t="shared" si="153"/>
        <v>Low</v>
      </c>
    </row>
    <row r="857" spans="1:41">
      <c r="A857">
        <v>3</v>
      </c>
      <c r="B857" t="str">
        <f t="shared" si="143"/>
        <v>Third Class</v>
      </c>
      <c r="C857">
        <v>0</v>
      </c>
      <c r="E857" t="str">
        <f t="shared" si="144"/>
        <v>Died</v>
      </c>
      <c r="F857" t="s">
        <v>1791</v>
      </c>
      <c r="G857" t="s">
        <v>848</v>
      </c>
      <c r="H857" t="s">
        <v>1792</v>
      </c>
      <c r="I857" t="str">
        <f t="shared" si="145"/>
        <v>Mr. Hassan Houssein</v>
      </c>
      <c r="J857" t="s">
        <v>20</v>
      </c>
      <c r="K857" t="str">
        <f t="shared" si="146"/>
        <v>Male</v>
      </c>
      <c r="L857">
        <v>11</v>
      </c>
      <c r="O857">
        <f t="shared" si="147"/>
        <v>11</v>
      </c>
      <c r="P857">
        <v>0</v>
      </c>
      <c r="R857" s="4">
        <v>0</v>
      </c>
      <c r="T857" s="5">
        <v>18.787500000000001</v>
      </c>
      <c r="W857" s="4">
        <v>11</v>
      </c>
      <c r="X857" s="4" t="str">
        <f t="shared" si="148"/>
        <v>Teenager</v>
      </c>
      <c r="Y857" s="4" t="s">
        <v>3561</v>
      </c>
      <c r="AB857" s="4" t="str">
        <f t="shared" si="149"/>
        <v/>
      </c>
      <c r="AC857" s="4" t="str">
        <f t="shared" si="150"/>
        <v>Unknown</v>
      </c>
      <c r="AD857" s="4" t="s">
        <v>3566</v>
      </c>
      <c r="AG857" s="4" t="str">
        <f t="shared" si="151"/>
        <v>Not Applicable</v>
      </c>
      <c r="AK857" s="4" t="s">
        <v>3573</v>
      </c>
      <c r="AL857" s="4" t="str">
        <f t="shared" si="152"/>
        <v>Found</v>
      </c>
      <c r="AN857" s="6">
        <v>18.787500000000001</v>
      </c>
      <c r="AO857" s="4" t="str">
        <f t="shared" si="153"/>
        <v>Mid</v>
      </c>
    </row>
    <row r="858" spans="1:41">
      <c r="A858">
        <v>3</v>
      </c>
      <c r="B858" t="str">
        <f t="shared" si="143"/>
        <v>Third Class</v>
      </c>
      <c r="C858">
        <v>1</v>
      </c>
      <c r="E858" t="str">
        <f t="shared" si="144"/>
        <v>Survived</v>
      </c>
      <c r="F858" t="s">
        <v>1793</v>
      </c>
      <c r="G858" t="s">
        <v>842</v>
      </c>
      <c r="H858" t="s">
        <v>1794</v>
      </c>
      <c r="I858" t="str">
        <f t="shared" si="145"/>
        <v>Miss. Healy Hanora</v>
      </c>
      <c r="J858" t="s">
        <v>47</v>
      </c>
      <c r="K858" t="str">
        <f t="shared" si="146"/>
        <v>Female</v>
      </c>
      <c r="L858">
        <v>28</v>
      </c>
      <c r="O858">
        <f t="shared" si="147"/>
        <v>28</v>
      </c>
      <c r="P858">
        <v>0</v>
      </c>
      <c r="R858" s="4">
        <v>0</v>
      </c>
      <c r="T858" s="5">
        <v>7.75</v>
      </c>
      <c r="W858" s="4">
        <v>28</v>
      </c>
      <c r="X858" s="4" t="str">
        <f t="shared" si="148"/>
        <v>Young Adult</v>
      </c>
      <c r="Y858" s="4" t="s">
        <v>3561</v>
      </c>
      <c r="AB858" s="4" t="str">
        <f t="shared" si="149"/>
        <v/>
      </c>
      <c r="AC858" s="4" t="str">
        <f t="shared" si="150"/>
        <v>Unknown</v>
      </c>
      <c r="AD858" s="4" t="s">
        <v>3567</v>
      </c>
      <c r="AF858" s="4">
        <v>16</v>
      </c>
      <c r="AG858" s="4">
        <f t="shared" si="151"/>
        <v>16</v>
      </c>
      <c r="AK858" s="4" t="s">
        <v>3573</v>
      </c>
      <c r="AL858" s="4" t="str">
        <f t="shared" si="152"/>
        <v>Found</v>
      </c>
      <c r="AN858" s="6">
        <v>7.75</v>
      </c>
      <c r="AO858" s="4" t="str">
        <f t="shared" si="153"/>
        <v>Low</v>
      </c>
    </row>
    <row r="859" spans="1:41">
      <c r="A859">
        <v>3</v>
      </c>
      <c r="B859" t="str">
        <f t="shared" si="143"/>
        <v>Third Class</v>
      </c>
      <c r="C859">
        <v>1</v>
      </c>
      <c r="E859" t="str">
        <f t="shared" si="144"/>
        <v>Survived</v>
      </c>
      <c r="F859" t="s">
        <v>1795</v>
      </c>
      <c r="G859" t="s">
        <v>848</v>
      </c>
      <c r="H859" t="s">
        <v>1073</v>
      </c>
      <c r="I859" t="str">
        <f t="shared" si="145"/>
        <v>Mr. Hedman Oskar</v>
      </c>
      <c r="J859" t="s">
        <v>20</v>
      </c>
      <c r="K859" t="str">
        <f t="shared" si="146"/>
        <v>Male</v>
      </c>
      <c r="L859">
        <v>27</v>
      </c>
      <c r="O859">
        <f t="shared" si="147"/>
        <v>27</v>
      </c>
      <c r="P859">
        <v>0</v>
      </c>
      <c r="R859" s="4">
        <v>0</v>
      </c>
      <c r="T859" s="5">
        <v>6.9749999999999996</v>
      </c>
      <c r="W859" s="4">
        <v>27</v>
      </c>
      <c r="X859" s="4" t="str">
        <f t="shared" si="148"/>
        <v>Young Adult</v>
      </c>
      <c r="Y859" s="4" t="s">
        <v>3561</v>
      </c>
      <c r="AB859" s="4" t="str">
        <f t="shared" si="149"/>
        <v/>
      </c>
      <c r="AC859" s="4" t="str">
        <f t="shared" si="150"/>
        <v>Unknown</v>
      </c>
      <c r="AD859" s="4" t="s">
        <v>457</v>
      </c>
      <c r="AF859" s="4">
        <v>15</v>
      </c>
      <c r="AG859" s="4">
        <f t="shared" si="151"/>
        <v>15</v>
      </c>
      <c r="AK859" s="4" t="s">
        <v>3573</v>
      </c>
      <c r="AL859" s="4" t="str">
        <f t="shared" si="152"/>
        <v>Found</v>
      </c>
      <c r="AN859" s="6">
        <v>6.9749999999999996</v>
      </c>
      <c r="AO859" s="4" t="str">
        <f t="shared" si="153"/>
        <v>Low</v>
      </c>
    </row>
    <row r="860" spans="1:41">
      <c r="A860">
        <v>3</v>
      </c>
      <c r="B860" t="str">
        <f t="shared" si="143"/>
        <v>Third Class</v>
      </c>
      <c r="C860">
        <v>1</v>
      </c>
      <c r="E860" t="str">
        <f t="shared" si="144"/>
        <v>Survived</v>
      </c>
      <c r="F860" t="s">
        <v>1796</v>
      </c>
      <c r="G860" t="s">
        <v>848</v>
      </c>
      <c r="H860" t="s">
        <v>1797</v>
      </c>
      <c r="I860" t="str">
        <f t="shared" si="145"/>
        <v>Mr. Hee Ling</v>
      </c>
      <c r="J860" t="s">
        <v>20</v>
      </c>
      <c r="K860" t="str">
        <f t="shared" si="146"/>
        <v>Male</v>
      </c>
      <c r="L860">
        <v>28</v>
      </c>
      <c r="O860">
        <f t="shared" si="147"/>
        <v>28</v>
      </c>
      <c r="P860">
        <v>0</v>
      </c>
      <c r="R860" s="4">
        <v>0</v>
      </c>
      <c r="T860" s="5">
        <v>56.495800000000003</v>
      </c>
      <c r="W860" s="4">
        <v>28</v>
      </c>
      <c r="X860" s="4" t="str">
        <f t="shared" si="148"/>
        <v>Young Adult</v>
      </c>
      <c r="Y860" s="4" t="s">
        <v>3561</v>
      </c>
      <c r="AB860" s="4" t="str">
        <f t="shared" si="149"/>
        <v/>
      </c>
      <c r="AC860" s="4" t="str">
        <f t="shared" si="150"/>
        <v>Unknown</v>
      </c>
      <c r="AD860" s="4" t="s">
        <v>457</v>
      </c>
      <c r="AF860" s="4" t="s">
        <v>62</v>
      </c>
      <c r="AG860" s="4" t="str">
        <f t="shared" si="151"/>
        <v>C</v>
      </c>
      <c r="AK860" s="4" t="s">
        <v>3573</v>
      </c>
      <c r="AL860" s="4" t="str">
        <f t="shared" si="152"/>
        <v>Found</v>
      </c>
      <c r="AN860" s="6">
        <v>56.495800000000003</v>
      </c>
      <c r="AO860" s="4" t="str">
        <f t="shared" si="153"/>
        <v>High</v>
      </c>
    </row>
    <row r="861" spans="1:41">
      <c r="A861">
        <v>3</v>
      </c>
      <c r="B861" t="str">
        <f t="shared" si="143"/>
        <v>Third Class</v>
      </c>
      <c r="C861">
        <v>0</v>
      </c>
      <c r="E861" t="str">
        <f t="shared" si="144"/>
        <v>Died</v>
      </c>
      <c r="F861" t="s">
        <v>1798</v>
      </c>
      <c r="G861" t="s">
        <v>842</v>
      </c>
      <c r="H861" t="s">
        <v>1794</v>
      </c>
      <c r="I861" t="str">
        <f t="shared" si="145"/>
        <v>Miss. Hegarty Hanora</v>
      </c>
      <c r="J861" t="s">
        <v>47</v>
      </c>
      <c r="K861" t="str">
        <f t="shared" si="146"/>
        <v>Female</v>
      </c>
      <c r="L861">
        <v>18</v>
      </c>
      <c r="O861">
        <f t="shared" si="147"/>
        <v>18</v>
      </c>
      <c r="P861">
        <v>0</v>
      </c>
      <c r="R861" s="4">
        <v>0</v>
      </c>
      <c r="T861" s="5">
        <v>6.75</v>
      </c>
      <c r="W861" s="4">
        <v>18</v>
      </c>
      <c r="X861" s="4" t="str">
        <f t="shared" si="148"/>
        <v>Young Adult</v>
      </c>
      <c r="Y861" s="4" t="s">
        <v>3561</v>
      </c>
      <c r="AB861" s="4" t="str">
        <f t="shared" si="149"/>
        <v/>
      </c>
      <c r="AC861" s="4" t="str">
        <f t="shared" si="150"/>
        <v>Unknown</v>
      </c>
      <c r="AD861" s="4" t="s">
        <v>3567</v>
      </c>
      <c r="AG861" s="4" t="str">
        <f t="shared" si="151"/>
        <v>Not Applicable</v>
      </c>
      <c r="AK861" s="4" t="s">
        <v>3573</v>
      </c>
      <c r="AL861" s="4" t="str">
        <f t="shared" si="152"/>
        <v>Found</v>
      </c>
      <c r="AN861" s="6">
        <v>6.75</v>
      </c>
      <c r="AO861" s="4" t="str">
        <f t="shared" si="153"/>
        <v>Low</v>
      </c>
    </row>
    <row r="862" spans="1:41">
      <c r="A862">
        <v>3</v>
      </c>
      <c r="B862" t="str">
        <f t="shared" si="143"/>
        <v>Third Class</v>
      </c>
      <c r="C862">
        <v>1</v>
      </c>
      <c r="E862" t="str">
        <f t="shared" si="144"/>
        <v>Survived</v>
      </c>
      <c r="F862" t="s">
        <v>1799</v>
      </c>
      <c r="G862" t="s">
        <v>842</v>
      </c>
      <c r="H862" t="s">
        <v>1800</v>
      </c>
      <c r="I862" t="str">
        <f t="shared" si="145"/>
        <v>Miss. Heikkinen Laina</v>
      </c>
      <c r="J862" t="s">
        <v>47</v>
      </c>
      <c r="K862" t="str">
        <f t="shared" si="146"/>
        <v>Female</v>
      </c>
      <c r="L862">
        <v>26</v>
      </c>
      <c r="O862">
        <f t="shared" si="147"/>
        <v>26</v>
      </c>
      <c r="P862">
        <v>0</v>
      </c>
      <c r="R862" s="4">
        <v>0</v>
      </c>
      <c r="T862" s="5">
        <v>7.9249999999999998</v>
      </c>
      <c r="W862" s="4">
        <v>26</v>
      </c>
      <c r="X862" s="4" t="str">
        <f t="shared" si="148"/>
        <v>Young Adult</v>
      </c>
      <c r="Y862" s="4" t="s">
        <v>3561</v>
      </c>
      <c r="AB862" s="4" t="str">
        <f t="shared" si="149"/>
        <v/>
      </c>
      <c r="AC862" s="4" t="str">
        <f t="shared" si="150"/>
        <v>Unknown</v>
      </c>
      <c r="AD862" s="4" t="s">
        <v>457</v>
      </c>
      <c r="AG862" s="4" t="str">
        <f t="shared" si="151"/>
        <v>Not Applicable</v>
      </c>
      <c r="AK862" s="4" t="s">
        <v>3573</v>
      </c>
      <c r="AL862" s="4" t="str">
        <f t="shared" si="152"/>
        <v>Found</v>
      </c>
      <c r="AN862" s="6">
        <v>7.9249999999999998</v>
      </c>
      <c r="AO862" s="4" t="str">
        <f t="shared" si="153"/>
        <v>Low</v>
      </c>
    </row>
    <row r="863" spans="1:41">
      <c r="A863">
        <v>3</v>
      </c>
      <c r="B863" t="str">
        <f t="shared" si="143"/>
        <v>Third Class</v>
      </c>
      <c r="C863">
        <v>0</v>
      </c>
      <c r="E863" t="str">
        <f t="shared" si="144"/>
        <v>Died</v>
      </c>
      <c r="F863" t="s">
        <v>1801</v>
      </c>
      <c r="G863" t="s">
        <v>842</v>
      </c>
      <c r="H863" t="s">
        <v>1802</v>
      </c>
      <c r="I863" t="str">
        <f t="shared" si="145"/>
        <v>Miss. Heininen Wendla</v>
      </c>
      <c r="J863" t="s">
        <v>47</v>
      </c>
      <c r="K863" t="str">
        <f t="shared" si="146"/>
        <v>Female</v>
      </c>
      <c r="L863">
        <v>23</v>
      </c>
      <c r="O863">
        <f t="shared" si="147"/>
        <v>23</v>
      </c>
      <c r="P863">
        <v>0</v>
      </c>
      <c r="R863" s="4">
        <v>0</v>
      </c>
      <c r="T863" s="5">
        <v>7.9249999999999998</v>
      </c>
      <c r="W863" s="4">
        <v>23</v>
      </c>
      <c r="X863" s="4" t="str">
        <f t="shared" si="148"/>
        <v>Young Adult</v>
      </c>
      <c r="Y863" s="4" t="s">
        <v>3561</v>
      </c>
      <c r="AB863" s="4" t="str">
        <f t="shared" si="149"/>
        <v/>
      </c>
      <c r="AC863" s="4" t="str">
        <f t="shared" si="150"/>
        <v>Unknown</v>
      </c>
      <c r="AD863" s="4" t="s">
        <v>457</v>
      </c>
      <c r="AG863" s="4" t="str">
        <f t="shared" si="151"/>
        <v>Not Applicable</v>
      </c>
      <c r="AK863" s="4" t="s">
        <v>3573</v>
      </c>
      <c r="AL863" s="4" t="str">
        <f t="shared" si="152"/>
        <v>Found</v>
      </c>
      <c r="AN863" s="6">
        <v>7.9249999999999998</v>
      </c>
      <c r="AO863" s="4" t="str">
        <f t="shared" si="153"/>
        <v>Low</v>
      </c>
    </row>
    <row r="864" spans="1:41">
      <c r="A864">
        <v>3</v>
      </c>
      <c r="B864" t="str">
        <f t="shared" si="143"/>
        <v>Third Class</v>
      </c>
      <c r="C864">
        <v>1</v>
      </c>
      <c r="E864" t="str">
        <f t="shared" si="144"/>
        <v>Survived</v>
      </c>
      <c r="F864" t="s">
        <v>1803</v>
      </c>
      <c r="G864" t="s">
        <v>842</v>
      </c>
      <c r="H864" t="s">
        <v>1500</v>
      </c>
      <c r="I864" t="str">
        <f t="shared" si="145"/>
        <v>Miss. Hellstrom Hilda</v>
      </c>
      <c r="J864" t="s">
        <v>47</v>
      </c>
      <c r="K864" t="str">
        <f t="shared" si="146"/>
        <v>Female</v>
      </c>
      <c r="L864">
        <v>22</v>
      </c>
      <c r="O864">
        <f t="shared" si="147"/>
        <v>22</v>
      </c>
      <c r="P864">
        <v>0</v>
      </c>
      <c r="R864" s="4">
        <v>0</v>
      </c>
      <c r="T864" s="5">
        <v>8.9625000000000004</v>
      </c>
      <c r="W864" s="4">
        <v>22</v>
      </c>
      <c r="X864" s="4" t="str">
        <f t="shared" si="148"/>
        <v>Young Adult</v>
      </c>
      <c r="Y864" s="4" t="s">
        <v>3561</v>
      </c>
      <c r="AB864" s="4" t="str">
        <f t="shared" si="149"/>
        <v/>
      </c>
      <c r="AC864" s="4" t="str">
        <f t="shared" si="150"/>
        <v>Unknown</v>
      </c>
      <c r="AD864" s="4" t="s">
        <v>457</v>
      </c>
      <c r="AF864" s="4" t="s">
        <v>62</v>
      </c>
      <c r="AG864" s="4" t="str">
        <f t="shared" si="151"/>
        <v>C</v>
      </c>
      <c r="AK864" s="4" t="s">
        <v>3573</v>
      </c>
      <c r="AL864" s="4" t="str">
        <f t="shared" si="152"/>
        <v>Found</v>
      </c>
      <c r="AN864" s="6">
        <v>8.9625000000000004</v>
      </c>
      <c r="AO864" s="4" t="str">
        <f t="shared" si="153"/>
        <v>Low</v>
      </c>
    </row>
    <row r="865" spans="1:41">
      <c r="A865">
        <v>3</v>
      </c>
      <c r="B865" t="str">
        <f t="shared" si="143"/>
        <v>Third Class</v>
      </c>
      <c r="C865">
        <v>0</v>
      </c>
      <c r="E865" t="str">
        <f t="shared" si="144"/>
        <v>Died</v>
      </c>
      <c r="F865" t="s">
        <v>1804</v>
      </c>
      <c r="G865" t="s">
        <v>848</v>
      </c>
      <c r="H865" t="s">
        <v>1805</v>
      </c>
      <c r="I865" t="str">
        <f t="shared" si="145"/>
        <v>Mr. Hendekovic Ignjac</v>
      </c>
      <c r="J865" t="s">
        <v>20</v>
      </c>
      <c r="K865" t="str">
        <f t="shared" si="146"/>
        <v>Male</v>
      </c>
      <c r="L865">
        <v>28</v>
      </c>
      <c r="O865">
        <f t="shared" si="147"/>
        <v>28</v>
      </c>
      <c r="P865">
        <v>0</v>
      </c>
      <c r="R865" s="4">
        <v>0</v>
      </c>
      <c r="T865" s="5">
        <v>7.8958000000000004</v>
      </c>
      <c r="W865" s="4">
        <v>28</v>
      </c>
      <c r="X865" s="4" t="str">
        <f t="shared" si="148"/>
        <v>Young Adult</v>
      </c>
      <c r="Y865" s="4" t="s">
        <v>3561</v>
      </c>
      <c r="AB865" s="4" t="str">
        <f t="shared" si="149"/>
        <v/>
      </c>
      <c r="AC865" s="4" t="str">
        <f t="shared" si="150"/>
        <v>Unknown</v>
      </c>
      <c r="AD865" s="4" t="s">
        <v>457</v>
      </c>
      <c r="AG865" s="4" t="str">
        <f t="shared" si="151"/>
        <v>Not Applicable</v>
      </c>
      <c r="AH865" s="4">
        <v>306</v>
      </c>
      <c r="AK865" s="4">
        <v>306</v>
      </c>
      <c r="AL865" s="4" t="str">
        <f t="shared" si="152"/>
        <v>Found</v>
      </c>
      <c r="AN865" s="6">
        <v>7.8958000000000004</v>
      </c>
      <c r="AO865" s="4" t="str">
        <f t="shared" si="153"/>
        <v>Low</v>
      </c>
    </row>
    <row r="866" spans="1:41">
      <c r="A866">
        <v>3</v>
      </c>
      <c r="B866" t="str">
        <f t="shared" si="143"/>
        <v>Third Class</v>
      </c>
      <c r="C866">
        <v>0</v>
      </c>
      <c r="E866" t="str">
        <f t="shared" si="144"/>
        <v>Died</v>
      </c>
      <c r="F866" t="s">
        <v>1806</v>
      </c>
      <c r="G866" t="s">
        <v>842</v>
      </c>
      <c r="H866" t="s">
        <v>1294</v>
      </c>
      <c r="I866" t="str">
        <f t="shared" si="145"/>
        <v>Miss. Henriksson Jenny</v>
      </c>
      <c r="J866" t="s">
        <v>47</v>
      </c>
      <c r="K866" t="str">
        <f t="shared" si="146"/>
        <v>Female</v>
      </c>
      <c r="L866">
        <v>28</v>
      </c>
      <c r="O866">
        <f t="shared" si="147"/>
        <v>28</v>
      </c>
      <c r="P866">
        <v>0</v>
      </c>
      <c r="R866" s="4">
        <v>0</v>
      </c>
      <c r="T866" s="5">
        <v>7.7750000000000004</v>
      </c>
      <c r="W866" s="4">
        <v>28</v>
      </c>
      <c r="X866" s="4" t="str">
        <f t="shared" si="148"/>
        <v>Young Adult</v>
      </c>
      <c r="Y866" s="4" t="s">
        <v>3561</v>
      </c>
      <c r="AB866" s="4" t="str">
        <f t="shared" si="149"/>
        <v/>
      </c>
      <c r="AC866" s="4" t="str">
        <f t="shared" si="150"/>
        <v>Unknown</v>
      </c>
      <c r="AD866" s="4" t="s">
        <v>457</v>
      </c>
      <c r="AG866" s="4" t="str">
        <f t="shared" si="151"/>
        <v>Not Applicable</v>
      </c>
      <c r="AK866" s="4" t="s">
        <v>3573</v>
      </c>
      <c r="AL866" s="4" t="str">
        <f t="shared" si="152"/>
        <v>Found</v>
      </c>
      <c r="AN866" s="6">
        <v>7.7750000000000004</v>
      </c>
      <c r="AO866" s="4" t="str">
        <f t="shared" si="153"/>
        <v>Low</v>
      </c>
    </row>
    <row r="867" spans="1:41">
      <c r="A867">
        <v>3</v>
      </c>
      <c r="B867" t="str">
        <f t="shared" si="143"/>
        <v>Third Class</v>
      </c>
      <c r="C867">
        <v>0</v>
      </c>
      <c r="E867" t="str">
        <f t="shared" si="144"/>
        <v>Died</v>
      </c>
      <c r="F867" t="s">
        <v>872</v>
      </c>
      <c r="G867" t="s">
        <v>842</v>
      </c>
      <c r="H867" t="s">
        <v>1630</v>
      </c>
      <c r="I867" t="str">
        <f t="shared" si="145"/>
        <v>Miss. Henry Delia</v>
      </c>
      <c r="J867" t="s">
        <v>47</v>
      </c>
      <c r="K867" t="str">
        <f t="shared" si="146"/>
        <v>Female</v>
      </c>
      <c r="L867">
        <v>28</v>
      </c>
      <c r="O867">
        <f t="shared" si="147"/>
        <v>28</v>
      </c>
      <c r="P867">
        <v>0</v>
      </c>
      <c r="R867" s="4">
        <v>0</v>
      </c>
      <c r="T867" s="5">
        <v>7.75</v>
      </c>
      <c r="W867" s="4">
        <v>28</v>
      </c>
      <c r="X867" s="4" t="str">
        <f t="shared" si="148"/>
        <v>Young Adult</v>
      </c>
      <c r="Y867" s="4" t="s">
        <v>3561</v>
      </c>
      <c r="AB867" s="4" t="str">
        <f t="shared" si="149"/>
        <v/>
      </c>
      <c r="AC867" s="4" t="str">
        <f t="shared" si="150"/>
        <v>Unknown</v>
      </c>
      <c r="AD867" s="4" t="s">
        <v>3567</v>
      </c>
      <c r="AG867" s="4" t="str">
        <f t="shared" si="151"/>
        <v>Not Applicable</v>
      </c>
      <c r="AK867" s="4" t="s">
        <v>3573</v>
      </c>
      <c r="AL867" s="4" t="str">
        <f t="shared" si="152"/>
        <v>Found</v>
      </c>
      <c r="AN867" s="6">
        <v>7.75</v>
      </c>
      <c r="AO867" s="4" t="str">
        <f t="shared" si="153"/>
        <v>Low</v>
      </c>
    </row>
    <row r="868" spans="1:41">
      <c r="A868">
        <v>3</v>
      </c>
      <c r="B868" t="str">
        <f t="shared" si="143"/>
        <v>Third Class</v>
      </c>
      <c r="C868">
        <v>1</v>
      </c>
      <c r="E868" t="str">
        <f t="shared" si="144"/>
        <v>Survived</v>
      </c>
      <c r="F868" t="s">
        <v>1807</v>
      </c>
      <c r="G868" t="s">
        <v>842</v>
      </c>
      <c r="H868" t="s">
        <v>1808</v>
      </c>
      <c r="I868" t="str">
        <f t="shared" si="145"/>
        <v>Miss. Hirvonen Hildur</v>
      </c>
      <c r="J868" t="s">
        <v>47</v>
      </c>
      <c r="K868" t="str">
        <f t="shared" si="146"/>
        <v>Female</v>
      </c>
      <c r="L868">
        <v>2</v>
      </c>
      <c r="O868">
        <f t="shared" si="147"/>
        <v>2</v>
      </c>
      <c r="P868">
        <v>0</v>
      </c>
      <c r="R868" s="4">
        <v>1</v>
      </c>
      <c r="T868" s="5">
        <v>12.2875</v>
      </c>
      <c r="W868" s="4">
        <v>2</v>
      </c>
      <c r="X868" s="4" t="str">
        <f t="shared" si="148"/>
        <v>Child</v>
      </c>
      <c r="Y868" s="4" t="s">
        <v>3561</v>
      </c>
      <c r="AB868" s="4" t="str">
        <f t="shared" si="149"/>
        <v/>
      </c>
      <c r="AC868" s="4" t="str">
        <f t="shared" si="150"/>
        <v>Unknown</v>
      </c>
      <c r="AD868" s="4" t="s">
        <v>457</v>
      </c>
      <c r="AF868" s="4">
        <v>15</v>
      </c>
      <c r="AG868" s="4">
        <f t="shared" si="151"/>
        <v>15</v>
      </c>
      <c r="AK868" s="4" t="s">
        <v>3573</v>
      </c>
      <c r="AL868" s="4" t="str">
        <f t="shared" si="152"/>
        <v>Found</v>
      </c>
      <c r="AN868" s="6">
        <v>12.2875</v>
      </c>
      <c r="AO868" s="4" t="str">
        <f t="shared" si="153"/>
        <v>Mid</v>
      </c>
    </row>
    <row r="869" spans="1:41">
      <c r="A869">
        <v>3</v>
      </c>
      <c r="B869" t="str">
        <f t="shared" si="143"/>
        <v>Third Class</v>
      </c>
      <c r="C869">
        <v>1</v>
      </c>
      <c r="E869" t="str">
        <f t="shared" si="144"/>
        <v>Survived</v>
      </c>
      <c r="F869" t="s">
        <v>1807</v>
      </c>
      <c r="G869" t="s">
        <v>849</v>
      </c>
      <c r="H869" t="s">
        <v>932</v>
      </c>
      <c r="I869" t="str">
        <f t="shared" si="145"/>
        <v>Mrs. Hirvonen Alexander</v>
      </c>
      <c r="J869" t="s">
        <v>47</v>
      </c>
      <c r="K869" t="str">
        <f t="shared" si="146"/>
        <v>Female</v>
      </c>
      <c r="L869">
        <v>22</v>
      </c>
      <c r="O869">
        <f t="shared" si="147"/>
        <v>22</v>
      </c>
      <c r="P869">
        <v>1</v>
      </c>
      <c r="R869" s="4">
        <v>1</v>
      </c>
      <c r="T869" s="5">
        <v>12.2875</v>
      </c>
      <c r="W869" s="4">
        <v>22</v>
      </c>
      <c r="X869" s="4" t="str">
        <f t="shared" si="148"/>
        <v>Young Adult</v>
      </c>
      <c r="Y869" s="4" t="s">
        <v>3561</v>
      </c>
      <c r="AB869" s="4" t="str">
        <f t="shared" si="149"/>
        <v/>
      </c>
      <c r="AC869" s="4" t="str">
        <f t="shared" si="150"/>
        <v>Unknown</v>
      </c>
      <c r="AD869" s="4" t="s">
        <v>457</v>
      </c>
      <c r="AF869" s="4">
        <v>15</v>
      </c>
      <c r="AG869" s="4">
        <f t="shared" si="151"/>
        <v>15</v>
      </c>
      <c r="AK869" s="4" t="s">
        <v>3573</v>
      </c>
      <c r="AL869" s="4" t="str">
        <f t="shared" si="152"/>
        <v>Found</v>
      </c>
      <c r="AN869" s="6">
        <v>12.2875</v>
      </c>
      <c r="AO869" s="4" t="str">
        <f t="shared" si="153"/>
        <v>Mid</v>
      </c>
    </row>
    <row r="870" spans="1:41">
      <c r="A870">
        <v>3</v>
      </c>
      <c r="B870" t="str">
        <f t="shared" si="143"/>
        <v>Third Class</v>
      </c>
      <c r="C870">
        <v>0</v>
      </c>
      <c r="E870" t="str">
        <f t="shared" si="144"/>
        <v>Died</v>
      </c>
      <c r="F870" t="s">
        <v>1809</v>
      </c>
      <c r="G870" t="s">
        <v>848</v>
      </c>
      <c r="H870" t="s">
        <v>862</v>
      </c>
      <c r="I870" t="str">
        <f t="shared" si="145"/>
        <v>Mr. Holm John</v>
      </c>
      <c r="J870" t="s">
        <v>20</v>
      </c>
      <c r="K870" t="str">
        <f t="shared" si="146"/>
        <v>Male</v>
      </c>
      <c r="L870">
        <v>43</v>
      </c>
      <c r="O870">
        <f t="shared" si="147"/>
        <v>43</v>
      </c>
      <c r="P870">
        <v>0</v>
      </c>
      <c r="R870" s="4">
        <v>0</v>
      </c>
      <c r="T870" s="5">
        <v>6.45</v>
      </c>
      <c r="W870" s="4">
        <v>43</v>
      </c>
      <c r="X870" s="4" t="str">
        <f t="shared" si="148"/>
        <v>Adult</v>
      </c>
      <c r="Y870" s="4" t="s">
        <v>3561</v>
      </c>
      <c r="AB870" s="4" t="str">
        <f t="shared" si="149"/>
        <v/>
      </c>
      <c r="AC870" s="4" t="str">
        <f t="shared" si="150"/>
        <v>Unknown</v>
      </c>
      <c r="AD870" s="4" t="s">
        <v>457</v>
      </c>
      <c r="AG870" s="4" t="str">
        <f t="shared" si="151"/>
        <v>Not Applicable</v>
      </c>
      <c r="AK870" s="4" t="s">
        <v>3573</v>
      </c>
      <c r="AL870" s="4" t="str">
        <f t="shared" si="152"/>
        <v>Found</v>
      </c>
      <c r="AN870" s="6">
        <v>6.45</v>
      </c>
      <c r="AO870" s="4" t="str">
        <f t="shared" si="153"/>
        <v>Low</v>
      </c>
    </row>
    <row r="871" spans="1:41">
      <c r="A871">
        <v>3</v>
      </c>
      <c r="B871" t="str">
        <f t="shared" si="143"/>
        <v>Third Class</v>
      </c>
      <c r="C871">
        <v>0</v>
      </c>
      <c r="E871" t="str">
        <f t="shared" si="144"/>
        <v>Died</v>
      </c>
      <c r="F871" t="s">
        <v>1810</v>
      </c>
      <c r="G871" t="s">
        <v>848</v>
      </c>
      <c r="H871" t="s">
        <v>1105</v>
      </c>
      <c r="I871" t="str">
        <f t="shared" si="145"/>
        <v>Mr. Holthen Johan</v>
      </c>
      <c r="J871" t="s">
        <v>20</v>
      </c>
      <c r="K871" t="str">
        <f t="shared" si="146"/>
        <v>Male</v>
      </c>
      <c r="L871">
        <v>28</v>
      </c>
      <c r="O871">
        <f t="shared" si="147"/>
        <v>28</v>
      </c>
      <c r="P871">
        <v>0</v>
      </c>
      <c r="R871" s="4">
        <v>0</v>
      </c>
      <c r="T871" s="5">
        <v>22.524999999999999</v>
      </c>
      <c r="W871" s="4">
        <v>28</v>
      </c>
      <c r="X871" s="4" t="str">
        <f t="shared" si="148"/>
        <v>Young Adult</v>
      </c>
      <c r="Y871" s="4" t="s">
        <v>3561</v>
      </c>
      <c r="AB871" s="4" t="str">
        <f t="shared" si="149"/>
        <v/>
      </c>
      <c r="AC871" s="4" t="str">
        <f t="shared" si="150"/>
        <v>Unknown</v>
      </c>
      <c r="AD871" s="4" t="s">
        <v>457</v>
      </c>
      <c r="AG871" s="4" t="str">
        <f t="shared" si="151"/>
        <v>Not Applicable</v>
      </c>
      <c r="AK871" s="4" t="s">
        <v>3573</v>
      </c>
      <c r="AL871" s="4" t="str">
        <f t="shared" si="152"/>
        <v>Found</v>
      </c>
      <c r="AN871" s="6">
        <v>22.524999999999999</v>
      </c>
      <c r="AO871" s="4" t="str">
        <f t="shared" si="153"/>
        <v>Mid</v>
      </c>
    </row>
    <row r="872" spans="1:41">
      <c r="A872">
        <v>3</v>
      </c>
      <c r="B872" t="str">
        <f t="shared" si="143"/>
        <v>Third Class</v>
      </c>
      <c r="C872">
        <v>1</v>
      </c>
      <c r="E872" t="str">
        <f t="shared" si="144"/>
        <v>Survived</v>
      </c>
      <c r="F872" t="s">
        <v>1811</v>
      </c>
      <c r="G872" t="s">
        <v>842</v>
      </c>
      <c r="H872" t="s">
        <v>1812</v>
      </c>
      <c r="I872" t="str">
        <f t="shared" si="145"/>
        <v>Miss. Honkanen Eliina</v>
      </c>
      <c r="J872" t="s">
        <v>47</v>
      </c>
      <c r="K872" t="str">
        <f t="shared" si="146"/>
        <v>Female</v>
      </c>
      <c r="L872">
        <v>27</v>
      </c>
      <c r="O872">
        <f t="shared" si="147"/>
        <v>27</v>
      </c>
      <c r="P872">
        <v>0</v>
      </c>
      <c r="R872" s="4">
        <v>0</v>
      </c>
      <c r="T872" s="5">
        <v>7.9249999999999998</v>
      </c>
      <c r="W872" s="4">
        <v>27</v>
      </c>
      <c r="X872" s="4" t="str">
        <f t="shared" si="148"/>
        <v>Young Adult</v>
      </c>
      <c r="Y872" s="4" t="s">
        <v>3561</v>
      </c>
      <c r="AB872" s="4" t="str">
        <f t="shared" si="149"/>
        <v/>
      </c>
      <c r="AC872" s="4" t="str">
        <f t="shared" si="150"/>
        <v>Unknown</v>
      </c>
      <c r="AD872" s="4" t="s">
        <v>457</v>
      </c>
      <c r="AG872" s="4" t="str">
        <f t="shared" si="151"/>
        <v>Not Applicable</v>
      </c>
      <c r="AK872" s="4" t="s">
        <v>3573</v>
      </c>
      <c r="AL872" s="4" t="str">
        <f t="shared" si="152"/>
        <v>Found</v>
      </c>
      <c r="AN872" s="6">
        <v>7.9249999999999998</v>
      </c>
      <c r="AO872" s="4" t="str">
        <f t="shared" si="153"/>
        <v>Low</v>
      </c>
    </row>
    <row r="873" spans="1:41">
      <c r="A873">
        <v>3</v>
      </c>
      <c r="B873" t="str">
        <f t="shared" si="143"/>
        <v>Third Class</v>
      </c>
      <c r="C873">
        <v>0</v>
      </c>
      <c r="E873" t="str">
        <f t="shared" si="144"/>
        <v>Died</v>
      </c>
      <c r="F873" t="s">
        <v>1813</v>
      </c>
      <c r="G873" t="s">
        <v>848</v>
      </c>
      <c r="H873" t="s">
        <v>862</v>
      </c>
      <c r="I873" t="str">
        <f t="shared" si="145"/>
        <v>Mr. Horgan John</v>
      </c>
      <c r="J873" t="s">
        <v>20</v>
      </c>
      <c r="K873" t="str">
        <f t="shared" si="146"/>
        <v>Male</v>
      </c>
      <c r="L873">
        <v>28</v>
      </c>
      <c r="O873">
        <f t="shared" si="147"/>
        <v>28</v>
      </c>
      <c r="P873">
        <v>0</v>
      </c>
      <c r="R873" s="4">
        <v>0</v>
      </c>
      <c r="T873" s="5">
        <v>7.75</v>
      </c>
      <c r="W873" s="4">
        <v>28</v>
      </c>
      <c r="X873" s="4" t="str">
        <f t="shared" si="148"/>
        <v>Young Adult</v>
      </c>
      <c r="Y873" s="4" t="s">
        <v>3561</v>
      </c>
      <c r="AB873" s="4" t="str">
        <f t="shared" si="149"/>
        <v/>
      </c>
      <c r="AC873" s="4" t="str">
        <f t="shared" si="150"/>
        <v>Unknown</v>
      </c>
      <c r="AD873" s="4" t="s">
        <v>3567</v>
      </c>
      <c r="AG873" s="4" t="str">
        <f t="shared" si="151"/>
        <v>Not Applicable</v>
      </c>
      <c r="AK873" s="4" t="s">
        <v>3573</v>
      </c>
      <c r="AL873" s="4" t="str">
        <f t="shared" si="152"/>
        <v>Found</v>
      </c>
      <c r="AN873" s="6">
        <v>7.75</v>
      </c>
      <c r="AO873" s="4" t="str">
        <f t="shared" si="153"/>
        <v>Low</v>
      </c>
    </row>
    <row r="874" spans="1:41">
      <c r="A874">
        <v>3</v>
      </c>
      <c r="B874" t="str">
        <f t="shared" si="143"/>
        <v>Third Class</v>
      </c>
      <c r="C874">
        <v>1</v>
      </c>
      <c r="E874" t="str">
        <f t="shared" si="144"/>
        <v>Survived</v>
      </c>
      <c r="F874" t="s">
        <v>947</v>
      </c>
      <c r="G874" t="s">
        <v>842</v>
      </c>
      <c r="H874" t="s">
        <v>1036</v>
      </c>
      <c r="I874" t="str">
        <f t="shared" si="145"/>
        <v>Miss. Howard May</v>
      </c>
      <c r="J874" t="s">
        <v>47</v>
      </c>
      <c r="K874" t="str">
        <f t="shared" si="146"/>
        <v>Female</v>
      </c>
      <c r="L874">
        <v>28</v>
      </c>
      <c r="O874">
        <f t="shared" si="147"/>
        <v>28</v>
      </c>
      <c r="P874">
        <v>0</v>
      </c>
      <c r="R874" s="4">
        <v>0</v>
      </c>
      <c r="T874" s="5">
        <v>8.0500000000000007</v>
      </c>
      <c r="W874" s="4">
        <v>28</v>
      </c>
      <c r="X874" s="4" t="str">
        <f t="shared" si="148"/>
        <v>Young Adult</v>
      </c>
      <c r="Y874" s="4" t="s">
        <v>3561</v>
      </c>
      <c r="AB874" s="4" t="str">
        <f t="shared" si="149"/>
        <v/>
      </c>
      <c r="AC874" s="4" t="str">
        <f t="shared" si="150"/>
        <v>Unknown</v>
      </c>
      <c r="AD874" s="4" t="s">
        <v>457</v>
      </c>
      <c r="AF874" s="4" t="s">
        <v>62</v>
      </c>
      <c r="AG874" s="4" t="str">
        <f t="shared" si="151"/>
        <v>C</v>
      </c>
      <c r="AK874" s="4" t="s">
        <v>3573</v>
      </c>
      <c r="AL874" s="4" t="str">
        <f t="shared" si="152"/>
        <v>Found</v>
      </c>
      <c r="AN874" s="6">
        <v>8.0500000000000007</v>
      </c>
      <c r="AO874" s="4" t="str">
        <f t="shared" si="153"/>
        <v>Low</v>
      </c>
    </row>
    <row r="875" spans="1:41">
      <c r="A875">
        <v>3</v>
      </c>
      <c r="B875" t="str">
        <f t="shared" si="143"/>
        <v>Third Class</v>
      </c>
      <c r="C875">
        <v>0</v>
      </c>
      <c r="E875" t="str">
        <f t="shared" si="144"/>
        <v>Died</v>
      </c>
      <c r="F875" t="s">
        <v>1814</v>
      </c>
      <c r="G875" t="s">
        <v>848</v>
      </c>
      <c r="H875" t="s">
        <v>1498</v>
      </c>
      <c r="I875" t="str">
        <f t="shared" si="145"/>
        <v>Mr. Humblen Adolf</v>
      </c>
      <c r="J875" t="s">
        <v>20</v>
      </c>
      <c r="K875" t="str">
        <f t="shared" si="146"/>
        <v>Male</v>
      </c>
      <c r="L875">
        <v>42</v>
      </c>
      <c r="O875">
        <f t="shared" si="147"/>
        <v>42</v>
      </c>
      <c r="P875">
        <v>0</v>
      </c>
      <c r="R875" s="4">
        <v>0</v>
      </c>
      <c r="T875" s="5">
        <v>7.65</v>
      </c>
      <c r="W875" s="4">
        <v>42</v>
      </c>
      <c r="X875" s="4" t="str">
        <f t="shared" si="148"/>
        <v>Adult</v>
      </c>
      <c r="Y875" s="4" t="s">
        <v>609</v>
      </c>
      <c r="AA875" s="4" t="s">
        <v>609</v>
      </c>
      <c r="AB875" s="4" t="str">
        <f t="shared" si="149"/>
        <v>F</v>
      </c>
      <c r="AC875" s="4" t="str">
        <f t="shared" si="150"/>
        <v>F</v>
      </c>
      <c r="AD875" s="4" t="s">
        <v>457</v>
      </c>
      <c r="AG875" s="4" t="str">
        <f t="shared" si="151"/>
        <v>Not Applicable</v>
      </c>
      <c r="AH875" s="4">
        <v>120</v>
      </c>
      <c r="AK875" s="4">
        <v>120</v>
      </c>
      <c r="AL875" s="4" t="str">
        <f t="shared" si="152"/>
        <v>Found</v>
      </c>
      <c r="AN875" s="6">
        <v>7.65</v>
      </c>
      <c r="AO875" s="4" t="str">
        <f t="shared" si="153"/>
        <v>Low</v>
      </c>
    </row>
    <row r="876" spans="1:41">
      <c r="A876">
        <v>3</v>
      </c>
      <c r="B876" t="str">
        <f t="shared" si="143"/>
        <v>Third Class</v>
      </c>
      <c r="C876">
        <v>1</v>
      </c>
      <c r="E876" t="str">
        <f t="shared" si="144"/>
        <v>Survived</v>
      </c>
      <c r="F876" t="s">
        <v>1815</v>
      </c>
      <c r="G876" t="s">
        <v>848</v>
      </c>
      <c r="H876" t="s">
        <v>1201</v>
      </c>
      <c r="I876" t="str">
        <f t="shared" si="145"/>
        <v>Mr. Hyman Abraham</v>
      </c>
      <c r="J876" t="s">
        <v>20</v>
      </c>
      <c r="K876" t="str">
        <f t="shared" si="146"/>
        <v>Male</v>
      </c>
      <c r="L876">
        <v>28</v>
      </c>
      <c r="O876">
        <f t="shared" si="147"/>
        <v>28</v>
      </c>
      <c r="P876">
        <v>0</v>
      </c>
      <c r="R876" s="4">
        <v>0</v>
      </c>
      <c r="T876" s="5">
        <v>7.8875000000000002</v>
      </c>
      <c r="W876" s="4">
        <v>28</v>
      </c>
      <c r="X876" s="4" t="str">
        <f t="shared" si="148"/>
        <v>Young Adult</v>
      </c>
      <c r="Y876" s="4" t="s">
        <v>3561</v>
      </c>
      <c r="AB876" s="4" t="str">
        <f t="shared" si="149"/>
        <v/>
      </c>
      <c r="AC876" s="4" t="str">
        <f t="shared" si="150"/>
        <v>Unknown</v>
      </c>
      <c r="AD876" s="4" t="s">
        <v>457</v>
      </c>
      <c r="AF876" s="4" t="s">
        <v>62</v>
      </c>
      <c r="AG876" s="4" t="str">
        <f t="shared" si="151"/>
        <v>C</v>
      </c>
      <c r="AK876" s="4" t="s">
        <v>3573</v>
      </c>
      <c r="AL876" s="4" t="str">
        <f t="shared" si="152"/>
        <v>Found</v>
      </c>
      <c r="AN876" s="6">
        <v>7.8875000000000002</v>
      </c>
      <c r="AO876" s="4" t="str">
        <f t="shared" si="153"/>
        <v>Low</v>
      </c>
    </row>
    <row r="877" spans="1:41">
      <c r="A877">
        <v>3</v>
      </c>
      <c r="B877" t="str">
        <f t="shared" si="143"/>
        <v>Third Class</v>
      </c>
      <c r="C877">
        <v>0</v>
      </c>
      <c r="E877" t="str">
        <f t="shared" si="144"/>
        <v>Died</v>
      </c>
      <c r="F877" t="s">
        <v>1816</v>
      </c>
      <c r="G877" t="s">
        <v>1817</v>
      </c>
      <c r="H877" t="s">
        <v>848</v>
      </c>
      <c r="I877" t="str">
        <f t="shared" si="145"/>
        <v>Shawah Ibrahim Mr.</v>
      </c>
      <c r="J877" t="s">
        <v>20</v>
      </c>
      <c r="K877" t="str">
        <f t="shared" si="146"/>
        <v>Male</v>
      </c>
      <c r="L877">
        <v>30</v>
      </c>
      <c r="O877">
        <f t="shared" si="147"/>
        <v>30</v>
      </c>
      <c r="P877">
        <v>0</v>
      </c>
      <c r="R877" s="4">
        <v>0</v>
      </c>
      <c r="T877" s="5">
        <v>7.2291999999999996</v>
      </c>
      <c r="W877" s="4">
        <v>30</v>
      </c>
      <c r="X877" s="4" t="str">
        <f t="shared" si="148"/>
        <v>Adult</v>
      </c>
      <c r="Y877" s="4" t="s">
        <v>3561</v>
      </c>
      <c r="AB877" s="4" t="str">
        <f t="shared" si="149"/>
        <v/>
      </c>
      <c r="AC877" s="4" t="str">
        <f t="shared" si="150"/>
        <v>Unknown</v>
      </c>
      <c r="AD877" s="4" t="s">
        <v>3566</v>
      </c>
      <c r="AG877" s="4" t="str">
        <f t="shared" si="151"/>
        <v>Not Applicable</v>
      </c>
      <c r="AK877" s="4" t="s">
        <v>3573</v>
      </c>
      <c r="AL877" s="4" t="str">
        <f t="shared" si="152"/>
        <v>Found</v>
      </c>
      <c r="AN877" s="6">
        <v>7.2291999999999996</v>
      </c>
      <c r="AO877" s="4" t="str">
        <f t="shared" si="153"/>
        <v>Low</v>
      </c>
    </row>
    <row r="878" spans="1:41">
      <c r="A878">
        <v>3</v>
      </c>
      <c r="B878" t="str">
        <f t="shared" si="143"/>
        <v>Third Class</v>
      </c>
      <c r="C878">
        <v>0</v>
      </c>
      <c r="E878" t="str">
        <f t="shared" si="144"/>
        <v>Died</v>
      </c>
      <c r="F878" t="s">
        <v>1819</v>
      </c>
      <c r="G878" t="s">
        <v>848</v>
      </c>
      <c r="H878" t="s">
        <v>1820</v>
      </c>
      <c r="I878" t="str">
        <f t="shared" si="145"/>
        <v>Mr. Ilieff Ylio</v>
      </c>
      <c r="J878" t="s">
        <v>20</v>
      </c>
      <c r="K878" t="str">
        <f t="shared" si="146"/>
        <v>Male</v>
      </c>
      <c r="L878">
        <v>28</v>
      </c>
      <c r="O878">
        <f t="shared" si="147"/>
        <v>28</v>
      </c>
      <c r="P878">
        <v>0</v>
      </c>
      <c r="R878" s="4">
        <v>0</v>
      </c>
      <c r="T878" s="5">
        <v>7.8958000000000004</v>
      </c>
      <c r="W878" s="4">
        <v>28</v>
      </c>
      <c r="X878" s="4" t="str">
        <f t="shared" si="148"/>
        <v>Young Adult</v>
      </c>
      <c r="Y878" s="4" t="s">
        <v>3561</v>
      </c>
      <c r="AB878" s="4" t="str">
        <f t="shared" si="149"/>
        <v/>
      </c>
      <c r="AC878" s="4" t="str">
        <f t="shared" si="150"/>
        <v>Unknown</v>
      </c>
      <c r="AD878" s="4" t="s">
        <v>457</v>
      </c>
      <c r="AG878" s="4" t="str">
        <f t="shared" si="151"/>
        <v>Not Applicable</v>
      </c>
      <c r="AK878" s="4" t="s">
        <v>3573</v>
      </c>
      <c r="AL878" s="4" t="str">
        <f t="shared" si="152"/>
        <v>Found</v>
      </c>
      <c r="AN878" s="6">
        <v>7.8958000000000004</v>
      </c>
      <c r="AO878" s="4" t="str">
        <f t="shared" si="153"/>
        <v>Low</v>
      </c>
    </row>
    <row r="879" spans="1:41">
      <c r="A879">
        <v>3</v>
      </c>
      <c r="B879" t="str">
        <f t="shared" si="143"/>
        <v>Third Class</v>
      </c>
      <c r="C879">
        <v>0</v>
      </c>
      <c r="E879" t="str">
        <f t="shared" si="144"/>
        <v>Died</v>
      </c>
      <c r="F879" t="s">
        <v>1821</v>
      </c>
      <c r="G879" t="s">
        <v>842</v>
      </c>
      <c r="H879" t="s">
        <v>1229</v>
      </c>
      <c r="I879" t="str">
        <f t="shared" si="145"/>
        <v>Miss. Ilmakangas Ida</v>
      </c>
      <c r="J879" t="s">
        <v>47</v>
      </c>
      <c r="K879" t="str">
        <f t="shared" si="146"/>
        <v>Female</v>
      </c>
      <c r="L879">
        <v>27</v>
      </c>
      <c r="O879">
        <f t="shared" si="147"/>
        <v>27</v>
      </c>
      <c r="P879">
        <v>1</v>
      </c>
      <c r="R879" s="4">
        <v>0</v>
      </c>
      <c r="T879" s="5">
        <v>7.9249999999999998</v>
      </c>
      <c r="W879" s="4">
        <v>27</v>
      </c>
      <c r="X879" s="4" t="str">
        <f t="shared" si="148"/>
        <v>Young Adult</v>
      </c>
      <c r="Y879" s="4" t="s">
        <v>3561</v>
      </c>
      <c r="AB879" s="4" t="str">
        <f t="shared" si="149"/>
        <v/>
      </c>
      <c r="AC879" s="4" t="str">
        <f t="shared" si="150"/>
        <v>Unknown</v>
      </c>
      <c r="AD879" s="4" t="s">
        <v>457</v>
      </c>
      <c r="AG879" s="4" t="str">
        <f t="shared" si="151"/>
        <v>Not Applicable</v>
      </c>
      <c r="AK879" s="4" t="s">
        <v>3573</v>
      </c>
      <c r="AL879" s="4" t="str">
        <f t="shared" si="152"/>
        <v>Found</v>
      </c>
      <c r="AN879" s="6">
        <v>7.9249999999999998</v>
      </c>
      <c r="AO879" s="4" t="str">
        <f t="shared" si="153"/>
        <v>Low</v>
      </c>
    </row>
    <row r="880" spans="1:41">
      <c r="A880">
        <v>3</v>
      </c>
      <c r="B880" t="str">
        <f t="shared" si="143"/>
        <v>Third Class</v>
      </c>
      <c r="C880">
        <v>0</v>
      </c>
      <c r="E880" t="str">
        <f t="shared" si="144"/>
        <v>Died</v>
      </c>
      <c r="F880" t="s">
        <v>1821</v>
      </c>
      <c r="G880" t="s">
        <v>842</v>
      </c>
      <c r="H880" t="s">
        <v>1822</v>
      </c>
      <c r="I880" t="str">
        <f t="shared" si="145"/>
        <v>Miss. Ilmakangas Pieta</v>
      </c>
      <c r="J880" t="s">
        <v>47</v>
      </c>
      <c r="K880" t="str">
        <f t="shared" si="146"/>
        <v>Female</v>
      </c>
      <c r="L880">
        <v>25</v>
      </c>
      <c r="O880">
        <f t="shared" si="147"/>
        <v>25</v>
      </c>
      <c r="P880">
        <v>1</v>
      </c>
      <c r="R880" s="4">
        <v>0</v>
      </c>
      <c r="T880" s="5">
        <v>7.9249999999999998</v>
      </c>
      <c r="W880" s="4">
        <v>25</v>
      </c>
      <c r="X880" s="4" t="str">
        <f t="shared" si="148"/>
        <v>Young Adult</v>
      </c>
      <c r="Y880" s="4" t="s">
        <v>3561</v>
      </c>
      <c r="AB880" s="4" t="str">
        <f t="shared" si="149"/>
        <v/>
      </c>
      <c r="AC880" s="4" t="str">
        <f t="shared" si="150"/>
        <v>Unknown</v>
      </c>
      <c r="AD880" s="4" t="s">
        <v>457</v>
      </c>
      <c r="AG880" s="4" t="str">
        <f t="shared" si="151"/>
        <v>Not Applicable</v>
      </c>
      <c r="AK880" s="4" t="s">
        <v>3573</v>
      </c>
      <c r="AL880" s="4" t="str">
        <f t="shared" si="152"/>
        <v>Found</v>
      </c>
      <c r="AN880" s="6">
        <v>7.9249999999999998</v>
      </c>
      <c r="AO880" s="4" t="str">
        <f t="shared" si="153"/>
        <v>Low</v>
      </c>
    </row>
    <row r="881" spans="1:41">
      <c r="A881">
        <v>3</v>
      </c>
      <c r="B881" t="str">
        <f t="shared" si="143"/>
        <v>Third Class</v>
      </c>
      <c r="C881">
        <v>0</v>
      </c>
      <c r="E881" t="str">
        <f t="shared" si="144"/>
        <v>Died</v>
      </c>
      <c r="F881" t="s">
        <v>1823</v>
      </c>
      <c r="G881" t="s">
        <v>848</v>
      </c>
      <c r="H881" t="s">
        <v>1824</v>
      </c>
      <c r="I881" t="str">
        <f t="shared" si="145"/>
        <v>Mr. Ivanoff Kanio</v>
      </c>
      <c r="J881" t="s">
        <v>20</v>
      </c>
      <c r="K881" t="str">
        <f t="shared" si="146"/>
        <v>Male</v>
      </c>
      <c r="L881">
        <v>28</v>
      </c>
      <c r="O881">
        <f t="shared" si="147"/>
        <v>28</v>
      </c>
      <c r="P881">
        <v>0</v>
      </c>
      <c r="R881" s="4">
        <v>0</v>
      </c>
      <c r="T881" s="5">
        <v>7.8958000000000004</v>
      </c>
      <c r="W881" s="4">
        <v>28</v>
      </c>
      <c r="X881" s="4" t="str">
        <f t="shared" si="148"/>
        <v>Young Adult</v>
      </c>
      <c r="Y881" s="4" t="s">
        <v>3561</v>
      </c>
      <c r="AB881" s="4" t="str">
        <f t="shared" si="149"/>
        <v/>
      </c>
      <c r="AC881" s="4" t="str">
        <f t="shared" si="150"/>
        <v>Unknown</v>
      </c>
      <c r="AD881" s="4" t="s">
        <v>457</v>
      </c>
      <c r="AG881" s="4" t="str">
        <f t="shared" si="151"/>
        <v>Not Applicable</v>
      </c>
      <c r="AK881" s="4" t="s">
        <v>3573</v>
      </c>
      <c r="AL881" s="4" t="str">
        <f t="shared" si="152"/>
        <v>Found</v>
      </c>
      <c r="AN881" s="6">
        <v>7.8958000000000004</v>
      </c>
      <c r="AO881" s="4" t="str">
        <f t="shared" si="153"/>
        <v>Low</v>
      </c>
    </row>
    <row r="882" spans="1:41">
      <c r="A882">
        <v>3</v>
      </c>
      <c r="B882" t="str">
        <f t="shared" si="143"/>
        <v>Third Class</v>
      </c>
      <c r="C882">
        <v>1</v>
      </c>
      <c r="E882" t="str">
        <f t="shared" si="144"/>
        <v>Survived</v>
      </c>
      <c r="F882" t="s">
        <v>1825</v>
      </c>
      <c r="G882" t="s">
        <v>848</v>
      </c>
      <c r="H882" t="s">
        <v>1678</v>
      </c>
      <c r="I882" t="str">
        <f t="shared" si="145"/>
        <v>Mr. Jalsevac Ivan</v>
      </c>
      <c r="J882" t="s">
        <v>20</v>
      </c>
      <c r="K882" t="str">
        <f t="shared" si="146"/>
        <v>Male</v>
      </c>
      <c r="L882">
        <v>29</v>
      </c>
      <c r="O882">
        <f t="shared" si="147"/>
        <v>29</v>
      </c>
      <c r="P882">
        <v>0</v>
      </c>
      <c r="R882" s="4">
        <v>0</v>
      </c>
      <c r="T882" s="5">
        <v>7.8958000000000004</v>
      </c>
      <c r="W882" s="4">
        <v>29</v>
      </c>
      <c r="X882" s="4" t="str">
        <f t="shared" si="148"/>
        <v>Young Adult</v>
      </c>
      <c r="Y882" s="4" t="s">
        <v>3561</v>
      </c>
      <c r="AB882" s="4" t="str">
        <f t="shared" si="149"/>
        <v/>
      </c>
      <c r="AC882" s="4" t="str">
        <f t="shared" si="150"/>
        <v>Unknown</v>
      </c>
      <c r="AD882" s="4" t="s">
        <v>3566</v>
      </c>
      <c r="AF882" s="4">
        <v>15</v>
      </c>
      <c r="AG882" s="4">
        <f t="shared" si="151"/>
        <v>15</v>
      </c>
      <c r="AK882" s="4" t="s">
        <v>3573</v>
      </c>
      <c r="AL882" s="4" t="str">
        <f t="shared" si="152"/>
        <v>Found</v>
      </c>
      <c r="AN882" s="6">
        <v>7.8958000000000004</v>
      </c>
      <c r="AO882" s="4" t="str">
        <f t="shared" si="153"/>
        <v>Low</v>
      </c>
    </row>
    <row r="883" spans="1:41">
      <c r="A883">
        <v>3</v>
      </c>
      <c r="B883" t="str">
        <f t="shared" si="143"/>
        <v>Third Class</v>
      </c>
      <c r="C883">
        <v>1</v>
      </c>
      <c r="E883" t="str">
        <f t="shared" si="144"/>
        <v>Survived</v>
      </c>
      <c r="F883" t="s">
        <v>1826</v>
      </c>
      <c r="G883" t="s">
        <v>848</v>
      </c>
      <c r="H883" t="s">
        <v>1104</v>
      </c>
      <c r="I883" t="str">
        <f t="shared" si="145"/>
        <v>Mr. Jansson Carl</v>
      </c>
      <c r="J883" t="s">
        <v>20</v>
      </c>
      <c r="K883" t="str">
        <f t="shared" si="146"/>
        <v>Male</v>
      </c>
      <c r="L883">
        <v>21</v>
      </c>
      <c r="O883">
        <f t="shared" si="147"/>
        <v>21</v>
      </c>
      <c r="P883">
        <v>0</v>
      </c>
      <c r="R883" s="4">
        <v>0</v>
      </c>
      <c r="T883" s="5">
        <v>7.7957999999999998</v>
      </c>
      <c r="W883" s="4">
        <v>21</v>
      </c>
      <c r="X883" s="4" t="str">
        <f t="shared" si="148"/>
        <v>Young Adult</v>
      </c>
      <c r="Y883" s="4" t="s">
        <v>3561</v>
      </c>
      <c r="AB883" s="4" t="str">
        <f t="shared" si="149"/>
        <v/>
      </c>
      <c r="AC883" s="4" t="str">
        <f t="shared" si="150"/>
        <v>Unknown</v>
      </c>
      <c r="AD883" s="4" t="s">
        <v>457</v>
      </c>
      <c r="AF883" s="4" t="s">
        <v>78</v>
      </c>
      <c r="AG883" s="4" t="str">
        <f t="shared" si="151"/>
        <v>A</v>
      </c>
      <c r="AK883" s="4" t="s">
        <v>3573</v>
      </c>
      <c r="AL883" s="4" t="str">
        <f t="shared" si="152"/>
        <v>Found</v>
      </c>
      <c r="AN883" s="6">
        <v>7.7957999999999998</v>
      </c>
      <c r="AO883" s="4" t="str">
        <f t="shared" si="153"/>
        <v>Low</v>
      </c>
    </row>
    <row r="884" spans="1:41">
      <c r="A884">
        <v>3</v>
      </c>
      <c r="B884" t="str">
        <f t="shared" si="143"/>
        <v>Third Class</v>
      </c>
      <c r="C884">
        <v>0</v>
      </c>
      <c r="E884" t="str">
        <f t="shared" si="144"/>
        <v>Died</v>
      </c>
      <c r="F884" t="s">
        <v>1827</v>
      </c>
      <c r="G884" t="s">
        <v>848</v>
      </c>
      <c r="H884" t="s">
        <v>941</v>
      </c>
      <c r="I884" t="str">
        <f t="shared" si="145"/>
        <v>Mr. Jardin Jose</v>
      </c>
      <c r="J884" t="s">
        <v>20</v>
      </c>
      <c r="K884" t="str">
        <f t="shared" si="146"/>
        <v>Male</v>
      </c>
      <c r="L884">
        <v>28</v>
      </c>
      <c r="O884">
        <f t="shared" si="147"/>
        <v>28</v>
      </c>
      <c r="P884">
        <v>0</v>
      </c>
      <c r="R884" s="4">
        <v>0</v>
      </c>
      <c r="T884" s="5">
        <v>7.05</v>
      </c>
      <c r="W884" s="4">
        <v>28</v>
      </c>
      <c r="X884" s="4" t="str">
        <f t="shared" si="148"/>
        <v>Young Adult</v>
      </c>
      <c r="Y884" s="4" t="s">
        <v>3561</v>
      </c>
      <c r="AB884" s="4" t="str">
        <f t="shared" si="149"/>
        <v/>
      </c>
      <c r="AC884" s="4" t="str">
        <f t="shared" si="150"/>
        <v>Unknown</v>
      </c>
      <c r="AD884" s="4" t="s">
        <v>457</v>
      </c>
      <c r="AG884" s="4" t="str">
        <f t="shared" si="151"/>
        <v>Not Applicable</v>
      </c>
      <c r="AK884" s="4" t="s">
        <v>3573</v>
      </c>
      <c r="AL884" s="4" t="str">
        <f t="shared" si="152"/>
        <v>Found</v>
      </c>
      <c r="AN884" s="6">
        <v>7.05</v>
      </c>
      <c r="AO884" s="4" t="str">
        <f t="shared" si="153"/>
        <v>Low</v>
      </c>
    </row>
    <row r="885" spans="1:41">
      <c r="A885">
        <v>3</v>
      </c>
      <c r="B885" t="str">
        <f t="shared" si="143"/>
        <v>Third Class</v>
      </c>
      <c r="C885">
        <v>0</v>
      </c>
      <c r="E885" t="str">
        <f t="shared" si="144"/>
        <v>Died</v>
      </c>
      <c r="F885" t="s">
        <v>1828</v>
      </c>
      <c r="G885" t="s">
        <v>848</v>
      </c>
      <c r="H885" t="s">
        <v>1365</v>
      </c>
      <c r="I885" t="str">
        <f t="shared" si="145"/>
        <v>Mr. Jensen Hans</v>
      </c>
      <c r="J885" t="s">
        <v>20</v>
      </c>
      <c r="K885" t="str">
        <f t="shared" si="146"/>
        <v>Male</v>
      </c>
      <c r="L885">
        <v>20</v>
      </c>
      <c r="O885">
        <f t="shared" si="147"/>
        <v>20</v>
      </c>
      <c r="P885">
        <v>0</v>
      </c>
      <c r="R885" s="4">
        <v>0</v>
      </c>
      <c r="T885" s="5">
        <v>7.8541999999999996</v>
      </c>
      <c r="W885" s="4">
        <v>20</v>
      </c>
      <c r="X885" s="4" t="str">
        <f t="shared" si="148"/>
        <v>Young Adult</v>
      </c>
      <c r="Y885" s="4" t="s">
        <v>3561</v>
      </c>
      <c r="AB885" s="4" t="str">
        <f t="shared" si="149"/>
        <v/>
      </c>
      <c r="AC885" s="4" t="str">
        <f t="shared" si="150"/>
        <v>Unknown</v>
      </c>
      <c r="AD885" s="4" t="s">
        <v>457</v>
      </c>
      <c r="AG885" s="4" t="str">
        <f t="shared" si="151"/>
        <v>Not Applicable</v>
      </c>
      <c r="AK885" s="4" t="s">
        <v>3573</v>
      </c>
      <c r="AL885" s="4" t="str">
        <f t="shared" si="152"/>
        <v>Found</v>
      </c>
      <c r="AN885" s="6">
        <v>7.8541999999999996</v>
      </c>
      <c r="AO885" s="4" t="str">
        <f t="shared" si="153"/>
        <v>Low</v>
      </c>
    </row>
    <row r="886" spans="1:41">
      <c r="A886">
        <v>3</v>
      </c>
      <c r="B886" t="str">
        <f t="shared" si="143"/>
        <v>Third Class</v>
      </c>
      <c r="C886">
        <v>0</v>
      </c>
      <c r="E886" t="str">
        <f t="shared" si="144"/>
        <v>Died</v>
      </c>
      <c r="F886" t="s">
        <v>1828</v>
      </c>
      <c r="G886" t="s">
        <v>848</v>
      </c>
      <c r="H886" t="s">
        <v>1829</v>
      </c>
      <c r="I886" t="str">
        <f t="shared" si="145"/>
        <v>Mr. Jensen Niels</v>
      </c>
      <c r="J886" t="s">
        <v>20</v>
      </c>
      <c r="K886" t="str">
        <f t="shared" si="146"/>
        <v>Male</v>
      </c>
      <c r="L886">
        <v>48</v>
      </c>
      <c r="O886">
        <f t="shared" si="147"/>
        <v>48</v>
      </c>
      <c r="P886">
        <v>0</v>
      </c>
      <c r="R886" s="4">
        <v>0</v>
      </c>
      <c r="T886" s="5">
        <v>7.8541999999999996</v>
      </c>
      <c r="W886" s="4">
        <v>48</v>
      </c>
      <c r="X886" s="4" t="str">
        <f t="shared" si="148"/>
        <v>Adult</v>
      </c>
      <c r="Y886" s="4" t="s">
        <v>3561</v>
      </c>
      <c r="AB886" s="4" t="str">
        <f t="shared" si="149"/>
        <v/>
      </c>
      <c r="AC886" s="4" t="str">
        <f t="shared" si="150"/>
        <v>Unknown</v>
      </c>
      <c r="AD886" s="4" t="s">
        <v>457</v>
      </c>
      <c r="AG886" s="4" t="str">
        <f t="shared" si="151"/>
        <v>Not Applicable</v>
      </c>
      <c r="AK886" s="4" t="s">
        <v>3573</v>
      </c>
      <c r="AL886" s="4" t="str">
        <f t="shared" si="152"/>
        <v>Found</v>
      </c>
      <c r="AN886" s="6">
        <v>7.8541999999999996</v>
      </c>
      <c r="AO886" s="4" t="str">
        <f t="shared" si="153"/>
        <v>Low</v>
      </c>
    </row>
    <row r="887" spans="1:41">
      <c r="A887">
        <v>3</v>
      </c>
      <c r="B887" t="str">
        <f t="shared" si="143"/>
        <v>Third Class</v>
      </c>
      <c r="C887">
        <v>0</v>
      </c>
      <c r="E887" t="str">
        <f t="shared" si="144"/>
        <v>Died</v>
      </c>
      <c r="F887" t="s">
        <v>1828</v>
      </c>
      <c r="G887" t="s">
        <v>848</v>
      </c>
      <c r="H887" t="s">
        <v>1830</v>
      </c>
      <c r="I887" t="str">
        <f t="shared" si="145"/>
        <v>Mr. Jensen Svend</v>
      </c>
      <c r="J887" t="s">
        <v>20</v>
      </c>
      <c r="K887" t="str">
        <f t="shared" si="146"/>
        <v>Male</v>
      </c>
      <c r="L887">
        <v>17</v>
      </c>
      <c r="O887">
        <f t="shared" si="147"/>
        <v>17</v>
      </c>
      <c r="P887">
        <v>1</v>
      </c>
      <c r="R887" s="4">
        <v>0</v>
      </c>
      <c r="T887" s="5">
        <v>7.0541999999999998</v>
      </c>
      <c r="W887" s="4">
        <v>17</v>
      </c>
      <c r="X887" s="4" t="str">
        <f t="shared" si="148"/>
        <v>Teenager</v>
      </c>
      <c r="Y887" s="4" t="s">
        <v>3561</v>
      </c>
      <c r="AB887" s="4" t="str">
        <f t="shared" si="149"/>
        <v/>
      </c>
      <c r="AC887" s="4" t="str">
        <f t="shared" si="150"/>
        <v>Unknown</v>
      </c>
      <c r="AD887" s="4" t="s">
        <v>457</v>
      </c>
      <c r="AG887" s="4" t="str">
        <f t="shared" si="151"/>
        <v>Not Applicable</v>
      </c>
      <c r="AK887" s="4" t="s">
        <v>3573</v>
      </c>
      <c r="AL887" s="4" t="str">
        <f t="shared" si="152"/>
        <v>Found</v>
      </c>
      <c r="AN887" s="6">
        <v>7.0541999999999998</v>
      </c>
      <c r="AO887" s="4" t="str">
        <f t="shared" si="153"/>
        <v>Low</v>
      </c>
    </row>
    <row r="888" spans="1:41">
      <c r="A888">
        <v>3</v>
      </c>
      <c r="B888" t="str">
        <f t="shared" si="143"/>
        <v>Third Class</v>
      </c>
      <c r="C888">
        <v>1</v>
      </c>
      <c r="E888" t="str">
        <f t="shared" si="144"/>
        <v>Survived</v>
      </c>
      <c r="F888" t="s">
        <v>1831</v>
      </c>
      <c r="G888" t="s">
        <v>842</v>
      </c>
      <c r="H888" t="s">
        <v>1308</v>
      </c>
      <c r="I888" t="str">
        <f t="shared" si="145"/>
        <v>Miss. Jermyn Annie</v>
      </c>
      <c r="J888" t="s">
        <v>47</v>
      </c>
      <c r="K888" t="str">
        <f t="shared" si="146"/>
        <v>Female</v>
      </c>
      <c r="L888">
        <v>28</v>
      </c>
      <c r="O888">
        <f t="shared" si="147"/>
        <v>28</v>
      </c>
      <c r="P888">
        <v>0</v>
      </c>
      <c r="R888" s="4">
        <v>0</v>
      </c>
      <c r="T888" s="5">
        <v>7.75</v>
      </c>
      <c r="W888" s="4">
        <v>28</v>
      </c>
      <c r="X888" s="4" t="str">
        <f t="shared" si="148"/>
        <v>Young Adult</v>
      </c>
      <c r="Y888" s="4" t="s">
        <v>3561</v>
      </c>
      <c r="AB888" s="4" t="str">
        <f t="shared" si="149"/>
        <v/>
      </c>
      <c r="AC888" s="4" t="str">
        <f t="shared" si="150"/>
        <v>Unknown</v>
      </c>
      <c r="AD888" s="4" t="s">
        <v>3567</v>
      </c>
      <c r="AF888" s="4" t="s">
        <v>59</v>
      </c>
      <c r="AG888" s="4" t="str">
        <f t="shared" si="151"/>
        <v>D</v>
      </c>
      <c r="AK888" s="4" t="s">
        <v>3573</v>
      </c>
      <c r="AL888" s="4" t="str">
        <f t="shared" si="152"/>
        <v>Found</v>
      </c>
      <c r="AN888" s="6">
        <v>7.75</v>
      </c>
      <c r="AO888" s="4" t="str">
        <f t="shared" si="153"/>
        <v>Low</v>
      </c>
    </row>
    <row r="889" spans="1:41">
      <c r="A889">
        <v>3</v>
      </c>
      <c r="B889" t="str">
        <f t="shared" si="143"/>
        <v>Third Class</v>
      </c>
      <c r="C889">
        <v>1</v>
      </c>
      <c r="E889" t="str">
        <f t="shared" si="144"/>
        <v>Survived</v>
      </c>
      <c r="F889" t="s">
        <v>1832</v>
      </c>
      <c r="G889" t="s">
        <v>848</v>
      </c>
      <c r="H889" t="s">
        <v>1833</v>
      </c>
      <c r="I889" t="str">
        <f t="shared" si="145"/>
        <v>Mr. Johannesen-Bratthammer Bernt</v>
      </c>
      <c r="J889" t="s">
        <v>20</v>
      </c>
      <c r="K889" t="str">
        <f t="shared" si="146"/>
        <v>Male</v>
      </c>
      <c r="L889">
        <v>28</v>
      </c>
      <c r="O889">
        <f t="shared" si="147"/>
        <v>28</v>
      </c>
      <c r="P889">
        <v>0</v>
      </c>
      <c r="R889" s="4">
        <v>0</v>
      </c>
      <c r="T889" s="5">
        <v>8.1125000000000007</v>
      </c>
      <c r="W889" s="4">
        <v>28</v>
      </c>
      <c r="X889" s="4" t="str">
        <f t="shared" si="148"/>
        <v>Young Adult</v>
      </c>
      <c r="Y889" s="4" t="s">
        <v>3561</v>
      </c>
      <c r="AB889" s="4" t="str">
        <f t="shared" si="149"/>
        <v/>
      </c>
      <c r="AC889" s="4" t="str">
        <f t="shared" si="150"/>
        <v>Unknown</v>
      </c>
      <c r="AD889" s="4" t="s">
        <v>457</v>
      </c>
      <c r="AF889" s="4">
        <v>13</v>
      </c>
      <c r="AG889" s="4">
        <f t="shared" si="151"/>
        <v>13</v>
      </c>
      <c r="AK889" s="4" t="s">
        <v>3573</v>
      </c>
      <c r="AL889" s="4" t="str">
        <f t="shared" si="152"/>
        <v>Found</v>
      </c>
      <c r="AN889" s="6">
        <v>8.1125000000000007</v>
      </c>
      <c r="AO889" s="4" t="str">
        <f t="shared" si="153"/>
        <v>Low</v>
      </c>
    </row>
    <row r="890" spans="1:41">
      <c r="A890">
        <v>3</v>
      </c>
      <c r="B890" t="str">
        <f t="shared" si="143"/>
        <v>Third Class</v>
      </c>
      <c r="C890">
        <v>0</v>
      </c>
      <c r="E890" t="str">
        <f t="shared" si="144"/>
        <v>Died</v>
      </c>
      <c r="F890" t="s">
        <v>1834</v>
      </c>
      <c r="G890" t="s">
        <v>848</v>
      </c>
      <c r="H890" t="s">
        <v>892</v>
      </c>
      <c r="I890" t="str">
        <f t="shared" si="145"/>
        <v>Mr. Johanson Jakob</v>
      </c>
      <c r="J890" t="s">
        <v>20</v>
      </c>
      <c r="K890" t="str">
        <f t="shared" si="146"/>
        <v>Male</v>
      </c>
      <c r="L890">
        <v>34</v>
      </c>
      <c r="O890">
        <f t="shared" si="147"/>
        <v>34</v>
      </c>
      <c r="P890">
        <v>0</v>
      </c>
      <c r="R890" s="4">
        <v>0</v>
      </c>
      <c r="T890" s="5">
        <v>6.4958</v>
      </c>
      <c r="W890" s="4">
        <v>34</v>
      </c>
      <c r="X890" s="4" t="str">
        <f t="shared" si="148"/>
        <v>Adult</v>
      </c>
      <c r="Y890" s="4" t="s">
        <v>3561</v>
      </c>
      <c r="AB890" s="4" t="str">
        <f t="shared" si="149"/>
        <v/>
      </c>
      <c r="AC890" s="4" t="str">
        <f t="shared" si="150"/>
        <v>Unknown</v>
      </c>
      <c r="AD890" s="4" t="s">
        <v>457</v>
      </c>
      <c r="AG890" s="4" t="str">
        <f t="shared" si="151"/>
        <v>Not Applicable</v>
      </c>
      <c r="AH890" s="4">
        <v>143</v>
      </c>
      <c r="AK890" s="4">
        <v>143</v>
      </c>
      <c r="AL890" s="4" t="str">
        <f t="shared" si="152"/>
        <v>Found</v>
      </c>
      <c r="AN890" s="6">
        <v>6.4958</v>
      </c>
      <c r="AO890" s="4" t="str">
        <f t="shared" si="153"/>
        <v>Low</v>
      </c>
    </row>
    <row r="891" spans="1:41">
      <c r="A891">
        <v>3</v>
      </c>
      <c r="B891" t="str">
        <f t="shared" si="143"/>
        <v>Third Class</v>
      </c>
      <c r="C891">
        <v>1</v>
      </c>
      <c r="E891" t="str">
        <f t="shared" si="144"/>
        <v>Survived</v>
      </c>
      <c r="F891" t="s">
        <v>1835</v>
      </c>
      <c r="G891" t="s">
        <v>1836</v>
      </c>
      <c r="H891" t="s">
        <v>848</v>
      </c>
      <c r="I891" t="str">
        <f t="shared" si="145"/>
        <v>Palmquist Johansson Mr.</v>
      </c>
      <c r="J891" t="s">
        <v>20</v>
      </c>
      <c r="K891" t="str">
        <f t="shared" si="146"/>
        <v>Male</v>
      </c>
      <c r="L891">
        <v>26</v>
      </c>
      <c r="O891">
        <f t="shared" si="147"/>
        <v>26</v>
      </c>
      <c r="P891">
        <v>0</v>
      </c>
      <c r="R891" s="4">
        <v>0</v>
      </c>
      <c r="T891" s="5">
        <v>7.7750000000000004</v>
      </c>
      <c r="W891" s="4">
        <v>26</v>
      </c>
      <c r="X891" s="4" t="str">
        <f t="shared" si="148"/>
        <v>Young Adult</v>
      </c>
      <c r="Y891" s="4" t="s">
        <v>3561</v>
      </c>
      <c r="AB891" s="4" t="str">
        <f t="shared" si="149"/>
        <v/>
      </c>
      <c r="AC891" s="4" t="str">
        <f t="shared" si="150"/>
        <v>Unknown</v>
      </c>
      <c r="AD891" s="4" t="s">
        <v>457</v>
      </c>
      <c r="AF891" s="4">
        <v>15</v>
      </c>
      <c r="AG891" s="4">
        <f t="shared" si="151"/>
        <v>15</v>
      </c>
      <c r="AK891" s="4" t="s">
        <v>3573</v>
      </c>
      <c r="AL891" s="4" t="str">
        <f t="shared" si="152"/>
        <v>Found</v>
      </c>
      <c r="AN891" s="6">
        <v>7.7750000000000004</v>
      </c>
      <c r="AO891" s="4" t="str">
        <f t="shared" si="153"/>
        <v>Low</v>
      </c>
    </row>
    <row r="892" spans="1:41">
      <c r="A892">
        <v>3</v>
      </c>
      <c r="B892" t="str">
        <f t="shared" si="143"/>
        <v>Third Class</v>
      </c>
      <c r="C892">
        <v>0</v>
      </c>
      <c r="E892" t="str">
        <f t="shared" si="144"/>
        <v>Died</v>
      </c>
      <c r="F892" t="s">
        <v>1835</v>
      </c>
      <c r="G892" t="s">
        <v>848</v>
      </c>
      <c r="H892" t="s">
        <v>1101</v>
      </c>
      <c r="I892" t="str">
        <f t="shared" si="145"/>
        <v>Mr. Johansson Erik</v>
      </c>
      <c r="J892" t="s">
        <v>20</v>
      </c>
      <c r="K892" t="str">
        <f t="shared" si="146"/>
        <v>Male</v>
      </c>
      <c r="L892">
        <v>22</v>
      </c>
      <c r="O892">
        <f t="shared" si="147"/>
        <v>22</v>
      </c>
      <c r="P892">
        <v>0</v>
      </c>
      <c r="R892" s="4">
        <v>0</v>
      </c>
      <c r="T892" s="5">
        <v>7.7957999999999998</v>
      </c>
      <c r="W892" s="4">
        <v>22</v>
      </c>
      <c r="X892" s="4" t="str">
        <f t="shared" si="148"/>
        <v>Young Adult</v>
      </c>
      <c r="Y892" s="4" t="s">
        <v>3561</v>
      </c>
      <c r="AB892" s="4" t="str">
        <f t="shared" si="149"/>
        <v/>
      </c>
      <c r="AC892" s="4" t="str">
        <f t="shared" si="150"/>
        <v>Unknown</v>
      </c>
      <c r="AD892" s="4" t="s">
        <v>457</v>
      </c>
      <c r="AG892" s="4" t="str">
        <f t="shared" si="151"/>
        <v>Not Applicable</v>
      </c>
      <c r="AH892" s="4">
        <v>156</v>
      </c>
      <c r="AK892" s="4">
        <v>156</v>
      </c>
      <c r="AL892" s="4" t="str">
        <f t="shared" si="152"/>
        <v>Found</v>
      </c>
      <c r="AN892" s="6">
        <v>7.7957999999999998</v>
      </c>
      <c r="AO892" s="4" t="str">
        <f t="shared" si="153"/>
        <v>Low</v>
      </c>
    </row>
    <row r="893" spans="1:41">
      <c r="A893">
        <v>3</v>
      </c>
      <c r="B893" t="str">
        <f t="shared" si="143"/>
        <v>Third Class</v>
      </c>
      <c r="C893">
        <v>0</v>
      </c>
      <c r="E893" t="str">
        <f t="shared" si="144"/>
        <v>Died</v>
      </c>
      <c r="F893" t="s">
        <v>1835</v>
      </c>
      <c r="G893" t="s">
        <v>848</v>
      </c>
      <c r="H893" t="s">
        <v>1102</v>
      </c>
      <c r="I893" t="str">
        <f t="shared" si="145"/>
        <v>Mr. Johansson Gustaf</v>
      </c>
      <c r="J893" t="s">
        <v>20</v>
      </c>
      <c r="K893" t="str">
        <f t="shared" si="146"/>
        <v>Male</v>
      </c>
      <c r="L893">
        <v>33</v>
      </c>
      <c r="O893">
        <f t="shared" si="147"/>
        <v>33</v>
      </c>
      <c r="P893">
        <v>0</v>
      </c>
      <c r="R893" s="4">
        <v>0</v>
      </c>
      <c r="T893" s="5">
        <v>8.6541999999999994</v>
      </c>
      <c r="W893" s="4">
        <v>33</v>
      </c>
      <c r="X893" s="4" t="str">
        <f t="shared" si="148"/>
        <v>Adult</v>
      </c>
      <c r="Y893" s="4" t="s">
        <v>3561</v>
      </c>
      <c r="AB893" s="4" t="str">
        <f t="shared" si="149"/>
        <v/>
      </c>
      <c r="AC893" s="4" t="str">
        <f t="shared" si="150"/>
        <v>Unknown</v>
      </c>
      <c r="AD893" s="4" t="s">
        <v>457</v>
      </c>
      <c r="AG893" s="4" t="str">
        <f t="shared" si="151"/>
        <v>Not Applicable</v>
      </c>
      <c r="AH893" s="4">
        <v>285</v>
      </c>
      <c r="AK893" s="4">
        <v>285</v>
      </c>
      <c r="AL893" s="4" t="str">
        <f t="shared" si="152"/>
        <v>Found</v>
      </c>
      <c r="AN893" s="6">
        <v>8.6541999999999994</v>
      </c>
      <c r="AO893" s="4" t="str">
        <f t="shared" si="153"/>
        <v>Low</v>
      </c>
    </row>
    <row r="894" spans="1:41">
      <c r="A894">
        <v>3</v>
      </c>
      <c r="B894" t="str">
        <f t="shared" si="143"/>
        <v>Third Class</v>
      </c>
      <c r="C894">
        <v>0</v>
      </c>
      <c r="E894" t="str">
        <f t="shared" si="144"/>
        <v>Died</v>
      </c>
      <c r="F894" t="s">
        <v>1835</v>
      </c>
      <c r="G894" t="s">
        <v>848</v>
      </c>
      <c r="H894" t="s">
        <v>887</v>
      </c>
      <c r="I894" t="str">
        <f t="shared" si="145"/>
        <v>Mr. Johansson Karl</v>
      </c>
      <c r="J894" t="s">
        <v>20</v>
      </c>
      <c r="K894" t="str">
        <f t="shared" si="146"/>
        <v>Male</v>
      </c>
      <c r="L894">
        <v>31</v>
      </c>
      <c r="O894">
        <f t="shared" si="147"/>
        <v>31</v>
      </c>
      <c r="P894">
        <v>0</v>
      </c>
      <c r="R894" s="4">
        <v>0</v>
      </c>
      <c r="T894" s="5">
        <v>7.7750000000000004</v>
      </c>
      <c r="W894" s="4">
        <v>31</v>
      </c>
      <c r="X894" s="4" t="str">
        <f t="shared" si="148"/>
        <v>Adult</v>
      </c>
      <c r="Y894" s="4" t="s">
        <v>3561</v>
      </c>
      <c r="AB894" s="4" t="str">
        <f t="shared" si="149"/>
        <v/>
      </c>
      <c r="AC894" s="4" t="str">
        <f t="shared" si="150"/>
        <v>Unknown</v>
      </c>
      <c r="AD894" s="4" t="s">
        <v>457</v>
      </c>
      <c r="AG894" s="4" t="str">
        <f t="shared" si="151"/>
        <v>Not Applicable</v>
      </c>
      <c r="AK894" s="4" t="s">
        <v>3573</v>
      </c>
      <c r="AL894" s="4" t="str">
        <f t="shared" si="152"/>
        <v>Found</v>
      </c>
      <c r="AN894" s="6">
        <v>7.7750000000000004</v>
      </c>
      <c r="AO894" s="4" t="str">
        <f t="shared" si="153"/>
        <v>Low</v>
      </c>
    </row>
    <row r="895" spans="1:41">
      <c r="A895">
        <v>3</v>
      </c>
      <c r="B895" t="str">
        <f t="shared" si="143"/>
        <v>Third Class</v>
      </c>
      <c r="C895">
        <v>0</v>
      </c>
      <c r="E895" t="str">
        <f t="shared" si="144"/>
        <v>Died</v>
      </c>
      <c r="F895" t="s">
        <v>1835</v>
      </c>
      <c r="G895" t="s">
        <v>848</v>
      </c>
      <c r="H895" t="s">
        <v>1546</v>
      </c>
      <c r="I895" t="str">
        <f t="shared" si="145"/>
        <v>Mr. Johansson Nils</v>
      </c>
      <c r="J895" t="s">
        <v>20</v>
      </c>
      <c r="K895" t="str">
        <f t="shared" si="146"/>
        <v>Male</v>
      </c>
      <c r="L895">
        <v>29</v>
      </c>
      <c r="O895">
        <f t="shared" si="147"/>
        <v>29</v>
      </c>
      <c r="P895">
        <v>0</v>
      </c>
      <c r="R895" s="4">
        <v>0</v>
      </c>
      <c r="T895" s="5">
        <v>7.8541999999999996</v>
      </c>
      <c r="W895" s="4">
        <v>29</v>
      </c>
      <c r="X895" s="4" t="str">
        <f t="shared" si="148"/>
        <v>Young Adult</v>
      </c>
      <c r="Y895" s="4" t="s">
        <v>3561</v>
      </c>
      <c r="AB895" s="4" t="str">
        <f t="shared" si="149"/>
        <v/>
      </c>
      <c r="AC895" s="4" t="str">
        <f t="shared" si="150"/>
        <v>Unknown</v>
      </c>
      <c r="AD895" s="4" t="s">
        <v>457</v>
      </c>
      <c r="AG895" s="4" t="str">
        <f t="shared" si="151"/>
        <v>Not Applicable</v>
      </c>
      <c r="AK895" s="4" t="s">
        <v>3573</v>
      </c>
      <c r="AL895" s="4" t="str">
        <f t="shared" si="152"/>
        <v>Found</v>
      </c>
      <c r="AN895" s="6">
        <v>7.8541999999999996</v>
      </c>
      <c r="AO895" s="4" t="str">
        <f t="shared" si="153"/>
        <v>Low</v>
      </c>
    </row>
    <row r="896" spans="1:41">
      <c r="A896">
        <v>3</v>
      </c>
      <c r="B896" t="str">
        <f t="shared" si="143"/>
        <v>Third Class</v>
      </c>
      <c r="C896">
        <v>1</v>
      </c>
      <c r="E896" t="str">
        <f t="shared" si="144"/>
        <v>Survived</v>
      </c>
      <c r="F896" t="s">
        <v>1837</v>
      </c>
      <c r="G896" t="s">
        <v>845</v>
      </c>
      <c r="H896" t="s">
        <v>1769</v>
      </c>
      <c r="I896" t="str">
        <f t="shared" si="145"/>
        <v>Master. Johnson Harold</v>
      </c>
      <c r="J896" t="s">
        <v>20</v>
      </c>
      <c r="K896" t="str">
        <f t="shared" si="146"/>
        <v>Male</v>
      </c>
      <c r="L896">
        <v>4</v>
      </c>
      <c r="O896">
        <f t="shared" si="147"/>
        <v>4</v>
      </c>
      <c r="P896">
        <v>1</v>
      </c>
      <c r="R896" s="4">
        <v>1</v>
      </c>
      <c r="T896" s="5">
        <v>11.1333</v>
      </c>
      <c r="W896" s="4">
        <v>4</v>
      </c>
      <c r="X896" s="4" t="str">
        <f t="shared" si="148"/>
        <v>Child</v>
      </c>
      <c r="Y896" s="4" t="s">
        <v>3561</v>
      </c>
      <c r="AB896" s="4" t="str">
        <f t="shared" si="149"/>
        <v/>
      </c>
      <c r="AC896" s="4" t="str">
        <f t="shared" si="150"/>
        <v>Unknown</v>
      </c>
      <c r="AD896" s="4" t="s">
        <v>457</v>
      </c>
      <c r="AF896" s="4">
        <v>15</v>
      </c>
      <c r="AG896" s="4">
        <f t="shared" si="151"/>
        <v>15</v>
      </c>
      <c r="AK896" s="4" t="s">
        <v>3573</v>
      </c>
      <c r="AL896" s="4" t="str">
        <f t="shared" si="152"/>
        <v>Found</v>
      </c>
      <c r="AN896" s="6">
        <v>11.1333</v>
      </c>
      <c r="AO896" s="4" t="str">
        <f t="shared" si="153"/>
        <v>Mid</v>
      </c>
    </row>
    <row r="897" spans="1:41">
      <c r="A897">
        <v>3</v>
      </c>
      <c r="B897" t="str">
        <f t="shared" si="143"/>
        <v>Third Class</v>
      </c>
      <c r="C897">
        <v>1</v>
      </c>
      <c r="E897" t="str">
        <f t="shared" si="144"/>
        <v>Survived</v>
      </c>
      <c r="F897" t="s">
        <v>1837</v>
      </c>
      <c r="G897" t="s">
        <v>842</v>
      </c>
      <c r="H897" t="s">
        <v>1839</v>
      </c>
      <c r="I897" t="str">
        <f t="shared" si="145"/>
        <v>Miss. Johnson Eleanor</v>
      </c>
      <c r="J897" t="s">
        <v>47</v>
      </c>
      <c r="K897" t="str">
        <f t="shared" si="146"/>
        <v>Female</v>
      </c>
      <c r="L897">
        <v>1</v>
      </c>
      <c r="O897">
        <f t="shared" si="147"/>
        <v>1</v>
      </c>
      <c r="P897">
        <v>1</v>
      </c>
      <c r="R897" s="4">
        <v>1</v>
      </c>
      <c r="T897" s="5">
        <v>11.1333</v>
      </c>
      <c r="W897" s="4">
        <v>1</v>
      </c>
      <c r="X897" s="4" t="str">
        <f t="shared" si="148"/>
        <v>Child</v>
      </c>
      <c r="Y897" s="4" t="s">
        <v>3561</v>
      </c>
      <c r="AB897" s="4" t="str">
        <f t="shared" si="149"/>
        <v/>
      </c>
      <c r="AC897" s="4" t="str">
        <f t="shared" si="150"/>
        <v>Unknown</v>
      </c>
      <c r="AD897" s="4" t="s">
        <v>457</v>
      </c>
      <c r="AF897" s="4">
        <v>15</v>
      </c>
      <c r="AG897" s="4">
        <f t="shared" si="151"/>
        <v>15</v>
      </c>
      <c r="AK897" s="4" t="s">
        <v>3573</v>
      </c>
      <c r="AL897" s="4" t="str">
        <f t="shared" si="152"/>
        <v>Found</v>
      </c>
      <c r="AN897" s="6">
        <v>11.1333</v>
      </c>
      <c r="AO897" s="4" t="str">
        <f t="shared" si="153"/>
        <v>Mid</v>
      </c>
    </row>
    <row r="898" spans="1:41">
      <c r="A898">
        <v>3</v>
      </c>
      <c r="B898" t="str">
        <f t="shared" si="143"/>
        <v>Third Class</v>
      </c>
      <c r="C898">
        <v>0</v>
      </c>
      <c r="E898" t="str">
        <f t="shared" si="144"/>
        <v>Died</v>
      </c>
      <c r="F898" t="s">
        <v>1837</v>
      </c>
      <c r="G898" t="s">
        <v>848</v>
      </c>
      <c r="H898" t="s">
        <v>1015</v>
      </c>
      <c r="I898" t="str">
        <f t="shared" si="145"/>
        <v>Mr. Johnson Alfred</v>
      </c>
      <c r="J898" t="s">
        <v>20</v>
      </c>
      <c r="K898" t="str">
        <f t="shared" si="146"/>
        <v>Male</v>
      </c>
      <c r="L898">
        <v>49</v>
      </c>
      <c r="O898">
        <f t="shared" si="147"/>
        <v>49</v>
      </c>
      <c r="P898">
        <v>0</v>
      </c>
      <c r="R898" s="4">
        <v>0</v>
      </c>
      <c r="T898" s="5">
        <v>0</v>
      </c>
      <c r="W898" s="4">
        <v>49</v>
      </c>
      <c r="X898" s="4" t="str">
        <f t="shared" si="148"/>
        <v>Adult</v>
      </c>
      <c r="Y898" s="4" t="s">
        <v>3561</v>
      </c>
      <c r="AB898" s="4" t="str">
        <f t="shared" si="149"/>
        <v/>
      </c>
      <c r="AC898" s="4" t="str">
        <f t="shared" si="150"/>
        <v>Unknown</v>
      </c>
      <c r="AD898" s="4" t="s">
        <v>457</v>
      </c>
      <c r="AG898" s="4" t="str">
        <f t="shared" si="151"/>
        <v>Not Applicable</v>
      </c>
      <c r="AK898" s="4" t="s">
        <v>3573</v>
      </c>
      <c r="AL898" s="4" t="str">
        <f t="shared" si="152"/>
        <v>Found</v>
      </c>
      <c r="AN898" s="6">
        <v>0</v>
      </c>
      <c r="AO898" s="4" t="str">
        <f t="shared" si="153"/>
        <v>Low</v>
      </c>
    </row>
    <row r="899" spans="1:41">
      <c r="A899">
        <v>3</v>
      </c>
      <c r="B899" t="str">
        <f t="shared" ref="B899:B962" si="154">IF(A899=1,"First Class",IF(A899=2,"Second Class",IF(A899=3,"Third Class"," ")))</f>
        <v>Third Class</v>
      </c>
      <c r="C899">
        <v>0</v>
      </c>
      <c r="E899" t="str">
        <f t="shared" ref="E899:E962" si="155">IF(C899=1,"Survived",IF(C899=0,"Died"))</f>
        <v>Died</v>
      </c>
      <c r="F899" t="s">
        <v>1837</v>
      </c>
      <c r="G899" t="s">
        <v>848</v>
      </c>
      <c r="H899" t="s">
        <v>1840</v>
      </c>
      <c r="I899" t="str">
        <f t="shared" ref="I899:I962" si="156">_xlfn.CONCAT(G899," ",F899," ",H899)</f>
        <v>Mr. Johnson Malkolm</v>
      </c>
      <c r="J899" t="s">
        <v>20</v>
      </c>
      <c r="K899" t="str">
        <f t="shared" ref="K899:K962" si="157">PROPER(J899)</f>
        <v>Male</v>
      </c>
      <c r="L899">
        <v>33</v>
      </c>
      <c r="O899">
        <f t="shared" ref="O899:O962" si="158">IF(L899&lt;1,1,ROUND(L899,0))</f>
        <v>33</v>
      </c>
      <c r="P899">
        <v>0</v>
      </c>
      <c r="R899" s="4">
        <v>0</v>
      </c>
      <c r="T899" s="5">
        <v>7.7750000000000004</v>
      </c>
      <c r="W899" s="4">
        <v>33</v>
      </c>
      <c r="X899" s="4" t="str">
        <f t="shared" ref="X899:X962" si="159">IF(W899&lt;10,"Child",IF(W899&lt;18,"Teenager",IF(W899&lt;30,"Young Adult",IF(W899&lt;60,"Adult","Old Adult"))))</f>
        <v>Adult</v>
      </c>
      <c r="Y899" s="4" t="s">
        <v>3561</v>
      </c>
      <c r="AB899" s="4" t="str">
        <f t="shared" ref="AB899:AB962" si="160">LEFT(AA899,1)</f>
        <v/>
      </c>
      <c r="AC899" s="4" t="str">
        <f t="shared" ref="AC899:AC962" si="161">IF(AB899="","Unknown",LEFT(AB899,1))</f>
        <v>Unknown</v>
      </c>
      <c r="AD899" s="4" t="s">
        <v>457</v>
      </c>
      <c r="AG899" s="4" t="str">
        <f t="shared" ref="AG899:AG962" si="162">IF(AF899="",IF(E899=1,"Unknown","Not Applicable"),AF899)</f>
        <v>Not Applicable</v>
      </c>
      <c r="AH899" s="4">
        <v>37</v>
      </c>
      <c r="AK899" s="4">
        <v>37</v>
      </c>
      <c r="AL899" s="4" t="str">
        <f t="shared" ref="AL899:AL962" si="163">IF(AK899="","Not Found","Found")</f>
        <v>Found</v>
      </c>
      <c r="AN899" s="6">
        <v>7.7750000000000004</v>
      </c>
      <c r="AO899" s="4" t="str">
        <f t="shared" ref="AO899:AO962" si="164">IF(AN899&lt;=10,"Low",IF(AN899&lt;=50,"Mid","High"))</f>
        <v>Low</v>
      </c>
    </row>
    <row r="900" spans="1:41">
      <c r="A900">
        <v>3</v>
      </c>
      <c r="B900" t="str">
        <f t="shared" si="154"/>
        <v>Third Class</v>
      </c>
      <c r="C900">
        <v>0</v>
      </c>
      <c r="E900" t="str">
        <f t="shared" si="155"/>
        <v>Died</v>
      </c>
      <c r="F900" t="s">
        <v>1837</v>
      </c>
      <c r="G900" t="s">
        <v>848</v>
      </c>
      <c r="H900" t="s">
        <v>924</v>
      </c>
      <c r="I900" t="str">
        <f t="shared" si="156"/>
        <v>Mr. Johnson William</v>
      </c>
      <c r="J900" t="s">
        <v>20</v>
      </c>
      <c r="K900" t="str">
        <f t="shared" si="157"/>
        <v>Male</v>
      </c>
      <c r="L900">
        <v>19</v>
      </c>
      <c r="O900">
        <f t="shared" si="158"/>
        <v>19</v>
      </c>
      <c r="P900">
        <v>0</v>
      </c>
      <c r="R900" s="4">
        <v>0</v>
      </c>
      <c r="T900" s="5">
        <v>0</v>
      </c>
      <c r="W900" s="4">
        <v>19</v>
      </c>
      <c r="X900" s="4" t="str">
        <f t="shared" si="159"/>
        <v>Young Adult</v>
      </c>
      <c r="Y900" s="4" t="s">
        <v>3561</v>
      </c>
      <c r="AB900" s="4" t="str">
        <f t="shared" si="160"/>
        <v/>
      </c>
      <c r="AC900" s="4" t="str">
        <f t="shared" si="161"/>
        <v>Unknown</v>
      </c>
      <c r="AD900" s="4" t="s">
        <v>457</v>
      </c>
      <c r="AG900" s="4" t="str">
        <f t="shared" si="162"/>
        <v>Not Applicable</v>
      </c>
      <c r="AK900" s="4" t="s">
        <v>3573</v>
      </c>
      <c r="AL900" s="4" t="str">
        <f t="shared" si="163"/>
        <v>Found</v>
      </c>
      <c r="AN900" s="6">
        <v>0</v>
      </c>
      <c r="AO900" s="4" t="str">
        <f t="shared" si="164"/>
        <v>Low</v>
      </c>
    </row>
    <row r="901" spans="1:41">
      <c r="A901">
        <v>3</v>
      </c>
      <c r="B901" t="str">
        <f t="shared" si="154"/>
        <v>Third Class</v>
      </c>
      <c r="C901">
        <v>1</v>
      </c>
      <c r="E901" t="str">
        <f t="shared" si="155"/>
        <v>Survived</v>
      </c>
      <c r="F901" t="s">
        <v>1837</v>
      </c>
      <c r="G901" t="s">
        <v>849</v>
      </c>
      <c r="H901" t="s">
        <v>1583</v>
      </c>
      <c r="I901" t="str">
        <f t="shared" si="156"/>
        <v>Mrs. Johnson Oscar</v>
      </c>
      <c r="J901" t="s">
        <v>47</v>
      </c>
      <c r="K901" t="str">
        <f t="shared" si="157"/>
        <v>Female</v>
      </c>
      <c r="L901">
        <v>27</v>
      </c>
      <c r="O901">
        <f t="shared" si="158"/>
        <v>27</v>
      </c>
      <c r="P901">
        <v>0</v>
      </c>
      <c r="R901" s="4">
        <v>2</v>
      </c>
      <c r="T901" s="5">
        <v>11.1333</v>
      </c>
      <c r="W901" s="4">
        <v>27</v>
      </c>
      <c r="X901" s="4" t="str">
        <f t="shared" si="159"/>
        <v>Young Adult</v>
      </c>
      <c r="Y901" s="4" t="s">
        <v>3561</v>
      </c>
      <c r="AB901" s="4" t="str">
        <f t="shared" si="160"/>
        <v/>
      </c>
      <c r="AC901" s="4" t="str">
        <f t="shared" si="161"/>
        <v>Unknown</v>
      </c>
      <c r="AD901" s="4" t="s">
        <v>457</v>
      </c>
      <c r="AF901" s="4">
        <v>15</v>
      </c>
      <c r="AG901" s="4">
        <f t="shared" si="162"/>
        <v>15</v>
      </c>
      <c r="AK901" s="4" t="s">
        <v>3573</v>
      </c>
      <c r="AL901" s="4" t="str">
        <f t="shared" si="163"/>
        <v>Found</v>
      </c>
      <c r="AN901" s="6">
        <v>11.1333</v>
      </c>
      <c r="AO901" s="4" t="str">
        <f t="shared" si="164"/>
        <v>Mid</v>
      </c>
    </row>
    <row r="902" spans="1:41">
      <c r="A902">
        <v>3</v>
      </c>
      <c r="B902" t="str">
        <f t="shared" si="154"/>
        <v>Third Class</v>
      </c>
      <c r="C902">
        <v>0</v>
      </c>
      <c r="E902" t="str">
        <f t="shared" si="155"/>
        <v>Died</v>
      </c>
      <c r="F902" t="s">
        <v>1841</v>
      </c>
      <c r="G902" t="s">
        <v>845</v>
      </c>
      <c r="H902" t="s">
        <v>924</v>
      </c>
      <c r="I902" t="str">
        <f t="shared" si="156"/>
        <v>Master. Johnston William</v>
      </c>
      <c r="J902" t="s">
        <v>20</v>
      </c>
      <c r="K902" t="str">
        <f t="shared" si="157"/>
        <v>Male</v>
      </c>
      <c r="L902">
        <v>28</v>
      </c>
      <c r="O902">
        <f t="shared" si="158"/>
        <v>28</v>
      </c>
      <c r="P902">
        <v>1</v>
      </c>
      <c r="R902" s="4">
        <v>2</v>
      </c>
      <c r="T902" s="5">
        <v>23.45</v>
      </c>
      <c r="W902" s="4">
        <v>28</v>
      </c>
      <c r="X902" s="4" t="str">
        <f t="shared" si="159"/>
        <v>Young Adult</v>
      </c>
      <c r="Y902" s="4" t="s">
        <v>3561</v>
      </c>
      <c r="AB902" s="4" t="str">
        <f t="shared" si="160"/>
        <v/>
      </c>
      <c r="AC902" s="4" t="str">
        <f t="shared" si="161"/>
        <v>Unknown</v>
      </c>
      <c r="AD902" s="4" t="s">
        <v>457</v>
      </c>
      <c r="AG902" s="4" t="str">
        <f t="shared" si="162"/>
        <v>Not Applicable</v>
      </c>
      <c r="AK902" s="4" t="s">
        <v>3573</v>
      </c>
      <c r="AL902" s="4" t="str">
        <f t="shared" si="163"/>
        <v>Found</v>
      </c>
      <c r="AN902" s="6">
        <v>23.45</v>
      </c>
      <c r="AO902" s="4" t="str">
        <f t="shared" si="164"/>
        <v>Mid</v>
      </c>
    </row>
    <row r="903" spans="1:41">
      <c r="A903">
        <v>3</v>
      </c>
      <c r="B903" t="str">
        <f t="shared" si="154"/>
        <v>Third Class</v>
      </c>
      <c r="C903">
        <v>0</v>
      </c>
      <c r="E903" t="str">
        <f t="shared" si="155"/>
        <v>Died</v>
      </c>
      <c r="F903" t="s">
        <v>1841</v>
      </c>
      <c r="G903" t="s">
        <v>842</v>
      </c>
      <c r="H903" t="s">
        <v>1291</v>
      </c>
      <c r="I903" t="str">
        <f t="shared" si="156"/>
        <v>Miss. Johnston Catherine</v>
      </c>
      <c r="J903" t="s">
        <v>47</v>
      </c>
      <c r="K903" t="str">
        <f t="shared" si="157"/>
        <v>Female</v>
      </c>
      <c r="L903">
        <v>28</v>
      </c>
      <c r="O903">
        <f t="shared" si="158"/>
        <v>28</v>
      </c>
      <c r="P903">
        <v>1</v>
      </c>
      <c r="R903" s="4">
        <v>2</v>
      </c>
      <c r="T903" s="5">
        <v>23.45</v>
      </c>
      <c r="W903" s="4">
        <v>28</v>
      </c>
      <c r="X903" s="4" t="str">
        <f t="shared" si="159"/>
        <v>Young Adult</v>
      </c>
      <c r="Y903" s="4" t="s">
        <v>3561</v>
      </c>
      <c r="AB903" s="4" t="str">
        <f t="shared" si="160"/>
        <v/>
      </c>
      <c r="AC903" s="4" t="str">
        <f t="shared" si="161"/>
        <v>Unknown</v>
      </c>
      <c r="AD903" s="4" t="s">
        <v>457</v>
      </c>
      <c r="AG903" s="4" t="str">
        <f t="shared" si="162"/>
        <v>Not Applicable</v>
      </c>
      <c r="AK903" s="4" t="s">
        <v>3573</v>
      </c>
      <c r="AL903" s="4" t="str">
        <f t="shared" si="163"/>
        <v>Found</v>
      </c>
      <c r="AN903" s="6">
        <v>23.45</v>
      </c>
      <c r="AO903" s="4" t="str">
        <f t="shared" si="164"/>
        <v>Mid</v>
      </c>
    </row>
    <row r="904" spans="1:41">
      <c r="A904">
        <v>3</v>
      </c>
      <c r="B904" t="str">
        <f t="shared" si="154"/>
        <v>Third Class</v>
      </c>
      <c r="C904">
        <v>0</v>
      </c>
      <c r="E904" t="str">
        <f t="shared" si="155"/>
        <v>Died</v>
      </c>
      <c r="F904" t="s">
        <v>1841</v>
      </c>
      <c r="G904" t="s">
        <v>848</v>
      </c>
      <c r="H904" t="s">
        <v>1265</v>
      </c>
      <c r="I904" t="str">
        <f t="shared" si="156"/>
        <v>Mr. Johnston Andrew</v>
      </c>
      <c r="J904" t="s">
        <v>20</v>
      </c>
      <c r="K904" t="str">
        <f t="shared" si="157"/>
        <v>Male</v>
      </c>
      <c r="L904">
        <v>28</v>
      </c>
      <c r="O904">
        <f t="shared" si="158"/>
        <v>28</v>
      </c>
      <c r="P904">
        <v>1</v>
      </c>
      <c r="R904" s="4">
        <v>2</v>
      </c>
      <c r="T904" s="5">
        <v>23.45</v>
      </c>
      <c r="W904" s="4">
        <v>28</v>
      </c>
      <c r="X904" s="4" t="str">
        <f t="shared" si="159"/>
        <v>Young Adult</v>
      </c>
      <c r="Y904" s="4" t="s">
        <v>3561</v>
      </c>
      <c r="AB904" s="4" t="str">
        <f t="shared" si="160"/>
        <v/>
      </c>
      <c r="AC904" s="4" t="str">
        <f t="shared" si="161"/>
        <v>Unknown</v>
      </c>
      <c r="AD904" s="4" t="s">
        <v>457</v>
      </c>
      <c r="AG904" s="4" t="str">
        <f t="shared" si="162"/>
        <v>Not Applicable</v>
      </c>
      <c r="AK904" s="4" t="s">
        <v>3573</v>
      </c>
      <c r="AL904" s="4" t="str">
        <f t="shared" si="163"/>
        <v>Found</v>
      </c>
      <c r="AN904" s="6">
        <v>23.45</v>
      </c>
      <c r="AO904" s="4" t="str">
        <f t="shared" si="164"/>
        <v>Mid</v>
      </c>
    </row>
    <row r="905" spans="1:41">
      <c r="A905">
        <v>3</v>
      </c>
      <c r="B905" t="str">
        <f t="shared" si="154"/>
        <v>Third Class</v>
      </c>
      <c r="C905">
        <v>0</v>
      </c>
      <c r="E905" t="str">
        <f t="shared" si="155"/>
        <v>Died</v>
      </c>
      <c r="F905" t="s">
        <v>1841</v>
      </c>
      <c r="G905" t="s">
        <v>849</v>
      </c>
      <c r="H905" t="s">
        <v>1265</v>
      </c>
      <c r="I905" t="str">
        <f t="shared" si="156"/>
        <v>Mrs. Johnston Andrew</v>
      </c>
      <c r="J905" t="s">
        <v>47</v>
      </c>
      <c r="K905" t="str">
        <f t="shared" si="157"/>
        <v>Female</v>
      </c>
      <c r="L905">
        <v>28</v>
      </c>
      <c r="O905">
        <f t="shared" si="158"/>
        <v>28</v>
      </c>
      <c r="P905">
        <v>1</v>
      </c>
      <c r="R905" s="4">
        <v>2</v>
      </c>
      <c r="T905" s="5">
        <v>23.45</v>
      </c>
      <c r="W905" s="4">
        <v>28</v>
      </c>
      <c r="X905" s="4" t="str">
        <f t="shared" si="159"/>
        <v>Young Adult</v>
      </c>
      <c r="Y905" s="4" t="s">
        <v>3561</v>
      </c>
      <c r="AB905" s="4" t="str">
        <f t="shared" si="160"/>
        <v/>
      </c>
      <c r="AC905" s="4" t="str">
        <f t="shared" si="161"/>
        <v>Unknown</v>
      </c>
      <c r="AD905" s="4" t="s">
        <v>457</v>
      </c>
      <c r="AG905" s="4" t="str">
        <f t="shared" si="162"/>
        <v>Not Applicable</v>
      </c>
      <c r="AK905" s="4" t="s">
        <v>3573</v>
      </c>
      <c r="AL905" s="4" t="str">
        <f t="shared" si="163"/>
        <v>Found</v>
      </c>
      <c r="AN905" s="6">
        <v>23.45</v>
      </c>
      <c r="AO905" s="4" t="str">
        <f t="shared" si="164"/>
        <v>Mid</v>
      </c>
    </row>
    <row r="906" spans="1:41">
      <c r="A906">
        <v>3</v>
      </c>
      <c r="B906" t="str">
        <f t="shared" si="154"/>
        <v>Third Class</v>
      </c>
      <c r="C906">
        <v>0</v>
      </c>
      <c r="E906" t="str">
        <f t="shared" si="155"/>
        <v>Died</v>
      </c>
      <c r="F906" t="s">
        <v>1842</v>
      </c>
      <c r="G906" t="s">
        <v>848</v>
      </c>
      <c r="H906" t="s">
        <v>1843</v>
      </c>
      <c r="I906" t="str">
        <f t="shared" si="156"/>
        <v>Mr. Jonkoff Lalio</v>
      </c>
      <c r="J906" t="s">
        <v>20</v>
      </c>
      <c r="K906" t="str">
        <f t="shared" si="157"/>
        <v>Male</v>
      </c>
      <c r="L906">
        <v>23</v>
      </c>
      <c r="O906">
        <f t="shared" si="158"/>
        <v>23</v>
      </c>
      <c r="P906">
        <v>0</v>
      </c>
      <c r="R906" s="4">
        <v>0</v>
      </c>
      <c r="T906" s="5">
        <v>7.8958000000000004</v>
      </c>
      <c r="W906" s="4">
        <v>23</v>
      </c>
      <c r="X906" s="4" t="str">
        <f t="shared" si="159"/>
        <v>Young Adult</v>
      </c>
      <c r="Y906" s="4" t="s">
        <v>3561</v>
      </c>
      <c r="AB906" s="4" t="str">
        <f t="shared" si="160"/>
        <v/>
      </c>
      <c r="AC906" s="4" t="str">
        <f t="shared" si="161"/>
        <v>Unknown</v>
      </c>
      <c r="AD906" s="4" t="s">
        <v>457</v>
      </c>
      <c r="AG906" s="4" t="str">
        <f t="shared" si="162"/>
        <v>Not Applicable</v>
      </c>
      <c r="AK906" s="4" t="s">
        <v>3573</v>
      </c>
      <c r="AL906" s="4" t="str">
        <f t="shared" si="163"/>
        <v>Found</v>
      </c>
      <c r="AN906" s="6">
        <v>7.8958000000000004</v>
      </c>
      <c r="AO906" s="4" t="str">
        <f t="shared" si="164"/>
        <v>Low</v>
      </c>
    </row>
    <row r="907" spans="1:41">
      <c r="A907">
        <v>3</v>
      </c>
      <c r="B907" t="str">
        <f t="shared" si="154"/>
        <v>Third Class</v>
      </c>
      <c r="C907">
        <v>1</v>
      </c>
      <c r="E907" t="str">
        <f t="shared" si="155"/>
        <v>Survived</v>
      </c>
      <c r="F907" t="s">
        <v>1844</v>
      </c>
      <c r="G907" t="s">
        <v>848</v>
      </c>
      <c r="H907" t="s">
        <v>1104</v>
      </c>
      <c r="I907" t="str">
        <f t="shared" si="156"/>
        <v>Mr. Jonsson Carl</v>
      </c>
      <c r="J907" t="s">
        <v>20</v>
      </c>
      <c r="K907" t="str">
        <f t="shared" si="157"/>
        <v>Male</v>
      </c>
      <c r="L907">
        <v>32</v>
      </c>
      <c r="O907">
        <f t="shared" si="158"/>
        <v>32</v>
      </c>
      <c r="P907">
        <v>0</v>
      </c>
      <c r="R907" s="4">
        <v>0</v>
      </c>
      <c r="T907" s="5">
        <v>7.8541999999999996</v>
      </c>
      <c r="W907" s="4">
        <v>32</v>
      </c>
      <c r="X907" s="4" t="str">
        <f t="shared" si="159"/>
        <v>Adult</v>
      </c>
      <c r="Y907" s="4" t="s">
        <v>3561</v>
      </c>
      <c r="AB907" s="4" t="str">
        <f t="shared" si="160"/>
        <v/>
      </c>
      <c r="AC907" s="4" t="str">
        <f t="shared" si="161"/>
        <v>Unknown</v>
      </c>
      <c r="AD907" s="4" t="s">
        <v>457</v>
      </c>
      <c r="AF907" s="4">
        <v>15</v>
      </c>
      <c r="AG907" s="4">
        <f t="shared" si="162"/>
        <v>15</v>
      </c>
      <c r="AK907" s="4" t="s">
        <v>3573</v>
      </c>
      <c r="AL907" s="4" t="str">
        <f t="shared" si="163"/>
        <v>Found</v>
      </c>
      <c r="AN907" s="6">
        <v>7.8541999999999996</v>
      </c>
      <c r="AO907" s="4" t="str">
        <f t="shared" si="164"/>
        <v>Low</v>
      </c>
    </row>
    <row r="908" spans="1:41">
      <c r="A908">
        <v>3</v>
      </c>
      <c r="B908" t="str">
        <f t="shared" si="154"/>
        <v>Third Class</v>
      </c>
      <c r="C908">
        <v>0</v>
      </c>
      <c r="E908" t="str">
        <f t="shared" si="155"/>
        <v>Died</v>
      </c>
      <c r="F908" t="s">
        <v>1844</v>
      </c>
      <c r="G908" t="s">
        <v>848</v>
      </c>
      <c r="H908" t="s">
        <v>1546</v>
      </c>
      <c r="I908" t="str">
        <f t="shared" si="156"/>
        <v>Mr. Jonsson Nils</v>
      </c>
      <c r="J908" t="s">
        <v>20</v>
      </c>
      <c r="K908" t="str">
        <f t="shared" si="157"/>
        <v>Male</v>
      </c>
      <c r="L908">
        <v>27</v>
      </c>
      <c r="O908">
        <f t="shared" si="158"/>
        <v>27</v>
      </c>
      <c r="P908">
        <v>0</v>
      </c>
      <c r="R908" s="4">
        <v>0</v>
      </c>
      <c r="T908" s="5">
        <v>7.8541999999999996</v>
      </c>
      <c r="W908" s="4">
        <v>27</v>
      </c>
      <c r="X908" s="4" t="str">
        <f t="shared" si="159"/>
        <v>Young Adult</v>
      </c>
      <c r="Y908" s="4" t="s">
        <v>3561</v>
      </c>
      <c r="AB908" s="4" t="str">
        <f t="shared" si="160"/>
        <v/>
      </c>
      <c r="AC908" s="4" t="str">
        <f t="shared" si="161"/>
        <v>Unknown</v>
      </c>
      <c r="AD908" s="4" t="s">
        <v>457</v>
      </c>
      <c r="AG908" s="4" t="str">
        <f t="shared" si="162"/>
        <v>Not Applicable</v>
      </c>
      <c r="AK908" s="4" t="s">
        <v>3573</v>
      </c>
      <c r="AL908" s="4" t="str">
        <f t="shared" si="163"/>
        <v>Found</v>
      </c>
      <c r="AN908" s="6">
        <v>7.8541999999999996</v>
      </c>
      <c r="AO908" s="4" t="str">
        <f t="shared" si="164"/>
        <v>Low</v>
      </c>
    </row>
    <row r="909" spans="1:41">
      <c r="A909">
        <v>3</v>
      </c>
      <c r="B909" t="str">
        <f t="shared" si="154"/>
        <v>Third Class</v>
      </c>
      <c r="C909">
        <v>0</v>
      </c>
      <c r="E909" t="str">
        <f t="shared" si="155"/>
        <v>Died</v>
      </c>
      <c r="F909" t="s">
        <v>1845</v>
      </c>
      <c r="G909" t="s">
        <v>842</v>
      </c>
      <c r="H909" t="s">
        <v>1846</v>
      </c>
      <c r="I909" t="str">
        <f t="shared" si="156"/>
        <v>Miss. Jussila Katriina</v>
      </c>
      <c r="J909" t="s">
        <v>47</v>
      </c>
      <c r="K909" t="str">
        <f t="shared" si="157"/>
        <v>Female</v>
      </c>
      <c r="L909">
        <v>20</v>
      </c>
      <c r="O909">
        <f t="shared" si="158"/>
        <v>20</v>
      </c>
      <c r="P909">
        <v>1</v>
      </c>
      <c r="R909" s="4">
        <v>0</v>
      </c>
      <c r="T909" s="5">
        <v>9.8249999999999993</v>
      </c>
      <c r="W909" s="4">
        <v>20</v>
      </c>
      <c r="X909" s="4" t="str">
        <f t="shared" si="159"/>
        <v>Young Adult</v>
      </c>
      <c r="Y909" s="4" t="s">
        <v>3561</v>
      </c>
      <c r="AB909" s="4" t="str">
        <f t="shared" si="160"/>
        <v/>
      </c>
      <c r="AC909" s="4" t="str">
        <f t="shared" si="161"/>
        <v>Unknown</v>
      </c>
      <c r="AD909" s="4" t="s">
        <v>457</v>
      </c>
      <c r="AG909" s="4" t="str">
        <f t="shared" si="162"/>
        <v>Not Applicable</v>
      </c>
      <c r="AK909" s="4" t="s">
        <v>3573</v>
      </c>
      <c r="AL909" s="4" t="str">
        <f t="shared" si="163"/>
        <v>Found</v>
      </c>
      <c r="AN909" s="6">
        <v>9.8249999999999993</v>
      </c>
      <c r="AO909" s="4" t="str">
        <f t="shared" si="164"/>
        <v>Low</v>
      </c>
    </row>
    <row r="910" spans="1:41">
      <c r="A910">
        <v>3</v>
      </c>
      <c r="B910" t="str">
        <f t="shared" si="154"/>
        <v>Third Class</v>
      </c>
      <c r="C910">
        <v>0</v>
      </c>
      <c r="E910" t="str">
        <f t="shared" si="155"/>
        <v>Died</v>
      </c>
      <c r="F910" t="s">
        <v>1845</v>
      </c>
      <c r="G910" t="s">
        <v>842</v>
      </c>
      <c r="H910" t="s">
        <v>1847</v>
      </c>
      <c r="I910" t="str">
        <f t="shared" si="156"/>
        <v>Miss. Jussila Mari</v>
      </c>
      <c r="J910" t="s">
        <v>47</v>
      </c>
      <c r="K910" t="str">
        <f t="shared" si="157"/>
        <v>Female</v>
      </c>
      <c r="L910">
        <v>21</v>
      </c>
      <c r="O910">
        <f t="shared" si="158"/>
        <v>21</v>
      </c>
      <c r="P910">
        <v>1</v>
      </c>
      <c r="R910" s="4">
        <v>0</v>
      </c>
      <c r="T910" s="5">
        <v>9.8249999999999993</v>
      </c>
      <c r="W910" s="4">
        <v>21</v>
      </c>
      <c r="X910" s="4" t="str">
        <f t="shared" si="159"/>
        <v>Young Adult</v>
      </c>
      <c r="Y910" s="4" t="s">
        <v>3561</v>
      </c>
      <c r="AB910" s="4" t="str">
        <f t="shared" si="160"/>
        <v/>
      </c>
      <c r="AC910" s="4" t="str">
        <f t="shared" si="161"/>
        <v>Unknown</v>
      </c>
      <c r="AD910" s="4" t="s">
        <v>457</v>
      </c>
      <c r="AG910" s="4" t="str">
        <f t="shared" si="162"/>
        <v>Not Applicable</v>
      </c>
      <c r="AK910" s="4" t="s">
        <v>3573</v>
      </c>
      <c r="AL910" s="4" t="str">
        <f t="shared" si="163"/>
        <v>Found</v>
      </c>
      <c r="AN910" s="6">
        <v>9.8249999999999993</v>
      </c>
      <c r="AO910" s="4" t="str">
        <f t="shared" si="164"/>
        <v>Low</v>
      </c>
    </row>
    <row r="911" spans="1:41">
      <c r="A911">
        <v>3</v>
      </c>
      <c r="B911" t="str">
        <f t="shared" si="154"/>
        <v>Third Class</v>
      </c>
      <c r="C911">
        <v>1</v>
      </c>
      <c r="E911" t="str">
        <f t="shared" si="155"/>
        <v>Survived</v>
      </c>
      <c r="F911" t="s">
        <v>1845</v>
      </c>
      <c r="G911" t="s">
        <v>848</v>
      </c>
      <c r="H911" t="s">
        <v>1848</v>
      </c>
      <c r="I911" t="str">
        <f t="shared" si="156"/>
        <v>Mr. Jussila Eiriik</v>
      </c>
      <c r="J911" t="s">
        <v>20</v>
      </c>
      <c r="K911" t="str">
        <f t="shared" si="157"/>
        <v>Male</v>
      </c>
      <c r="L911">
        <v>32</v>
      </c>
      <c r="O911">
        <f t="shared" si="158"/>
        <v>32</v>
      </c>
      <c r="P911">
        <v>0</v>
      </c>
      <c r="R911" s="4">
        <v>0</v>
      </c>
      <c r="T911" s="5">
        <v>7.9249999999999998</v>
      </c>
      <c r="W911" s="4">
        <v>32</v>
      </c>
      <c r="X911" s="4" t="str">
        <f t="shared" si="159"/>
        <v>Adult</v>
      </c>
      <c r="Y911" s="4" t="s">
        <v>3561</v>
      </c>
      <c r="AB911" s="4" t="str">
        <f t="shared" si="160"/>
        <v/>
      </c>
      <c r="AC911" s="4" t="str">
        <f t="shared" si="161"/>
        <v>Unknown</v>
      </c>
      <c r="AD911" s="4" t="s">
        <v>457</v>
      </c>
      <c r="AF911" s="4">
        <v>15</v>
      </c>
      <c r="AG911" s="4">
        <f t="shared" si="162"/>
        <v>15</v>
      </c>
      <c r="AK911" s="4" t="s">
        <v>3573</v>
      </c>
      <c r="AL911" s="4" t="str">
        <f t="shared" si="163"/>
        <v>Found</v>
      </c>
      <c r="AN911" s="6">
        <v>7.9249999999999998</v>
      </c>
      <c r="AO911" s="4" t="str">
        <f t="shared" si="164"/>
        <v>Low</v>
      </c>
    </row>
    <row r="912" spans="1:41">
      <c r="A912">
        <v>3</v>
      </c>
      <c r="B912" t="str">
        <f t="shared" si="154"/>
        <v>Third Class</v>
      </c>
      <c r="C912">
        <v>0</v>
      </c>
      <c r="E912" t="str">
        <f t="shared" si="155"/>
        <v>Died</v>
      </c>
      <c r="F912" t="s">
        <v>1849</v>
      </c>
      <c r="G912" t="s">
        <v>848</v>
      </c>
      <c r="H912" t="s">
        <v>1850</v>
      </c>
      <c r="I912" t="str">
        <f t="shared" si="156"/>
        <v>Mr. Kallio Nikolai</v>
      </c>
      <c r="J912" t="s">
        <v>20</v>
      </c>
      <c r="K912" t="str">
        <f t="shared" si="157"/>
        <v>Male</v>
      </c>
      <c r="L912">
        <v>17</v>
      </c>
      <c r="O912">
        <f t="shared" si="158"/>
        <v>17</v>
      </c>
      <c r="P912">
        <v>0</v>
      </c>
      <c r="R912" s="4">
        <v>0</v>
      </c>
      <c r="T912" s="5">
        <v>7.125</v>
      </c>
      <c r="W912" s="4">
        <v>17</v>
      </c>
      <c r="X912" s="4" t="str">
        <f t="shared" si="159"/>
        <v>Teenager</v>
      </c>
      <c r="Y912" s="4" t="s">
        <v>3561</v>
      </c>
      <c r="AB912" s="4" t="str">
        <f t="shared" si="160"/>
        <v/>
      </c>
      <c r="AC912" s="4" t="str">
        <f t="shared" si="161"/>
        <v>Unknown</v>
      </c>
      <c r="AD912" s="4" t="s">
        <v>457</v>
      </c>
      <c r="AG912" s="4" t="str">
        <f t="shared" si="162"/>
        <v>Not Applicable</v>
      </c>
      <c r="AK912" s="4" t="s">
        <v>3573</v>
      </c>
      <c r="AL912" s="4" t="str">
        <f t="shared" si="163"/>
        <v>Found</v>
      </c>
      <c r="AN912" s="6">
        <v>7.125</v>
      </c>
      <c r="AO912" s="4" t="str">
        <f t="shared" si="164"/>
        <v>Low</v>
      </c>
    </row>
    <row r="913" spans="1:41">
      <c r="A913">
        <v>3</v>
      </c>
      <c r="B913" t="str">
        <f t="shared" si="154"/>
        <v>Third Class</v>
      </c>
      <c r="C913">
        <v>0</v>
      </c>
      <c r="E913" t="str">
        <f t="shared" si="155"/>
        <v>Died</v>
      </c>
      <c r="F913" t="s">
        <v>1851</v>
      </c>
      <c r="G913" t="s">
        <v>848</v>
      </c>
      <c r="H913" t="s">
        <v>1543</v>
      </c>
      <c r="I913" t="str">
        <f t="shared" si="156"/>
        <v>Mr. Kalvik Johannes</v>
      </c>
      <c r="J913" t="s">
        <v>20</v>
      </c>
      <c r="K913" t="str">
        <f t="shared" si="157"/>
        <v>Male</v>
      </c>
      <c r="L913">
        <v>21</v>
      </c>
      <c r="O913">
        <f t="shared" si="158"/>
        <v>21</v>
      </c>
      <c r="P913">
        <v>0</v>
      </c>
      <c r="R913" s="4">
        <v>0</v>
      </c>
      <c r="T913" s="5">
        <v>8.4332999999999991</v>
      </c>
      <c r="W913" s="4">
        <v>21</v>
      </c>
      <c r="X913" s="4" t="str">
        <f t="shared" si="159"/>
        <v>Young Adult</v>
      </c>
      <c r="Y913" s="4" t="s">
        <v>3561</v>
      </c>
      <c r="AB913" s="4" t="str">
        <f t="shared" si="160"/>
        <v/>
      </c>
      <c r="AC913" s="4" t="str">
        <f t="shared" si="161"/>
        <v>Unknown</v>
      </c>
      <c r="AD913" s="4" t="s">
        <v>457</v>
      </c>
      <c r="AG913" s="4" t="str">
        <f t="shared" si="162"/>
        <v>Not Applicable</v>
      </c>
      <c r="AK913" s="4" t="s">
        <v>3573</v>
      </c>
      <c r="AL913" s="4" t="str">
        <f t="shared" si="163"/>
        <v>Found</v>
      </c>
      <c r="AN913" s="6">
        <v>8.4332999999999991</v>
      </c>
      <c r="AO913" s="4" t="str">
        <f t="shared" si="164"/>
        <v>Low</v>
      </c>
    </row>
    <row r="914" spans="1:41">
      <c r="A914">
        <v>3</v>
      </c>
      <c r="B914" t="str">
        <f t="shared" si="154"/>
        <v>Third Class</v>
      </c>
      <c r="C914">
        <v>0</v>
      </c>
      <c r="E914" t="str">
        <f t="shared" si="155"/>
        <v>Died</v>
      </c>
      <c r="F914" t="s">
        <v>1852</v>
      </c>
      <c r="G914" t="s">
        <v>848</v>
      </c>
      <c r="H914" t="s">
        <v>1853</v>
      </c>
      <c r="I914" t="str">
        <f t="shared" si="156"/>
        <v>Mr. Karaic Milan</v>
      </c>
      <c r="J914" t="s">
        <v>20</v>
      </c>
      <c r="K914" t="str">
        <f t="shared" si="157"/>
        <v>Male</v>
      </c>
      <c r="L914">
        <v>30</v>
      </c>
      <c r="O914">
        <f t="shared" si="158"/>
        <v>30</v>
      </c>
      <c r="P914">
        <v>0</v>
      </c>
      <c r="R914" s="4">
        <v>0</v>
      </c>
      <c r="T914" s="5">
        <v>7.8958000000000004</v>
      </c>
      <c r="W914" s="4">
        <v>30</v>
      </c>
      <c r="X914" s="4" t="str">
        <f t="shared" si="159"/>
        <v>Adult</v>
      </c>
      <c r="Y914" s="4" t="s">
        <v>3561</v>
      </c>
      <c r="AB914" s="4" t="str">
        <f t="shared" si="160"/>
        <v/>
      </c>
      <c r="AC914" s="4" t="str">
        <f t="shared" si="161"/>
        <v>Unknown</v>
      </c>
      <c r="AD914" s="4" t="s">
        <v>457</v>
      </c>
      <c r="AG914" s="4" t="str">
        <f t="shared" si="162"/>
        <v>Not Applicable</v>
      </c>
      <c r="AK914" s="4" t="s">
        <v>3573</v>
      </c>
      <c r="AL914" s="4" t="str">
        <f t="shared" si="163"/>
        <v>Found</v>
      </c>
      <c r="AN914" s="6">
        <v>7.8958000000000004</v>
      </c>
      <c r="AO914" s="4" t="str">
        <f t="shared" si="164"/>
        <v>Low</v>
      </c>
    </row>
    <row r="915" spans="1:41">
      <c r="A915">
        <v>3</v>
      </c>
      <c r="B915" t="str">
        <f t="shared" si="154"/>
        <v>Third Class</v>
      </c>
      <c r="C915">
        <v>1</v>
      </c>
      <c r="E915" t="str">
        <f t="shared" si="155"/>
        <v>Survived</v>
      </c>
      <c r="F915" t="s">
        <v>1854</v>
      </c>
      <c r="G915" t="s">
        <v>848</v>
      </c>
      <c r="H915" t="s">
        <v>1855</v>
      </c>
      <c r="I915" t="str">
        <f t="shared" si="156"/>
        <v>Mr. Karlsson Einar</v>
      </c>
      <c r="J915" t="s">
        <v>20</v>
      </c>
      <c r="K915" t="str">
        <f t="shared" si="157"/>
        <v>Male</v>
      </c>
      <c r="L915">
        <v>21</v>
      </c>
      <c r="O915">
        <f t="shared" si="158"/>
        <v>21</v>
      </c>
      <c r="P915">
        <v>0</v>
      </c>
      <c r="R915" s="4">
        <v>0</v>
      </c>
      <c r="T915" s="5">
        <v>7.7957999999999998</v>
      </c>
      <c r="W915" s="4">
        <v>21</v>
      </c>
      <c r="X915" s="4" t="str">
        <f t="shared" si="159"/>
        <v>Young Adult</v>
      </c>
      <c r="Y915" s="4" t="s">
        <v>3561</v>
      </c>
      <c r="AB915" s="4" t="str">
        <f t="shared" si="160"/>
        <v/>
      </c>
      <c r="AC915" s="4" t="str">
        <f t="shared" si="161"/>
        <v>Unknown</v>
      </c>
      <c r="AD915" s="4" t="s">
        <v>457</v>
      </c>
      <c r="AF915" s="4">
        <v>13</v>
      </c>
      <c r="AG915" s="4">
        <f t="shared" si="162"/>
        <v>13</v>
      </c>
      <c r="AK915" s="4" t="s">
        <v>3573</v>
      </c>
      <c r="AL915" s="4" t="str">
        <f t="shared" si="163"/>
        <v>Found</v>
      </c>
      <c r="AN915" s="6">
        <v>7.7957999999999998</v>
      </c>
      <c r="AO915" s="4" t="str">
        <f t="shared" si="164"/>
        <v>Low</v>
      </c>
    </row>
    <row r="916" spans="1:41">
      <c r="A916">
        <v>3</v>
      </c>
      <c r="B916" t="str">
        <f t="shared" si="154"/>
        <v>Third Class</v>
      </c>
      <c r="C916">
        <v>0</v>
      </c>
      <c r="E916" t="str">
        <f t="shared" si="155"/>
        <v>Died</v>
      </c>
      <c r="F916" t="s">
        <v>1854</v>
      </c>
      <c r="G916" t="s">
        <v>848</v>
      </c>
      <c r="H916" t="s">
        <v>1856</v>
      </c>
      <c r="I916" t="str">
        <f t="shared" si="156"/>
        <v>Mr. Karlsson Julius</v>
      </c>
      <c r="J916" t="s">
        <v>20</v>
      </c>
      <c r="K916" t="str">
        <f t="shared" si="157"/>
        <v>Male</v>
      </c>
      <c r="L916">
        <v>33</v>
      </c>
      <c r="O916">
        <f t="shared" si="158"/>
        <v>33</v>
      </c>
      <c r="P916">
        <v>0</v>
      </c>
      <c r="R916" s="4">
        <v>0</v>
      </c>
      <c r="T916" s="5">
        <v>7.8541999999999996</v>
      </c>
      <c r="W916" s="4">
        <v>33</v>
      </c>
      <c r="X916" s="4" t="str">
        <f t="shared" si="159"/>
        <v>Adult</v>
      </c>
      <c r="Y916" s="4" t="s">
        <v>3561</v>
      </c>
      <c r="AB916" s="4" t="str">
        <f t="shared" si="160"/>
        <v/>
      </c>
      <c r="AC916" s="4" t="str">
        <f t="shared" si="161"/>
        <v>Unknown</v>
      </c>
      <c r="AD916" s="4" t="s">
        <v>457</v>
      </c>
      <c r="AG916" s="4" t="str">
        <f t="shared" si="162"/>
        <v>Not Applicable</v>
      </c>
      <c r="AK916" s="4" t="s">
        <v>3573</v>
      </c>
      <c r="AL916" s="4" t="str">
        <f t="shared" si="163"/>
        <v>Found</v>
      </c>
      <c r="AN916" s="6">
        <v>7.8541999999999996</v>
      </c>
      <c r="AO916" s="4" t="str">
        <f t="shared" si="164"/>
        <v>Low</v>
      </c>
    </row>
    <row r="917" spans="1:41">
      <c r="A917">
        <v>3</v>
      </c>
      <c r="B917" t="str">
        <f t="shared" si="154"/>
        <v>Third Class</v>
      </c>
      <c r="C917">
        <v>0</v>
      </c>
      <c r="E917" t="str">
        <f t="shared" si="155"/>
        <v>Died</v>
      </c>
      <c r="F917" t="s">
        <v>1854</v>
      </c>
      <c r="G917" t="s">
        <v>848</v>
      </c>
      <c r="H917" t="s">
        <v>1546</v>
      </c>
      <c r="I917" t="str">
        <f t="shared" si="156"/>
        <v>Mr. Karlsson Nils</v>
      </c>
      <c r="J917" t="s">
        <v>20</v>
      </c>
      <c r="K917" t="str">
        <f t="shared" si="157"/>
        <v>Male</v>
      </c>
      <c r="L917">
        <v>22</v>
      </c>
      <c r="O917">
        <f t="shared" si="158"/>
        <v>22</v>
      </c>
      <c r="P917">
        <v>0</v>
      </c>
      <c r="R917" s="4">
        <v>0</v>
      </c>
      <c r="T917" s="5">
        <v>7.5208000000000004</v>
      </c>
      <c r="W917" s="4">
        <v>22</v>
      </c>
      <c r="X917" s="4" t="str">
        <f t="shared" si="159"/>
        <v>Young Adult</v>
      </c>
      <c r="Y917" s="4" t="s">
        <v>3561</v>
      </c>
      <c r="AB917" s="4" t="str">
        <f t="shared" si="160"/>
        <v/>
      </c>
      <c r="AC917" s="4" t="str">
        <f t="shared" si="161"/>
        <v>Unknown</v>
      </c>
      <c r="AD917" s="4" t="s">
        <v>457</v>
      </c>
      <c r="AG917" s="4" t="str">
        <f t="shared" si="162"/>
        <v>Not Applicable</v>
      </c>
      <c r="AK917" s="4" t="s">
        <v>3573</v>
      </c>
      <c r="AL917" s="4" t="str">
        <f t="shared" si="163"/>
        <v>Found</v>
      </c>
      <c r="AN917" s="6">
        <v>7.5208000000000004</v>
      </c>
      <c r="AO917" s="4" t="str">
        <f t="shared" si="164"/>
        <v>Low</v>
      </c>
    </row>
    <row r="918" spans="1:41">
      <c r="A918">
        <v>3</v>
      </c>
      <c r="B918" t="str">
        <f t="shared" si="154"/>
        <v>Third Class</v>
      </c>
      <c r="C918">
        <v>1</v>
      </c>
      <c r="E918" t="str">
        <f t="shared" si="155"/>
        <v>Survived</v>
      </c>
      <c r="F918" t="s">
        <v>1857</v>
      </c>
      <c r="G918" t="s">
        <v>842</v>
      </c>
      <c r="H918" t="s">
        <v>1858</v>
      </c>
      <c r="I918" t="str">
        <f t="shared" si="156"/>
        <v>Miss. Karun Manca</v>
      </c>
      <c r="J918" t="s">
        <v>47</v>
      </c>
      <c r="K918" t="str">
        <f t="shared" si="157"/>
        <v>Female</v>
      </c>
      <c r="L918">
        <v>4</v>
      </c>
      <c r="O918">
        <f t="shared" si="158"/>
        <v>4</v>
      </c>
      <c r="P918">
        <v>0</v>
      </c>
      <c r="R918" s="4">
        <v>1</v>
      </c>
      <c r="T918" s="5">
        <v>13.416700000000001</v>
      </c>
      <c r="W918" s="4">
        <v>4</v>
      </c>
      <c r="X918" s="4" t="str">
        <f t="shared" si="159"/>
        <v>Child</v>
      </c>
      <c r="Y918" s="4" t="s">
        <v>3561</v>
      </c>
      <c r="AB918" s="4" t="str">
        <f t="shared" si="160"/>
        <v/>
      </c>
      <c r="AC918" s="4" t="str">
        <f t="shared" si="161"/>
        <v>Unknown</v>
      </c>
      <c r="AD918" s="4" t="s">
        <v>3566</v>
      </c>
      <c r="AF918" s="4">
        <v>15</v>
      </c>
      <c r="AG918" s="4">
        <f t="shared" si="162"/>
        <v>15</v>
      </c>
      <c r="AK918" s="4" t="s">
        <v>3573</v>
      </c>
      <c r="AL918" s="4" t="str">
        <f t="shared" si="163"/>
        <v>Found</v>
      </c>
      <c r="AN918" s="6">
        <v>13.416700000000001</v>
      </c>
      <c r="AO918" s="4" t="str">
        <f t="shared" si="164"/>
        <v>Mid</v>
      </c>
    </row>
    <row r="919" spans="1:41">
      <c r="A919">
        <v>3</v>
      </c>
      <c r="B919" t="str">
        <f t="shared" si="154"/>
        <v>Third Class</v>
      </c>
      <c r="C919">
        <v>1</v>
      </c>
      <c r="E919" t="str">
        <f t="shared" si="155"/>
        <v>Survived</v>
      </c>
      <c r="F919" t="s">
        <v>1857</v>
      </c>
      <c r="G919" t="s">
        <v>848</v>
      </c>
      <c r="H919" t="s">
        <v>1474</v>
      </c>
      <c r="I919" t="str">
        <f t="shared" si="156"/>
        <v>Mr. Karun Franz</v>
      </c>
      <c r="J919" t="s">
        <v>20</v>
      </c>
      <c r="K919" t="str">
        <f t="shared" si="157"/>
        <v>Male</v>
      </c>
      <c r="L919">
        <v>39</v>
      </c>
      <c r="O919">
        <f t="shared" si="158"/>
        <v>39</v>
      </c>
      <c r="P919">
        <v>0</v>
      </c>
      <c r="R919" s="4">
        <v>1</v>
      </c>
      <c r="T919" s="5">
        <v>13.416700000000001</v>
      </c>
      <c r="W919" s="4">
        <v>39</v>
      </c>
      <c r="X919" s="4" t="str">
        <f t="shared" si="159"/>
        <v>Adult</v>
      </c>
      <c r="Y919" s="4" t="s">
        <v>3561</v>
      </c>
      <c r="AB919" s="4" t="str">
        <f t="shared" si="160"/>
        <v/>
      </c>
      <c r="AC919" s="4" t="str">
        <f t="shared" si="161"/>
        <v>Unknown</v>
      </c>
      <c r="AD919" s="4" t="s">
        <v>3566</v>
      </c>
      <c r="AF919" s="4">
        <v>15</v>
      </c>
      <c r="AG919" s="4">
        <f t="shared" si="162"/>
        <v>15</v>
      </c>
      <c r="AK919" s="4" t="s">
        <v>3573</v>
      </c>
      <c r="AL919" s="4" t="str">
        <f t="shared" si="163"/>
        <v>Found</v>
      </c>
      <c r="AN919" s="6">
        <v>13.416700000000001</v>
      </c>
      <c r="AO919" s="4" t="str">
        <f t="shared" si="164"/>
        <v>Mid</v>
      </c>
    </row>
    <row r="920" spans="1:41">
      <c r="A920">
        <v>3</v>
      </c>
      <c r="B920" t="str">
        <f t="shared" si="154"/>
        <v>Third Class</v>
      </c>
      <c r="C920">
        <v>0</v>
      </c>
      <c r="E920" t="str">
        <f t="shared" si="155"/>
        <v>Died</v>
      </c>
      <c r="F920" t="s">
        <v>1859</v>
      </c>
      <c r="G920" t="s">
        <v>848</v>
      </c>
      <c r="H920" t="s">
        <v>1860</v>
      </c>
      <c r="I920" t="str">
        <f t="shared" si="156"/>
        <v>Mr. Kassem Fared</v>
      </c>
      <c r="J920" t="s">
        <v>20</v>
      </c>
      <c r="K920" t="str">
        <f t="shared" si="157"/>
        <v>Male</v>
      </c>
      <c r="L920">
        <v>28</v>
      </c>
      <c r="O920">
        <f t="shared" si="158"/>
        <v>28</v>
      </c>
      <c r="P920">
        <v>0</v>
      </c>
      <c r="R920" s="4">
        <v>0</v>
      </c>
      <c r="T920" s="5">
        <v>7.2291999999999996</v>
      </c>
      <c r="W920" s="4">
        <v>28</v>
      </c>
      <c r="X920" s="4" t="str">
        <f t="shared" si="159"/>
        <v>Young Adult</v>
      </c>
      <c r="Y920" s="4" t="s">
        <v>3561</v>
      </c>
      <c r="AB920" s="4" t="str">
        <f t="shared" si="160"/>
        <v/>
      </c>
      <c r="AC920" s="4" t="str">
        <f t="shared" si="161"/>
        <v>Unknown</v>
      </c>
      <c r="AD920" s="4" t="s">
        <v>3566</v>
      </c>
      <c r="AG920" s="4" t="str">
        <f t="shared" si="162"/>
        <v>Not Applicable</v>
      </c>
      <c r="AK920" s="4" t="s">
        <v>3573</v>
      </c>
      <c r="AL920" s="4" t="str">
        <f t="shared" si="163"/>
        <v>Found</v>
      </c>
      <c r="AN920" s="6">
        <v>7.2291999999999996</v>
      </c>
      <c r="AO920" s="4" t="str">
        <f t="shared" si="164"/>
        <v>Low</v>
      </c>
    </row>
    <row r="921" spans="1:41">
      <c r="A921">
        <v>3</v>
      </c>
      <c r="B921" t="str">
        <f t="shared" si="154"/>
        <v>Third Class</v>
      </c>
      <c r="C921">
        <v>0</v>
      </c>
      <c r="E921" t="str">
        <f t="shared" si="155"/>
        <v>Died</v>
      </c>
      <c r="F921" t="s">
        <v>1861</v>
      </c>
      <c r="G921" t="s">
        <v>848</v>
      </c>
      <c r="H921" t="s">
        <v>1862</v>
      </c>
      <c r="I921" t="str">
        <f t="shared" si="156"/>
        <v>Mr. Katavelas Vassilios</v>
      </c>
      <c r="J921" t="s">
        <v>20</v>
      </c>
      <c r="K921" t="str">
        <f t="shared" si="157"/>
        <v>Male</v>
      </c>
      <c r="L921">
        <v>18.5</v>
      </c>
      <c r="O921">
        <f t="shared" si="158"/>
        <v>19</v>
      </c>
      <c r="P921">
        <v>0</v>
      </c>
      <c r="R921" s="4">
        <v>0</v>
      </c>
      <c r="T921" s="5">
        <v>7.2291999999999996</v>
      </c>
      <c r="W921" s="4">
        <v>19</v>
      </c>
      <c r="X921" s="4" t="str">
        <f t="shared" si="159"/>
        <v>Young Adult</v>
      </c>
      <c r="Y921" s="4" t="s">
        <v>3561</v>
      </c>
      <c r="AB921" s="4" t="str">
        <f t="shared" si="160"/>
        <v/>
      </c>
      <c r="AC921" s="4" t="str">
        <f t="shared" si="161"/>
        <v>Unknown</v>
      </c>
      <c r="AD921" s="4" t="s">
        <v>3566</v>
      </c>
      <c r="AG921" s="4" t="str">
        <f t="shared" si="162"/>
        <v>Not Applicable</v>
      </c>
      <c r="AH921" s="4">
        <v>58</v>
      </c>
      <c r="AK921" s="4">
        <v>58</v>
      </c>
      <c r="AL921" s="4" t="str">
        <f t="shared" si="163"/>
        <v>Found</v>
      </c>
      <c r="AN921" s="6">
        <v>7.2291999999999996</v>
      </c>
      <c r="AO921" s="4" t="str">
        <f t="shared" si="164"/>
        <v>Low</v>
      </c>
    </row>
    <row r="922" spans="1:41">
      <c r="A922">
        <v>3</v>
      </c>
      <c r="B922" t="str">
        <f t="shared" si="154"/>
        <v>Third Class</v>
      </c>
      <c r="C922">
        <v>0</v>
      </c>
      <c r="E922" t="str">
        <f t="shared" si="155"/>
        <v>Died</v>
      </c>
      <c r="F922" t="s">
        <v>1398</v>
      </c>
      <c r="G922" t="s">
        <v>848</v>
      </c>
      <c r="H922" t="s">
        <v>1265</v>
      </c>
      <c r="I922" t="str">
        <f t="shared" si="156"/>
        <v>Mr. Keane Andrew</v>
      </c>
      <c r="J922" t="s">
        <v>20</v>
      </c>
      <c r="K922" t="str">
        <f t="shared" si="157"/>
        <v>Male</v>
      </c>
      <c r="L922">
        <v>28</v>
      </c>
      <c r="O922">
        <f t="shared" si="158"/>
        <v>28</v>
      </c>
      <c r="P922">
        <v>0</v>
      </c>
      <c r="R922" s="4">
        <v>0</v>
      </c>
      <c r="T922" s="5">
        <v>7.75</v>
      </c>
      <c r="W922" s="4">
        <v>28</v>
      </c>
      <c r="X922" s="4" t="str">
        <f t="shared" si="159"/>
        <v>Young Adult</v>
      </c>
      <c r="Y922" s="4" t="s">
        <v>3561</v>
      </c>
      <c r="AB922" s="4" t="str">
        <f t="shared" si="160"/>
        <v/>
      </c>
      <c r="AC922" s="4" t="str">
        <f t="shared" si="161"/>
        <v>Unknown</v>
      </c>
      <c r="AD922" s="4" t="s">
        <v>3567</v>
      </c>
      <c r="AG922" s="4" t="str">
        <f t="shared" si="162"/>
        <v>Not Applicable</v>
      </c>
      <c r="AK922" s="4" t="s">
        <v>3573</v>
      </c>
      <c r="AL922" s="4" t="str">
        <f t="shared" si="163"/>
        <v>Found</v>
      </c>
      <c r="AN922" s="6">
        <v>7.75</v>
      </c>
      <c r="AO922" s="4" t="str">
        <f t="shared" si="164"/>
        <v>Low</v>
      </c>
    </row>
    <row r="923" spans="1:41">
      <c r="A923">
        <v>3</v>
      </c>
      <c r="B923" t="str">
        <f t="shared" si="154"/>
        <v>Third Class</v>
      </c>
      <c r="C923">
        <v>0</v>
      </c>
      <c r="E923" t="str">
        <f t="shared" si="155"/>
        <v>Died</v>
      </c>
      <c r="F923" t="s">
        <v>1863</v>
      </c>
      <c r="G923" t="s">
        <v>848</v>
      </c>
      <c r="H923" t="s">
        <v>913</v>
      </c>
      <c r="I923" t="str">
        <f t="shared" si="156"/>
        <v>Mr. Keefe Arthur</v>
      </c>
      <c r="J923" t="s">
        <v>20</v>
      </c>
      <c r="K923" t="str">
        <f t="shared" si="157"/>
        <v>Male</v>
      </c>
      <c r="L923">
        <v>28</v>
      </c>
      <c r="O923">
        <f t="shared" si="158"/>
        <v>28</v>
      </c>
      <c r="P923">
        <v>0</v>
      </c>
      <c r="R923" s="4">
        <v>0</v>
      </c>
      <c r="T923" s="5">
        <v>7.25</v>
      </c>
      <c r="W923" s="4">
        <v>28</v>
      </c>
      <c r="X923" s="4" t="str">
        <f t="shared" si="159"/>
        <v>Young Adult</v>
      </c>
      <c r="Y923" s="4" t="s">
        <v>3561</v>
      </c>
      <c r="AB923" s="4" t="str">
        <f t="shared" si="160"/>
        <v/>
      </c>
      <c r="AC923" s="4" t="str">
        <f t="shared" si="161"/>
        <v>Unknown</v>
      </c>
      <c r="AD923" s="4" t="s">
        <v>457</v>
      </c>
      <c r="AF923" s="4" t="s">
        <v>78</v>
      </c>
      <c r="AG923" s="4" t="str">
        <f t="shared" si="162"/>
        <v>A</v>
      </c>
      <c r="AK923" s="4" t="s">
        <v>3573</v>
      </c>
      <c r="AL923" s="4" t="str">
        <f t="shared" si="163"/>
        <v>Found</v>
      </c>
      <c r="AN923" s="6">
        <v>7.25</v>
      </c>
      <c r="AO923" s="4" t="str">
        <f t="shared" si="164"/>
        <v>Low</v>
      </c>
    </row>
    <row r="924" spans="1:41">
      <c r="A924">
        <v>3</v>
      </c>
      <c r="B924" t="str">
        <f t="shared" si="154"/>
        <v>Third Class</v>
      </c>
      <c r="C924">
        <v>1</v>
      </c>
      <c r="E924" t="str">
        <f t="shared" si="155"/>
        <v>Survived</v>
      </c>
      <c r="F924" t="s">
        <v>1400</v>
      </c>
      <c r="G924" t="s">
        <v>842</v>
      </c>
      <c r="H924" t="s">
        <v>1247</v>
      </c>
      <c r="I924" t="str">
        <f t="shared" si="156"/>
        <v>Miss. Kelly Anna</v>
      </c>
      <c r="J924" t="s">
        <v>47</v>
      </c>
      <c r="K924" t="str">
        <f t="shared" si="157"/>
        <v>Female</v>
      </c>
      <c r="L924">
        <v>28</v>
      </c>
      <c r="O924">
        <f t="shared" si="158"/>
        <v>28</v>
      </c>
      <c r="P924">
        <v>0</v>
      </c>
      <c r="R924" s="4">
        <v>0</v>
      </c>
      <c r="T924" s="5">
        <v>7.75</v>
      </c>
      <c r="W924" s="4">
        <v>28</v>
      </c>
      <c r="X924" s="4" t="str">
        <f t="shared" si="159"/>
        <v>Young Adult</v>
      </c>
      <c r="Y924" s="4" t="s">
        <v>3561</v>
      </c>
      <c r="AB924" s="4" t="str">
        <f t="shared" si="160"/>
        <v/>
      </c>
      <c r="AC924" s="4" t="str">
        <f t="shared" si="161"/>
        <v>Unknown</v>
      </c>
      <c r="AD924" s="4" t="s">
        <v>3567</v>
      </c>
      <c r="AF924" s="4">
        <v>16</v>
      </c>
      <c r="AG924" s="4">
        <f t="shared" si="162"/>
        <v>16</v>
      </c>
      <c r="AK924" s="4" t="s">
        <v>3573</v>
      </c>
      <c r="AL924" s="4" t="str">
        <f t="shared" si="163"/>
        <v>Found</v>
      </c>
      <c r="AN924" s="6">
        <v>7.75</v>
      </c>
      <c r="AO924" s="4" t="str">
        <f t="shared" si="164"/>
        <v>Low</v>
      </c>
    </row>
    <row r="925" spans="1:41">
      <c r="A925">
        <v>3</v>
      </c>
      <c r="B925" t="str">
        <f t="shared" si="154"/>
        <v>Third Class</v>
      </c>
      <c r="C925">
        <v>1</v>
      </c>
      <c r="E925" t="str">
        <f t="shared" si="155"/>
        <v>Survived</v>
      </c>
      <c r="F925" t="s">
        <v>1400</v>
      </c>
      <c r="G925" t="s">
        <v>842</v>
      </c>
      <c r="H925" t="s">
        <v>1107</v>
      </c>
      <c r="I925" t="str">
        <f t="shared" si="156"/>
        <v>Miss. Kelly Mary</v>
      </c>
      <c r="J925" t="s">
        <v>47</v>
      </c>
      <c r="K925" t="str">
        <f t="shared" si="157"/>
        <v>Female</v>
      </c>
      <c r="L925">
        <v>28</v>
      </c>
      <c r="O925">
        <f t="shared" si="158"/>
        <v>28</v>
      </c>
      <c r="P925">
        <v>0</v>
      </c>
      <c r="R925" s="4">
        <v>0</v>
      </c>
      <c r="T925" s="5">
        <v>7.75</v>
      </c>
      <c r="W925" s="4">
        <v>28</v>
      </c>
      <c r="X925" s="4" t="str">
        <f t="shared" si="159"/>
        <v>Young Adult</v>
      </c>
      <c r="Y925" s="4" t="s">
        <v>3561</v>
      </c>
      <c r="AB925" s="4" t="str">
        <f t="shared" si="160"/>
        <v/>
      </c>
      <c r="AC925" s="4" t="str">
        <f t="shared" si="161"/>
        <v>Unknown</v>
      </c>
      <c r="AD925" s="4" t="s">
        <v>3567</v>
      </c>
      <c r="AF925" s="4" t="s">
        <v>59</v>
      </c>
      <c r="AG925" s="4" t="str">
        <f t="shared" si="162"/>
        <v>D</v>
      </c>
      <c r="AK925" s="4" t="s">
        <v>3573</v>
      </c>
      <c r="AL925" s="4" t="str">
        <f t="shared" si="163"/>
        <v>Found</v>
      </c>
      <c r="AN925" s="6">
        <v>7.75</v>
      </c>
      <c r="AO925" s="4" t="str">
        <f t="shared" si="164"/>
        <v>Low</v>
      </c>
    </row>
    <row r="926" spans="1:41">
      <c r="A926">
        <v>3</v>
      </c>
      <c r="B926" t="str">
        <f t="shared" si="154"/>
        <v>Third Class</v>
      </c>
      <c r="C926">
        <v>0</v>
      </c>
      <c r="E926" t="str">
        <f t="shared" si="155"/>
        <v>Died</v>
      </c>
      <c r="F926" t="s">
        <v>1400</v>
      </c>
      <c r="G926" t="s">
        <v>848</v>
      </c>
      <c r="H926" t="s">
        <v>878</v>
      </c>
      <c r="I926" t="str">
        <f t="shared" si="156"/>
        <v>Mr. Kelly James</v>
      </c>
      <c r="J926" t="s">
        <v>20</v>
      </c>
      <c r="K926" t="str">
        <f t="shared" si="157"/>
        <v>Male</v>
      </c>
      <c r="L926">
        <v>34.5</v>
      </c>
      <c r="O926">
        <f t="shared" si="158"/>
        <v>35</v>
      </c>
      <c r="P926">
        <v>0</v>
      </c>
      <c r="R926" s="4">
        <v>0</v>
      </c>
      <c r="T926" s="5">
        <v>7.8292000000000002</v>
      </c>
      <c r="W926" s="4">
        <v>35</v>
      </c>
      <c r="X926" s="4" t="str">
        <f t="shared" si="159"/>
        <v>Adult</v>
      </c>
      <c r="Y926" s="4" t="s">
        <v>3561</v>
      </c>
      <c r="AB926" s="4" t="str">
        <f t="shared" si="160"/>
        <v/>
      </c>
      <c r="AC926" s="4" t="str">
        <f t="shared" si="161"/>
        <v>Unknown</v>
      </c>
      <c r="AD926" s="4" t="s">
        <v>3567</v>
      </c>
      <c r="AG926" s="4" t="str">
        <f t="shared" si="162"/>
        <v>Not Applicable</v>
      </c>
      <c r="AH926" s="4">
        <v>70</v>
      </c>
      <c r="AK926" s="4">
        <v>70</v>
      </c>
      <c r="AL926" s="4" t="str">
        <f t="shared" si="163"/>
        <v>Found</v>
      </c>
      <c r="AN926" s="6">
        <v>7.8292000000000002</v>
      </c>
      <c r="AO926" s="4" t="str">
        <f t="shared" si="164"/>
        <v>Low</v>
      </c>
    </row>
    <row r="927" spans="1:41">
      <c r="A927">
        <v>3</v>
      </c>
      <c r="B927" t="str">
        <f t="shared" si="154"/>
        <v>Third Class</v>
      </c>
      <c r="C927">
        <v>0</v>
      </c>
      <c r="E927" t="str">
        <f t="shared" si="155"/>
        <v>Died</v>
      </c>
      <c r="F927" t="s">
        <v>1400</v>
      </c>
      <c r="G927" t="s">
        <v>848</v>
      </c>
      <c r="H927" t="s">
        <v>878</v>
      </c>
      <c r="I927" t="str">
        <f t="shared" si="156"/>
        <v>Mr. Kelly James</v>
      </c>
      <c r="J927" t="s">
        <v>20</v>
      </c>
      <c r="K927" t="str">
        <f t="shared" si="157"/>
        <v>Male</v>
      </c>
      <c r="L927">
        <v>44</v>
      </c>
      <c r="O927">
        <f t="shared" si="158"/>
        <v>44</v>
      </c>
      <c r="P927">
        <v>0</v>
      </c>
      <c r="R927" s="4">
        <v>0</v>
      </c>
      <c r="T927" s="5">
        <v>8.0500000000000007</v>
      </c>
      <c r="W927" s="4">
        <v>44</v>
      </c>
      <c r="X927" s="4" t="str">
        <f t="shared" si="159"/>
        <v>Adult</v>
      </c>
      <c r="Y927" s="4" t="s">
        <v>3561</v>
      </c>
      <c r="AB927" s="4" t="str">
        <f t="shared" si="160"/>
        <v/>
      </c>
      <c r="AC927" s="4" t="str">
        <f t="shared" si="161"/>
        <v>Unknown</v>
      </c>
      <c r="AD927" s="4" t="s">
        <v>457</v>
      </c>
      <c r="AG927" s="4" t="str">
        <f t="shared" si="162"/>
        <v>Not Applicable</v>
      </c>
      <c r="AK927" s="4" t="s">
        <v>3573</v>
      </c>
      <c r="AL927" s="4" t="str">
        <f t="shared" si="163"/>
        <v>Found</v>
      </c>
      <c r="AN927" s="6">
        <v>8.0500000000000007</v>
      </c>
      <c r="AO927" s="4" t="str">
        <f t="shared" si="164"/>
        <v>Low</v>
      </c>
    </row>
    <row r="928" spans="1:41">
      <c r="A928">
        <v>3</v>
      </c>
      <c r="B928" t="str">
        <f t="shared" si="154"/>
        <v>Third Class</v>
      </c>
      <c r="C928">
        <v>1</v>
      </c>
      <c r="E928" t="str">
        <f t="shared" si="155"/>
        <v>Survived</v>
      </c>
      <c r="F928" t="s">
        <v>1864</v>
      </c>
      <c r="G928" t="s">
        <v>848</v>
      </c>
      <c r="H928" t="s">
        <v>862</v>
      </c>
      <c r="I928" t="str">
        <f t="shared" si="156"/>
        <v>Mr. Kennedy John</v>
      </c>
      <c r="J928" t="s">
        <v>20</v>
      </c>
      <c r="K928" t="str">
        <f t="shared" si="157"/>
        <v>Male</v>
      </c>
      <c r="L928">
        <v>28</v>
      </c>
      <c r="O928">
        <f t="shared" si="158"/>
        <v>28</v>
      </c>
      <c r="P928">
        <v>0</v>
      </c>
      <c r="R928" s="4">
        <v>0</v>
      </c>
      <c r="T928" s="5">
        <v>7.75</v>
      </c>
      <c r="W928" s="4">
        <v>28</v>
      </c>
      <c r="X928" s="4" t="str">
        <f t="shared" si="159"/>
        <v>Young Adult</v>
      </c>
      <c r="Y928" s="4" t="s">
        <v>3561</v>
      </c>
      <c r="AB928" s="4" t="str">
        <f t="shared" si="160"/>
        <v/>
      </c>
      <c r="AC928" s="4" t="str">
        <f t="shared" si="161"/>
        <v>Unknown</v>
      </c>
      <c r="AD928" s="4" t="s">
        <v>3567</v>
      </c>
      <c r="AG928" s="4" t="str">
        <f t="shared" si="162"/>
        <v>Not Applicable</v>
      </c>
      <c r="AK928" s="4" t="s">
        <v>3573</v>
      </c>
      <c r="AL928" s="4" t="str">
        <f t="shared" si="163"/>
        <v>Found</v>
      </c>
      <c r="AN928" s="6">
        <v>7.75</v>
      </c>
      <c r="AO928" s="4" t="str">
        <f t="shared" si="164"/>
        <v>Low</v>
      </c>
    </row>
    <row r="929" spans="1:41">
      <c r="A929">
        <v>3</v>
      </c>
      <c r="B929" t="str">
        <f t="shared" si="154"/>
        <v>Third Class</v>
      </c>
      <c r="C929">
        <v>0</v>
      </c>
      <c r="E929" t="str">
        <f t="shared" si="155"/>
        <v>Died</v>
      </c>
      <c r="F929" t="s">
        <v>1588</v>
      </c>
      <c r="G929" t="s">
        <v>848</v>
      </c>
      <c r="H929" t="s">
        <v>1616</v>
      </c>
      <c r="I929" t="str">
        <f t="shared" si="156"/>
        <v>Mr. Khalil Betros</v>
      </c>
      <c r="J929" t="s">
        <v>20</v>
      </c>
      <c r="K929" t="str">
        <f t="shared" si="157"/>
        <v>Male</v>
      </c>
      <c r="L929">
        <v>28</v>
      </c>
      <c r="O929">
        <f t="shared" si="158"/>
        <v>28</v>
      </c>
      <c r="P929">
        <v>1</v>
      </c>
      <c r="R929" s="4">
        <v>0</v>
      </c>
      <c r="T929" s="5">
        <v>14.4542</v>
      </c>
      <c r="W929" s="4">
        <v>28</v>
      </c>
      <c r="X929" s="4" t="str">
        <f t="shared" si="159"/>
        <v>Young Adult</v>
      </c>
      <c r="Y929" s="4" t="s">
        <v>3561</v>
      </c>
      <c r="AB929" s="4" t="str">
        <f t="shared" si="160"/>
        <v/>
      </c>
      <c r="AC929" s="4" t="str">
        <f t="shared" si="161"/>
        <v>Unknown</v>
      </c>
      <c r="AD929" s="4" t="s">
        <v>3566</v>
      </c>
      <c r="AG929" s="4" t="str">
        <f t="shared" si="162"/>
        <v>Not Applicable</v>
      </c>
      <c r="AK929" s="4" t="s">
        <v>3573</v>
      </c>
      <c r="AL929" s="4" t="str">
        <f t="shared" si="163"/>
        <v>Found</v>
      </c>
      <c r="AN929" s="6">
        <v>14.4542</v>
      </c>
      <c r="AO929" s="4" t="str">
        <f t="shared" si="164"/>
        <v>Mid</v>
      </c>
    </row>
    <row r="930" spans="1:41">
      <c r="A930">
        <v>3</v>
      </c>
      <c r="B930" t="str">
        <f t="shared" si="154"/>
        <v>Third Class</v>
      </c>
      <c r="C930">
        <v>0</v>
      </c>
      <c r="E930" t="str">
        <f t="shared" si="155"/>
        <v>Died</v>
      </c>
      <c r="F930" t="s">
        <v>1588</v>
      </c>
      <c r="G930" t="s">
        <v>849</v>
      </c>
      <c r="H930" t="s">
        <v>1616</v>
      </c>
      <c r="I930" t="str">
        <f t="shared" si="156"/>
        <v>Mrs. Khalil Betros</v>
      </c>
      <c r="J930" t="s">
        <v>47</v>
      </c>
      <c r="K930" t="str">
        <f t="shared" si="157"/>
        <v>Female</v>
      </c>
      <c r="L930">
        <v>28</v>
      </c>
      <c r="O930">
        <f t="shared" si="158"/>
        <v>28</v>
      </c>
      <c r="P930">
        <v>1</v>
      </c>
      <c r="R930" s="4">
        <v>0</v>
      </c>
      <c r="T930" s="5">
        <v>14.4542</v>
      </c>
      <c r="W930" s="4">
        <v>28</v>
      </c>
      <c r="X930" s="4" t="str">
        <f t="shared" si="159"/>
        <v>Young Adult</v>
      </c>
      <c r="Y930" s="4" t="s">
        <v>3561</v>
      </c>
      <c r="AB930" s="4" t="str">
        <f t="shared" si="160"/>
        <v/>
      </c>
      <c r="AC930" s="4" t="str">
        <f t="shared" si="161"/>
        <v>Unknown</v>
      </c>
      <c r="AD930" s="4" t="s">
        <v>3566</v>
      </c>
      <c r="AG930" s="4" t="str">
        <f t="shared" si="162"/>
        <v>Not Applicable</v>
      </c>
      <c r="AK930" s="4" t="s">
        <v>3573</v>
      </c>
      <c r="AL930" s="4" t="str">
        <f t="shared" si="163"/>
        <v>Found</v>
      </c>
      <c r="AN930" s="6">
        <v>14.4542</v>
      </c>
      <c r="AO930" s="4" t="str">
        <f t="shared" si="164"/>
        <v>Mid</v>
      </c>
    </row>
    <row r="931" spans="1:41">
      <c r="A931">
        <v>3</v>
      </c>
      <c r="B931" t="str">
        <f t="shared" si="154"/>
        <v>Third Class</v>
      </c>
      <c r="C931">
        <v>0</v>
      </c>
      <c r="E931" t="str">
        <f t="shared" si="155"/>
        <v>Died</v>
      </c>
      <c r="F931" t="s">
        <v>1865</v>
      </c>
      <c r="G931" t="s">
        <v>848</v>
      </c>
      <c r="H931" t="s">
        <v>862</v>
      </c>
      <c r="I931" t="str">
        <f t="shared" si="156"/>
        <v>Mr. Kiernan John</v>
      </c>
      <c r="J931" t="s">
        <v>20</v>
      </c>
      <c r="K931" t="str">
        <f t="shared" si="157"/>
        <v>Male</v>
      </c>
      <c r="L931">
        <v>28</v>
      </c>
      <c r="O931">
        <f t="shared" si="158"/>
        <v>28</v>
      </c>
      <c r="P931">
        <v>1</v>
      </c>
      <c r="R931" s="4">
        <v>0</v>
      </c>
      <c r="T931" s="5">
        <v>7.75</v>
      </c>
      <c r="W931" s="4">
        <v>28</v>
      </c>
      <c r="X931" s="4" t="str">
        <f t="shared" si="159"/>
        <v>Young Adult</v>
      </c>
      <c r="Y931" s="4" t="s">
        <v>3561</v>
      </c>
      <c r="AB931" s="4" t="str">
        <f t="shared" si="160"/>
        <v/>
      </c>
      <c r="AC931" s="4" t="str">
        <f t="shared" si="161"/>
        <v>Unknown</v>
      </c>
      <c r="AD931" s="4" t="s">
        <v>3567</v>
      </c>
      <c r="AG931" s="4" t="str">
        <f t="shared" si="162"/>
        <v>Not Applicable</v>
      </c>
      <c r="AK931" s="4" t="s">
        <v>3573</v>
      </c>
      <c r="AL931" s="4" t="str">
        <f t="shared" si="163"/>
        <v>Found</v>
      </c>
      <c r="AN931" s="6">
        <v>7.75</v>
      </c>
      <c r="AO931" s="4" t="str">
        <f t="shared" si="164"/>
        <v>Low</v>
      </c>
    </row>
    <row r="932" spans="1:41">
      <c r="A932">
        <v>3</v>
      </c>
      <c r="B932" t="str">
        <f t="shared" si="154"/>
        <v>Third Class</v>
      </c>
      <c r="C932">
        <v>0</v>
      </c>
      <c r="E932" t="str">
        <f t="shared" si="155"/>
        <v>Died</v>
      </c>
      <c r="F932" t="s">
        <v>1865</v>
      </c>
      <c r="G932" t="s">
        <v>848</v>
      </c>
      <c r="H932" t="s">
        <v>1217</v>
      </c>
      <c r="I932" t="str">
        <f t="shared" si="156"/>
        <v>Mr. Kiernan Philip</v>
      </c>
      <c r="J932" t="s">
        <v>20</v>
      </c>
      <c r="K932" t="str">
        <f t="shared" si="157"/>
        <v>Male</v>
      </c>
      <c r="L932">
        <v>28</v>
      </c>
      <c r="O932">
        <f t="shared" si="158"/>
        <v>28</v>
      </c>
      <c r="P932">
        <v>1</v>
      </c>
      <c r="R932" s="4">
        <v>0</v>
      </c>
      <c r="T932" s="5">
        <v>7.75</v>
      </c>
      <c r="W932" s="4">
        <v>28</v>
      </c>
      <c r="X932" s="4" t="str">
        <f t="shared" si="159"/>
        <v>Young Adult</v>
      </c>
      <c r="Y932" s="4" t="s">
        <v>3561</v>
      </c>
      <c r="AB932" s="4" t="str">
        <f t="shared" si="160"/>
        <v/>
      </c>
      <c r="AC932" s="4" t="str">
        <f t="shared" si="161"/>
        <v>Unknown</v>
      </c>
      <c r="AD932" s="4" t="s">
        <v>3567</v>
      </c>
      <c r="AG932" s="4" t="str">
        <f t="shared" si="162"/>
        <v>Not Applicable</v>
      </c>
      <c r="AK932" s="4" t="s">
        <v>3573</v>
      </c>
      <c r="AL932" s="4" t="str">
        <f t="shared" si="163"/>
        <v>Found</v>
      </c>
      <c r="AN932" s="6">
        <v>7.75</v>
      </c>
      <c r="AO932" s="4" t="str">
        <f t="shared" si="164"/>
        <v>Low</v>
      </c>
    </row>
    <row r="933" spans="1:41">
      <c r="A933">
        <v>3</v>
      </c>
      <c r="B933" t="str">
        <f t="shared" si="154"/>
        <v>Third Class</v>
      </c>
      <c r="C933">
        <v>0</v>
      </c>
      <c r="E933" t="str">
        <f t="shared" si="155"/>
        <v>Died</v>
      </c>
      <c r="F933" t="s">
        <v>1866</v>
      </c>
      <c r="G933" t="s">
        <v>848</v>
      </c>
      <c r="H933" t="s">
        <v>855</v>
      </c>
      <c r="I933" t="str">
        <f t="shared" si="156"/>
        <v>Mr. Kilgannon Thomas</v>
      </c>
      <c r="J933" t="s">
        <v>20</v>
      </c>
      <c r="K933" t="str">
        <f t="shared" si="157"/>
        <v>Male</v>
      </c>
      <c r="L933">
        <v>28</v>
      </c>
      <c r="O933">
        <f t="shared" si="158"/>
        <v>28</v>
      </c>
      <c r="P933">
        <v>0</v>
      </c>
      <c r="R933" s="4">
        <v>0</v>
      </c>
      <c r="T933" s="5">
        <v>7.7374999999999998</v>
      </c>
      <c r="W933" s="4">
        <v>28</v>
      </c>
      <c r="X933" s="4" t="str">
        <f t="shared" si="159"/>
        <v>Young Adult</v>
      </c>
      <c r="Y933" s="4" t="s">
        <v>3561</v>
      </c>
      <c r="AB933" s="4" t="str">
        <f t="shared" si="160"/>
        <v/>
      </c>
      <c r="AC933" s="4" t="str">
        <f t="shared" si="161"/>
        <v>Unknown</v>
      </c>
      <c r="AD933" s="4" t="s">
        <v>3567</v>
      </c>
      <c r="AG933" s="4" t="str">
        <f t="shared" si="162"/>
        <v>Not Applicable</v>
      </c>
      <c r="AK933" s="4" t="s">
        <v>3573</v>
      </c>
      <c r="AL933" s="4" t="str">
        <f t="shared" si="163"/>
        <v>Found</v>
      </c>
      <c r="AN933" s="6">
        <v>7.7374999999999998</v>
      </c>
      <c r="AO933" s="4" t="str">
        <f t="shared" si="164"/>
        <v>Low</v>
      </c>
    </row>
    <row r="934" spans="1:41">
      <c r="A934">
        <v>3</v>
      </c>
      <c r="B934" t="str">
        <f t="shared" si="154"/>
        <v>Third Class</v>
      </c>
      <c r="C934">
        <v>0</v>
      </c>
      <c r="E934" t="str">
        <f t="shared" si="155"/>
        <v>Died</v>
      </c>
      <c r="F934" t="s">
        <v>1867</v>
      </c>
      <c r="G934" t="s">
        <v>842</v>
      </c>
      <c r="H934" t="s">
        <v>1195</v>
      </c>
      <c r="I934" t="str">
        <f t="shared" si="156"/>
        <v>Miss. Kink Maria</v>
      </c>
      <c r="J934" t="s">
        <v>47</v>
      </c>
      <c r="K934" t="str">
        <f t="shared" si="157"/>
        <v>Female</v>
      </c>
      <c r="L934">
        <v>22</v>
      </c>
      <c r="O934">
        <f t="shared" si="158"/>
        <v>22</v>
      </c>
      <c r="P934">
        <v>2</v>
      </c>
      <c r="R934" s="4">
        <v>0</v>
      </c>
      <c r="T934" s="5">
        <v>8.6624999999999996</v>
      </c>
      <c r="W934" s="4">
        <v>22</v>
      </c>
      <c r="X934" s="4" t="str">
        <f t="shared" si="159"/>
        <v>Young Adult</v>
      </c>
      <c r="Y934" s="4" t="s">
        <v>3561</v>
      </c>
      <c r="AB934" s="4" t="str">
        <f t="shared" si="160"/>
        <v/>
      </c>
      <c r="AC934" s="4" t="str">
        <f t="shared" si="161"/>
        <v>Unknown</v>
      </c>
      <c r="AD934" s="4" t="s">
        <v>457</v>
      </c>
      <c r="AG934" s="4" t="str">
        <f t="shared" si="162"/>
        <v>Not Applicable</v>
      </c>
      <c r="AK934" s="4" t="s">
        <v>3573</v>
      </c>
      <c r="AL934" s="4" t="str">
        <f t="shared" si="163"/>
        <v>Found</v>
      </c>
      <c r="AN934" s="6">
        <v>8.6624999999999996</v>
      </c>
      <c r="AO934" s="4" t="str">
        <f t="shared" si="164"/>
        <v>Low</v>
      </c>
    </row>
    <row r="935" spans="1:41">
      <c r="A935">
        <v>3</v>
      </c>
      <c r="B935" t="str">
        <f t="shared" si="154"/>
        <v>Third Class</v>
      </c>
      <c r="C935">
        <v>0</v>
      </c>
      <c r="E935" t="str">
        <f t="shared" si="155"/>
        <v>Died</v>
      </c>
      <c r="F935" t="s">
        <v>1867</v>
      </c>
      <c r="G935" t="s">
        <v>848</v>
      </c>
      <c r="H935" t="s">
        <v>1868</v>
      </c>
      <c r="I935" t="str">
        <f t="shared" si="156"/>
        <v>Mr. Kink Vincenz</v>
      </c>
      <c r="J935" t="s">
        <v>20</v>
      </c>
      <c r="K935" t="str">
        <f t="shared" si="157"/>
        <v>Male</v>
      </c>
      <c r="L935">
        <v>26</v>
      </c>
      <c r="O935">
        <f t="shared" si="158"/>
        <v>26</v>
      </c>
      <c r="P935">
        <v>2</v>
      </c>
      <c r="R935" s="4">
        <v>0</v>
      </c>
      <c r="T935" s="5">
        <v>8.6624999999999996</v>
      </c>
      <c r="W935" s="4">
        <v>26</v>
      </c>
      <c r="X935" s="4" t="str">
        <f t="shared" si="159"/>
        <v>Young Adult</v>
      </c>
      <c r="Y935" s="4" t="s">
        <v>3561</v>
      </c>
      <c r="AB935" s="4" t="str">
        <f t="shared" si="160"/>
        <v/>
      </c>
      <c r="AC935" s="4" t="str">
        <f t="shared" si="161"/>
        <v>Unknown</v>
      </c>
      <c r="AD935" s="4" t="s">
        <v>457</v>
      </c>
      <c r="AG935" s="4" t="str">
        <f t="shared" si="162"/>
        <v>Not Applicable</v>
      </c>
      <c r="AK935" s="4" t="s">
        <v>3573</v>
      </c>
      <c r="AL935" s="4" t="str">
        <f t="shared" si="163"/>
        <v>Found</v>
      </c>
      <c r="AN935" s="6">
        <v>8.6624999999999996</v>
      </c>
      <c r="AO935" s="4" t="str">
        <f t="shared" si="164"/>
        <v>Low</v>
      </c>
    </row>
    <row r="936" spans="1:41">
      <c r="A936">
        <v>3</v>
      </c>
      <c r="B936" t="str">
        <f t="shared" si="154"/>
        <v>Third Class</v>
      </c>
      <c r="C936">
        <v>1</v>
      </c>
      <c r="E936" t="str">
        <f t="shared" si="155"/>
        <v>Survived</v>
      </c>
      <c r="F936" t="s">
        <v>1869</v>
      </c>
      <c r="G936" t="s">
        <v>842</v>
      </c>
      <c r="H936" t="s">
        <v>1870</v>
      </c>
      <c r="I936" t="str">
        <f t="shared" si="156"/>
        <v>Miss. Kink-Heilmann Luise</v>
      </c>
      <c r="J936" t="s">
        <v>47</v>
      </c>
      <c r="K936" t="str">
        <f t="shared" si="157"/>
        <v>Female</v>
      </c>
      <c r="L936">
        <v>4</v>
      </c>
      <c r="O936">
        <f t="shared" si="158"/>
        <v>4</v>
      </c>
      <c r="P936">
        <v>0</v>
      </c>
      <c r="R936" s="4">
        <v>2</v>
      </c>
      <c r="T936" s="5">
        <v>22.024999999999999</v>
      </c>
      <c r="W936" s="4">
        <v>4</v>
      </c>
      <c r="X936" s="4" t="str">
        <f t="shared" si="159"/>
        <v>Child</v>
      </c>
      <c r="Y936" s="4" t="s">
        <v>3561</v>
      </c>
      <c r="AB936" s="4" t="str">
        <f t="shared" si="160"/>
        <v/>
      </c>
      <c r="AC936" s="4" t="str">
        <f t="shared" si="161"/>
        <v>Unknown</v>
      </c>
      <c r="AD936" s="4" t="s">
        <v>457</v>
      </c>
      <c r="AF936" s="4">
        <v>2</v>
      </c>
      <c r="AG936" s="4">
        <f t="shared" si="162"/>
        <v>2</v>
      </c>
      <c r="AK936" s="4" t="s">
        <v>3573</v>
      </c>
      <c r="AL936" s="4" t="str">
        <f t="shared" si="163"/>
        <v>Found</v>
      </c>
      <c r="AN936" s="6">
        <v>22.024999999999999</v>
      </c>
      <c r="AO936" s="4" t="str">
        <f t="shared" si="164"/>
        <v>Mid</v>
      </c>
    </row>
    <row r="937" spans="1:41">
      <c r="A937">
        <v>3</v>
      </c>
      <c r="B937" t="str">
        <f t="shared" si="154"/>
        <v>Third Class</v>
      </c>
      <c r="C937">
        <v>1</v>
      </c>
      <c r="E937" t="str">
        <f t="shared" si="155"/>
        <v>Survived</v>
      </c>
      <c r="F937" t="s">
        <v>1869</v>
      </c>
      <c r="G937" t="s">
        <v>848</v>
      </c>
      <c r="H937" t="s">
        <v>1871</v>
      </c>
      <c r="I937" t="str">
        <f t="shared" si="156"/>
        <v>Mr. Kink-Heilmann Anton</v>
      </c>
      <c r="J937" t="s">
        <v>20</v>
      </c>
      <c r="K937" t="str">
        <f t="shared" si="157"/>
        <v>Male</v>
      </c>
      <c r="L937">
        <v>29</v>
      </c>
      <c r="O937">
        <f t="shared" si="158"/>
        <v>29</v>
      </c>
      <c r="P937">
        <v>3</v>
      </c>
      <c r="R937" s="4">
        <v>1</v>
      </c>
      <c r="T937" s="5">
        <v>22.024999999999999</v>
      </c>
      <c r="W937" s="4">
        <v>29</v>
      </c>
      <c r="X937" s="4" t="str">
        <f t="shared" si="159"/>
        <v>Young Adult</v>
      </c>
      <c r="Y937" s="4" t="s">
        <v>3561</v>
      </c>
      <c r="AB937" s="4" t="str">
        <f t="shared" si="160"/>
        <v/>
      </c>
      <c r="AC937" s="4" t="str">
        <f t="shared" si="161"/>
        <v>Unknown</v>
      </c>
      <c r="AD937" s="4" t="s">
        <v>457</v>
      </c>
      <c r="AF937" s="4">
        <v>2</v>
      </c>
      <c r="AG937" s="4">
        <f t="shared" si="162"/>
        <v>2</v>
      </c>
      <c r="AK937" s="4" t="s">
        <v>3573</v>
      </c>
      <c r="AL937" s="4" t="str">
        <f t="shared" si="163"/>
        <v>Found</v>
      </c>
      <c r="AN937" s="6">
        <v>22.024999999999999</v>
      </c>
      <c r="AO937" s="4" t="str">
        <f t="shared" si="164"/>
        <v>Mid</v>
      </c>
    </row>
    <row r="938" spans="1:41">
      <c r="A938">
        <v>3</v>
      </c>
      <c r="B938" t="str">
        <f t="shared" si="154"/>
        <v>Third Class</v>
      </c>
      <c r="C938">
        <v>1</v>
      </c>
      <c r="E938" t="str">
        <f t="shared" si="155"/>
        <v>Survived</v>
      </c>
      <c r="F938" t="s">
        <v>1869</v>
      </c>
      <c r="G938" t="s">
        <v>849</v>
      </c>
      <c r="H938" t="s">
        <v>1871</v>
      </c>
      <c r="I938" t="str">
        <f t="shared" si="156"/>
        <v>Mrs. Kink-Heilmann Anton</v>
      </c>
      <c r="J938" t="s">
        <v>47</v>
      </c>
      <c r="K938" t="str">
        <f t="shared" si="157"/>
        <v>Female</v>
      </c>
      <c r="L938">
        <v>26</v>
      </c>
      <c r="O938">
        <f t="shared" si="158"/>
        <v>26</v>
      </c>
      <c r="P938">
        <v>1</v>
      </c>
      <c r="R938" s="4">
        <v>1</v>
      </c>
      <c r="T938" s="5">
        <v>22.024999999999999</v>
      </c>
      <c r="W938" s="4">
        <v>26</v>
      </c>
      <c r="X938" s="4" t="str">
        <f t="shared" si="159"/>
        <v>Young Adult</v>
      </c>
      <c r="Y938" s="4" t="s">
        <v>3561</v>
      </c>
      <c r="AB938" s="4" t="str">
        <f t="shared" si="160"/>
        <v/>
      </c>
      <c r="AC938" s="4" t="str">
        <f t="shared" si="161"/>
        <v>Unknown</v>
      </c>
      <c r="AD938" s="4" t="s">
        <v>457</v>
      </c>
      <c r="AF938" s="4">
        <v>2</v>
      </c>
      <c r="AG938" s="4">
        <f t="shared" si="162"/>
        <v>2</v>
      </c>
      <c r="AK938" s="4" t="s">
        <v>3573</v>
      </c>
      <c r="AL938" s="4" t="str">
        <f t="shared" si="163"/>
        <v>Found</v>
      </c>
      <c r="AN938" s="6">
        <v>22.024999999999999</v>
      </c>
      <c r="AO938" s="4" t="str">
        <f t="shared" si="164"/>
        <v>Mid</v>
      </c>
    </row>
    <row r="939" spans="1:41">
      <c r="A939">
        <v>3</v>
      </c>
      <c r="B939" t="str">
        <f t="shared" si="154"/>
        <v>Third Class</v>
      </c>
      <c r="C939">
        <v>0</v>
      </c>
      <c r="E939" t="str">
        <f t="shared" si="155"/>
        <v>Died</v>
      </c>
      <c r="F939" t="s">
        <v>1872</v>
      </c>
      <c r="G939" t="s">
        <v>842</v>
      </c>
      <c r="H939" t="s">
        <v>1585</v>
      </c>
      <c r="I939" t="str">
        <f t="shared" si="156"/>
        <v>Miss. Klasen Gertrud</v>
      </c>
      <c r="J939" t="s">
        <v>47</v>
      </c>
      <c r="K939" t="str">
        <f t="shared" si="157"/>
        <v>Female</v>
      </c>
      <c r="L939">
        <v>1</v>
      </c>
      <c r="O939">
        <f t="shared" si="158"/>
        <v>1</v>
      </c>
      <c r="P939">
        <v>1</v>
      </c>
      <c r="R939" s="4">
        <v>1</v>
      </c>
      <c r="T939" s="5">
        <v>12.183299999999999</v>
      </c>
      <c r="W939" s="4">
        <v>1</v>
      </c>
      <c r="X939" s="4" t="str">
        <f t="shared" si="159"/>
        <v>Child</v>
      </c>
      <c r="Y939" s="4" t="s">
        <v>3561</v>
      </c>
      <c r="AB939" s="4" t="str">
        <f t="shared" si="160"/>
        <v/>
      </c>
      <c r="AC939" s="4" t="str">
        <f t="shared" si="161"/>
        <v>Unknown</v>
      </c>
      <c r="AD939" s="4" t="s">
        <v>457</v>
      </c>
      <c r="AG939" s="4" t="str">
        <f t="shared" si="162"/>
        <v>Not Applicable</v>
      </c>
      <c r="AK939" s="4" t="s">
        <v>3573</v>
      </c>
      <c r="AL939" s="4" t="str">
        <f t="shared" si="163"/>
        <v>Found</v>
      </c>
      <c r="AN939" s="6">
        <v>12.183299999999999</v>
      </c>
      <c r="AO939" s="4" t="str">
        <f t="shared" si="164"/>
        <v>Mid</v>
      </c>
    </row>
    <row r="940" spans="1:41">
      <c r="A940">
        <v>3</v>
      </c>
      <c r="B940" t="str">
        <f t="shared" si="154"/>
        <v>Third Class</v>
      </c>
      <c r="C940">
        <v>0</v>
      </c>
      <c r="E940" t="str">
        <f t="shared" si="155"/>
        <v>Died</v>
      </c>
      <c r="F940" t="s">
        <v>1872</v>
      </c>
      <c r="G940" t="s">
        <v>848</v>
      </c>
      <c r="H940" t="s">
        <v>1873</v>
      </c>
      <c r="I940" t="str">
        <f t="shared" si="156"/>
        <v>Mr. Klasen Klas</v>
      </c>
      <c r="J940" t="s">
        <v>20</v>
      </c>
      <c r="K940" t="str">
        <f t="shared" si="157"/>
        <v>Male</v>
      </c>
      <c r="L940">
        <v>18</v>
      </c>
      <c r="O940">
        <f t="shared" si="158"/>
        <v>18</v>
      </c>
      <c r="P940">
        <v>1</v>
      </c>
      <c r="R940" s="4">
        <v>1</v>
      </c>
      <c r="T940" s="5">
        <v>7.8541999999999996</v>
      </c>
      <c r="W940" s="4">
        <v>18</v>
      </c>
      <c r="X940" s="4" t="str">
        <f t="shared" si="159"/>
        <v>Young Adult</v>
      </c>
      <c r="Y940" s="4" t="s">
        <v>3561</v>
      </c>
      <c r="AB940" s="4" t="str">
        <f t="shared" si="160"/>
        <v/>
      </c>
      <c r="AC940" s="4" t="str">
        <f t="shared" si="161"/>
        <v>Unknown</v>
      </c>
      <c r="AD940" s="4" t="s">
        <v>457</v>
      </c>
      <c r="AG940" s="4" t="str">
        <f t="shared" si="162"/>
        <v>Not Applicable</v>
      </c>
      <c r="AK940" s="4" t="s">
        <v>3573</v>
      </c>
      <c r="AL940" s="4" t="str">
        <f t="shared" si="163"/>
        <v>Found</v>
      </c>
      <c r="AN940" s="6">
        <v>7.8541999999999996</v>
      </c>
      <c r="AO940" s="4" t="str">
        <f t="shared" si="164"/>
        <v>Low</v>
      </c>
    </row>
    <row r="941" spans="1:41">
      <c r="A941">
        <v>3</v>
      </c>
      <c r="B941" t="str">
        <f t="shared" si="154"/>
        <v>Third Class</v>
      </c>
      <c r="C941">
        <v>0</v>
      </c>
      <c r="E941" t="str">
        <f t="shared" si="155"/>
        <v>Died</v>
      </c>
      <c r="F941" t="s">
        <v>1872</v>
      </c>
      <c r="G941" t="s">
        <v>849</v>
      </c>
      <c r="H941" t="s">
        <v>1874</v>
      </c>
      <c r="I941" t="str">
        <f t="shared" si="156"/>
        <v>Mrs. Klasen (Hulda</v>
      </c>
      <c r="J941" t="s">
        <v>47</v>
      </c>
      <c r="K941" t="str">
        <f t="shared" si="157"/>
        <v>Female</v>
      </c>
      <c r="L941">
        <v>36</v>
      </c>
      <c r="O941">
        <f t="shared" si="158"/>
        <v>36</v>
      </c>
      <c r="P941">
        <v>0</v>
      </c>
      <c r="R941" s="4">
        <v>2</v>
      </c>
      <c r="T941" s="5">
        <v>12.183299999999999</v>
      </c>
      <c r="W941" s="4">
        <v>36</v>
      </c>
      <c r="X941" s="4" t="str">
        <f t="shared" si="159"/>
        <v>Adult</v>
      </c>
      <c r="Y941" s="4" t="s">
        <v>3561</v>
      </c>
      <c r="AB941" s="4" t="str">
        <f t="shared" si="160"/>
        <v/>
      </c>
      <c r="AC941" s="4" t="str">
        <f t="shared" si="161"/>
        <v>Unknown</v>
      </c>
      <c r="AD941" s="4" t="s">
        <v>457</v>
      </c>
      <c r="AG941" s="4" t="str">
        <f t="shared" si="162"/>
        <v>Not Applicable</v>
      </c>
      <c r="AK941" s="4" t="s">
        <v>3573</v>
      </c>
      <c r="AL941" s="4" t="str">
        <f t="shared" si="163"/>
        <v>Found</v>
      </c>
      <c r="AN941" s="6">
        <v>12.183299999999999</v>
      </c>
      <c r="AO941" s="4" t="str">
        <f t="shared" si="164"/>
        <v>Mid</v>
      </c>
    </row>
    <row r="942" spans="1:41">
      <c r="A942">
        <v>3</v>
      </c>
      <c r="B942" t="str">
        <f t="shared" si="154"/>
        <v>Third Class</v>
      </c>
      <c r="C942">
        <v>0</v>
      </c>
      <c r="E942" t="str">
        <f t="shared" si="155"/>
        <v>Died</v>
      </c>
      <c r="F942" t="s">
        <v>1876</v>
      </c>
      <c r="G942" t="s">
        <v>848</v>
      </c>
      <c r="H942" t="s">
        <v>1838</v>
      </c>
      <c r="I942" t="str">
        <f t="shared" si="156"/>
        <v>Mr. Kraeff Theodor</v>
      </c>
      <c r="J942" t="s">
        <v>20</v>
      </c>
      <c r="K942" t="str">
        <f t="shared" si="157"/>
        <v>Male</v>
      </c>
      <c r="L942">
        <v>28</v>
      </c>
      <c r="O942">
        <f t="shared" si="158"/>
        <v>28</v>
      </c>
      <c r="P942">
        <v>0</v>
      </c>
      <c r="R942" s="4">
        <v>0</v>
      </c>
      <c r="T942" s="5">
        <v>7.8958000000000004</v>
      </c>
      <c r="W942" s="4">
        <v>28</v>
      </c>
      <c r="X942" s="4" t="str">
        <f t="shared" si="159"/>
        <v>Young Adult</v>
      </c>
      <c r="Y942" s="4" t="s">
        <v>3561</v>
      </c>
      <c r="AB942" s="4" t="str">
        <f t="shared" si="160"/>
        <v/>
      </c>
      <c r="AC942" s="4" t="str">
        <f t="shared" si="161"/>
        <v>Unknown</v>
      </c>
      <c r="AD942" s="4" t="s">
        <v>3566</v>
      </c>
      <c r="AG942" s="4" t="str">
        <f t="shared" si="162"/>
        <v>Not Applicable</v>
      </c>
      <c r="AK942" s="4" t="s">
        <v>3573</v>
      </c>
      <c r="AL942" s="4" t="str">
        <f t="shared" si="163"/>
        <v>Found</v>
      </c>
      <c r="AN942" s="6">
        <v>7.8958000000000004</v>
      </c>
      <c r="AO942" s="4" t="str">
        <f t="shared" si="164"/>
        <v>Low</v>
      </c>
    </row>
    <row r="943" spans="1:41">
      <c r="A943">
        <v>3</v>
      </c>
      <c r="B943" t="str">
        <f t="shared" si="154"/>
        <v>Third Class</v>
      </c>
      <c r="C943">
        <v>1</v>
      </c>
      <c r="E943" t="str">
        <f t="shared" si="155"/>
        <v>Survived</v>
      </c>
      <c r="F943" t="s">
        <v>1877</v>
      </c>
      <c r="G943" t="s">
        <v>848</v>
      </c>
      <c r="H943" t="s">
        <v>1878</v>
      </c>
      <c r="I943" t="str">
        <f t="shared" si="156"/>
        <v>Mr. Krekorian Neshan</v>
      </c>
      <c r="J943" t="s">
        <v>20</v>
      </c>
      <c r="K943" t="str">
        <f t="shared" si="157"/>
        <v>Male</v>
      </c>
      <c r="L943">
        <v>25</v>
      </c>
      <c r="O943">
        <f t="shared" si="158"/>
        <v>25</v>
      </c>
      <c r="P943">
        <v>0</v>
      </c>
      <c r="R943" s="4">
        <v>0</v>
      </c>
      <c r="T943" s="5">
        <v>7.2291999999999996</v>
      </c>
      <c r="W943" s="4">
        <v>25</v>
      </c>
      <c r="X943" s="4" t="str">
        <f t="shared" si="159"/>
        <v>Young Adult</v>
      </c>
      <c r="Y943" s="4" t="s">
        <v>764</v>
      </c>
      <c r="AA943" s="4" t="s">
        <v>764</v>
      </c>
      <c r="AB943" s="4" t="str">
        <f t="shared" si="160"/>
        <v>F</v>
      </c>
      <c r="AC943" s="4" t="str">
        <f t="shared" si="161"/>
        <v>F</v>
      </c>
      <c r="AD943" s="4" t="s">
        <v>3566</v>
      </c>
      <c r="AF943" s="4">
        <v>10</v>
      </c>
      <c r="AG943" s="4">
        <f t="shared" si="162"/>
        <v>10</v>
      </c>
      <c r="AK943" s="4" t="s">
        <v>3573</v>
      </c>
      <c r="AL943" s="4" t="str">
        <f t="shared" si="163"/>
        <v>Found</v>
      </c>
      <c r="AN943" s="6">
        <v>7.2291999999999996</v>
      </c>
      <c r="AO943" s="4" t="str">
        <f t="shared" si="164"/>
        <v>Low</v>
      </c>
    </row>
    <row r="944" spans="1:41">
      <c r="A944">
        <v>3</v>
      </c>
      <c r="B944" t="str">
        <f t="shared" si="154"/>
        <v>Third Class</v>
      </c>
      <c r="C944">
        <v>0</v>
      </c>
      <c r="E944" t="str">
        <f t="shared" si="155"/>
        <v>Died</v>
      </c>
      <c r="F944" t="s">
        <v>1879</v>
      </c>
      <c r="G944" t="s">
        <v>848</v>
      </c>
      <c r="H944" t="s">
        <v>1880</v>
      </c>
      <c r="I944" t="str">
        <f t="shared" si="156"/>
        <v>Mr. Lahoud Sarkis</v>
      </c>
      <c r="J944" t="s">
        <v>20</v>
      </c>
      <c r="K944" t="str">
        <f t="shared" si="157"/>
        <v>Male</v>
      </c>
      <c r="L944">
        <v>28</v>
      </c>
      <c r="O944">
        <f t="shared" si="158"/>
        <v>28</v>
      </c>
      <c r="P944">
        <v>0</v>
      </c>
      <c r="R944" s="4">
        <v>0</v>
      </c>
      <c r="T944" s="5">
        <v>7.2249999999999996</v>
      </c>
      <c r="W944" s="4">
        <v>28</v>
      </c>
      <c r="X944" s="4" t="str">
        <f t="shared" si="159"/>
        <v>Young Adult</v>
      </c>
      <c r="Y944" s="4" t="s">
        <v>3561</v>
      </c>
      <c r="AB944" s="4" t="str">
        <f t="shared" si="160"/>
        <v/>
      </c>
      <c r="AC944" s="4" t="str">
        <f t="shared" si="161"/>
        <v>Unknown</v>
      </c>
      <c r="AD944" s="4" t="s">
        <v>3566</v>
      </c>
      <c r="AG944" s="4" t="str">
        <f t="shared" si="162"/>
        <v>Not Applicable</v>
      </c>
      <c r="AK944" s="4" t="s">
        <v>3573</v>
      </c>
      <c r="AL944" s="4" t="str">
        <f t="shared" si="163"/>
        <v>Found</v>
      </c>
      <c r="AN944" s="6">
        <v>7.2249999999999996</v>
      </c>
      <c r="AO944" s="4" t="str">
        <f t="shared" si="164"/>
        <v>Low</v>
      </c>
    </row>
    <row r="945" spans="1:41">
      <c r="A945">
        <v>3</v>
      </c>
      <c r="B945" t="str">
        <f t="shared" si="154"/>
        <v>Third Class</v>
      </c>
      <c r="C945">
        <v>0</v>
      </c>
      <c r="E945" t="str">
        <f t="shared" si="155"/>
        <v>Died</v>
      </c>
      <c r="F945" t="s">
        <v>1881</v>
      </c>
      <c r="G945" t="s">
        <v>842</v>
      </c>
      <c r="H945" t="s">
        <v>1875</v>
      </c>
      <c r="I945" t="str">
        <f t="shared" si="156"/>
        <v>Miss. Laitinen Kristina</v>
      </c>
      <c r="J945" t="s">
        <v>47</v>
      </c>
      <c r="K945" t="str">
        <f t="shared" si="157"/>
        <v>Female</v>
      </c>
      <c r="L945">
        <v>37</v>
      </c>
      <c r="O945">
        <f t="shared" si="158"/>
        <v>37</v>
      </c>
      <c r="P945">
        <v>0</v>
      </c>
      <c r="R945" s="4">
        <v>0</v>
      </c>
      <c r="T945" s="5">
        <v>9.5875000000000004</v>
      </c>
      <c r="W945" s="4">
        <v>37</v>
      </c>
      <c r="X945" s="4" t="str">
        <f t="shared" si="159"/>
        <v>Adult</v>
      </c>
      <c r="Y945" s="4" t="s">
        <v>3561</v>
      </c>
      <c r="AB945" s="4" t="str">
        <f t="shared" si="160"/>
        <v/>
      </c>
      <c r="AC945" s="4" t="str">
        <f t="shared" si="161"/>
        <v>Unknown</v>
      </c>
      <c r="AD945" s="4" t="s">
        <v>457</v>
      </c>
      <c r="AG945" s="4" t="str">
        <f t="shared" si="162"/>
        <v>Not Applicable</v>
      </c>
      <c r="AK945" s="4" t="s">
        <v>3573</v>
      </c>
      <c r="AL945" s="4" t="str">
        <f t="shared" si="163"/>
        <v>Found</v>
      </c>
      <c r="AN945" s="6">
        <v>9.5875000000000004</v>
      </c>
      <c r="AO945" s="4" t="str">
        <f t="shared" si="164"/>
        <v>Low</v>
      </c>
    </row>
    <row r="946" spans="1:41">
      <c r="A946">
        <v>3</v>
      </c>
      <c r="B946" t="str">
        <f t="shared" si="154"/>
        <v>Third Class</v>
      </c>
      <c r="C946">
        <v>0</v>
      </c>
      <c r="E946" t="str">
        <f t="shared" si="155"/>
        <v>Died</v>
      </c>
      <c r="F946" t="s">
        <v>1882</v>
      </c>
      <c r="G946" t="s">
        <v>848</v>
      </c>
      <c r="H946" t="s">
        <v>1883</v>
      </c>
      <c r="I946" t="str">
        <f t="shared" si="156"/>
        <v>Mr. Laleff Kristo</v>
      </c>
      <c r="J946" t="s">
        <v>20</v>
      </c>
      <c r="K946" t="str">
        <f t="shared" si="157"/>
        <v>Male</v>
      </c>
      <c r="L946">
        <v>28</v>
      </c>
      <c r="O946">
        <f t="shared" si="158"/>
        <v>28</v>
      </c>
      <c r="P946">
        <v>0</v>
      </c>
      <c r="R946" s="4">
        <v>0</v>
      </c>
      <c r="T946" s="5">
        <v>7.8958000000000004</v>
      </c>
      <c r="W946" s="4">
        <v>28</v>
      </c>
      <c r="X946" s="4" t="str">
        <f t="shared" si="159"/>
        <v>Young Adult</v>
      </c>
      <c r="Y946" s="4" t="s">
        <v>3561</v>
      </c>
      <c r="AB946" s="4" t="str">
        <f t="shared" si="160"/>
        <v/>
      </c>
      <c r="AC946" s="4" t="str">
        <f t="shared" si="161"/>
        <v>Unknown</v>
      </c>
      <c r="AD946" s="4" t="s">
        <v>457</v>
      </c>
      <c r="AG946" s="4" t="str">
        <f t="shared" si="162"/>
        <v>Not Applicable</v>
      </c>
      <c r="AK946" s="4" t="s">
        <v>3573</v>
      </c>
      <c r="AL946" s="4" t="str">
        <f t="shared" si="163"/>
        <v>Found</v>
      </c>
      <c r="AN946" s="6">
        <v>7.8958000000000004</v>
      </c>
      <c r="AO946" s="4" t="str">
        <f t="shared" si="164"/>
        <v>Low</v>
      </c>
    </row>
    <row r="947" spans="1:41">
      <c r="A947">
        <v>3</v>
      </c>
      <c r="B947" t="str">
        <f t="shared" si="154"/>
        <v>Third Class</v>
      </c>
      <c r="C947">
        <v>1</v>
      </c>
      <c r="E947" t="str">
        <f t="shared" si="155"/>
        <v>Survived</v>
      </c>
      <c r="F947" t="s">
        <v>1884</v>
      </c>
      <c r="G947" t="s">
        <v>848</v>
      </c>
      <c r="H947" t="s">
        <v>1555</v>
      </c>
      <c r="I947" t="str">
        <f t="shared" si="156"/>
        <v>Mr. Lam Ali</v>
      </c>
      <c r="J947" t="s">
        <v>20</v>
      </c>
      <c r="K947" t="str">
        <f t="shared" si="157"/>
        <v>Male</v>
      </c>
      <c r="L947">
        <v>28</v>
      </c>
      <c r="O947">
        <f t="shared" si="158"/>
        <v>28</v>
      </c>
      <c r="P947">
        <v>0</v>
      </c>
      <c r="R947" s="4">
        <v>0</v>
      </c>
      <c r="T947" s="5">
        <v>56.495800000000003</v>
      </c>
      <c r="W947" s="4">
        <v>28</v>
      </c>
      <c r="X947" s="4" t="str">
        <f t="shared" si="159"/>
        <v>Young Adult</v>
      </c>
      <c r="Y947" s="4" t="s">
        <v>3561</v>
      </c>
      <c r="AB947" s="4" t="str">
        <f t="shared" si="160"/>
        <v/>
      </c>
      <c r="AC947" s="4" t="str">
        <f t="shared" si="161"/>
        <v>Unknown</v>
      </c>
      <c r="AD947" s="4" t="s">
        <v>457</v>
      </c>
      <c r="AF947" s="4" t="s">
        <v>62</v>
      </c>
      <c r="AG947" s="4" t="str">
        <f t="shared" si="162"/>
        <v>C</v>
      </c>
      <c r="AK947" s="4" t="s">
        <v>3573</v>
      </c>
      <c r="AL947" s="4" t="str">
        <f t="shared" si="163"/>
        <v>Found</v>
      </c>
      <c r="AN947" s="6">
        <v>56.495800000000003</v>
      </c>
      <c r="AO947" s="4" t="str">
        <f t="shared" si="164"/>
        <v>High</v>
      </c>
    </row>
    <row r="948" spans="1:41">
      <c r="A948">
        <v>3</v>
      </c>
      <c r="B948" t="str">
        <f t="shared" si="154"/>
        <v>Third Class</v>
      </c>
      <c r="C948">
        <v>0</v>
      </c>
      <c r="E948" t="str">
        <f t="shared" si="155"/>
        <v>Died</v>
      </c>
      <c r="F948" t="s">
        <v>1884</v>
      </c>
      <c r="G948" t="s">
        <v>848</v>
      </c>
      <c r="H948" t="s">
        <v>1885</v>
      </c>
      <c r="I948" t="str">
        <f t="shared" si="156"/>
        <v>Mr. Lam Len</v>
      </c>
      <c r="J948" t="s">
        <v>20</v>
      </c>
      <c r="K948" t="str">
        <f t="shared" si="157"/>
        <v>Male</v>
      </c>
      <c r="L948">
        <v>28</v>
      </c>
      <c r="O948">
        <f t="shared" si="158"/>
        <v>28</v>
      </c>
      <c r="P948">
        <v>0</v>
      </c>
      <c r="R948" s="4">
        <v>0</v>
      </c>
      <c r="T948" s="5">
        <v>56.495800000000003</v>
      </c>
      <c r="W948" s="4">
        <v>28</v>
      </c>
      <c r="X948" s="4" t="str">
        <f t="shared" si="159"/>
        <v>Young Adult</v>
      </c>
      <c r="Y948" s="4" t="s">
        <v>3561</v>
      </c>
      <c r="AB948" s="4" t="str">
        <f t="shared" si="160"/>
        <v/>
      </c>
      <c r="AC948" s="4" t="str">
        <f t="shared" si="161"/>
        <v>Unknown</v>
      </c>
      <c r="AD948" s="4" t="s">
        <v>457</v>
      </c>
      <c r="AG948" s="4" t="str">
        <f t="shared" si="162"/>
        <v>Not Applicable</v>
      </c>
      <c r="AK948" s="4" t="s">
        <v>3573</v>
      </c>
      <c r="AL948" s="4" t="str">
        <f t="shared" si="163"/>
        <v>Found</v>
      </c>
      <c r="AN948" s="6">
        <v>56.495800000000003</v>
      </c>
      <c r="AO948" s="4" t="str">
        <f t="shared" si="164"/>
        <v>High</v>
      </c>
    </row>
    <row r="949" spans="1:41">
      <c r="A949">
        <v>3</v>
      </c>
      <c r="B949" t="str">
        <f t="shared" si="154"/>
        <v>Third Class</v>
      </c>
      <c r="C949">
        <v>1</v>
      </c>
      <c r="E949" t="str">
        <f t="shared" si="155"/>
        <v>Survived</v>
      </c>
      <c r="F949" t="s">
        <v>1886</v>
      </c>
      <c r="G949" t="s">
        <v>842</v>
      </c>
      <c r="H949" t="s">
        <v>1887</v>
      </c>
      <c r="I949" t="str">
        <f t="shared" si="156"/>
        <v>Miss. Landergren Aurora</v>
      </c>
      <c r="J949" t="s">
        <v>47</v>
      </c>
      <c r="K949" t="str">
        <f t="shared" si="157"/>
        <v>Female</v>
      </c>
      <c r="L949">
        <v>22</v>
      </c>
      <c r="O949">
        <f t="shared" si="158"/>
        <v>22</v>
      </c>
      <c r="P949">
        <v>0</v>
      </c>
      <c r="R949" s="4">
        <v>0</v>
      </c>
      <c r="T949" s="5">
        <v>7.25</v>
      </c>
      <c r="W949" s="4">
        <v>22</v>
      </c>
      <c r="X949" s="4" t="str">
        <f t="shared" si="159"/>
        <v>Young Adult</v>
      </c>
      <c r="Y949" s="4" t="s">
        <v>3561</v>
      </c>
      <c r="AB949" s="4" t="str">
        <f t="shared" si="160"/>
        <v/>
      </c>
      <c r="AC949" s="4" t="str">
        <f t="shared" si="161"/>
        <v>Unknown</v>
      </c>
      <c r="AD949" s="4" t="s">
        <v>457</v>
      </c>
      <c r="AF949" s="4">
        <v>13</v>
      </c>
      <c r="AG949" s="4">
        <f t="shared" si="162"/>
        <v>13</v>
      </c>
      <c r="AK949" s="4" t="s">
        <v>3573</v>
      </c>
      <c r="AL949" s="4" t="str">
        <f t="shared" si="163"/>
        <v>Found</v>
      </c>
      <c r="AN949" s="6">
        <v>7.25</v>
      </c>
      <c r="AO949" s="4" t="str">
        <f t="shared" si="164"/>
        <v>Low</v>
      </c>
    </row>
    <row r="950" spans="1:41">
      <c r="A950">
        <v>3</v>
      </c>
      <c r="B950" t="str">
        <f t="shared" si="154"/>
        <v>Third Class</v>
      </c>
      <c r="C950">
        <v>0</v>
      </c>
      <c r="E950" t="str">
        <f t="shared" si="155"/>
        <v>Died</v>
      </c>
      <c r="F950" t="s">
        <v>922</v>
      </c>
      <c r="G950" t="s">
        <v>848</v>
      </c>
      <c r="H950" t="s">
        <v>1649</v>
      </c>
      <c r="I950" t="str">
        <f t="shared" si="156"/>
        <v>Mr. Lane Patrick</v>
      </c>
      <c r="J950" t="s">
        <v>20</v>
      </c>
      <c r="K950" t="str">
        <f t="shared" si="157"/>
        <v>Male</v>
      </c>
      <c r="L950">
        <v>28</v>
      </c>
      <c r="O950">
        <f t="shared" si="158"/>
        <v>28</v>
      </c>
      <c r="P950">
        <v>0</v>
      </c>
      <c r="R950" s="4">
        <v>0</v>
      </c>
      <c r="T950" s="5">
        <v>7.75</v>
      </c>
      <c r="W950" s="4">
        <v>28</v>
      </c>
      <c r="X950" s="4" t="str">
        <f t="shared" si="159"/>
        <v>Young Adult</v>
      </c>
      <c r="Y950" s="4" t="s">
        <v>3561</v>
      </c>
      <c r="AB950" s="4" t="str">
        <f t="shared" si="160"/>
        <v/>
      </c>
      <c r="AC950" s="4" t="str">
        <f t="shared" si="161"/>
        <v>Unknown</v>
      </c>
      <c r="AD950" s="4" t="s">
        <v>3567</v>
      </c>
      <c r="AG950" s="4" t="str">
        <f t="shared" si="162"/>
        <v>Not Applicable</v>
      </c>
      <c r="AK950" s="4" t="s">
        <v>3573</v>
      </c>
      <c r="AL950" s="4" t="str">
        <f t="shared" si="163"/>
        <v>Found</v>
      </c>
      <c r="AN950" s="6">
        <v>7.75</v>
      </c>
      <c r="AO950" s="4" t="str">
        <f t="shared" si="164"/>
        <v>Low</v>
      </c>
    </row>
    <row r="951" spans="1:41">
      <c r="A951">
        <v>3</v>
      </c>
      <c r="B951" t="str">
        <f t="shared" si="154"/>
        <v>Third Class</v>
      </c>
      <c r="C951">
        <v>1</v>
      </c>
      <c r="E951" t="str">
        <f t="shared" si="155"/>
        <v>Survived</v>
      </c>
      <c r="F951" t="s">
        <v>1888</v>
      </c>
      <c r="G951" t="s">
        <v>848</v>
      </c>
      <c r="H951" t="s">
        <v>1889</v>
      </c>
      <c r="I951" t="str">
        <f t="shared" si="156"/>
        <v>Mr. Lang Fang</v>
      </c>
      <c r="J951" t="s">
        <v>20</v>
      </c>
      <c r="K951" t="str">
        <f t="shared" si="157"/>
        <v>Male</v>
      </c>
      <c r="L951">
        <v>26</v>
      </c>
      <c r="O951">
        <f t="shared" si="158"/>
        <v>26</v>
      </c>
      <c r="P951">
        <v>0</v>
      </c>
      <c r="R951" s="4">
        <v>0</v>
      </c>
      <c r="T951" s="5">
        <v>56.495800000000003</v>
      </c>
      <c r="W951" s="4">
        <v>26</v>
      </c>
      <c r="X951" s="4" t="str">
        <f t="shared" si="159"/>
        <v>Young Adult</v>
      </c>
      <c r="Y951" s="4" t="s">
        <v>3561</v>
      </c>
      <c r="AB951" s="4" t="str">
        <f t="shared" si="160"/>
        <v/>
      </c>
      <c r="AC951" s="4" t="str">
        <f t="shared" si="161"/>
        <v>Unknown</v>
      </c>
      <c r="AD951" s="4" t="s">
        <v>457</v>
      </c>
      <c r="AF951" s="4">
        <v>14</v>
      </c>
      <c r="AG951" s="4">
        <f t="shared" si="162"/>
        <v>14</v>
      </c>
      <c r="AK951" s="4" t="s">
        <v>3573</v>
      </c>
      <c r="AL951" s="4" t="str">
        <f t="shared" si="163"/>
        <v>Found</v>
      </c>
      <c r="AN951" s="6">
        <v>56.495800000000003</v>
      </c>
      <c r="AO951" s="4" t="str">
        <f t="shared" si="164"/>
        <v>High</v>
      </c>
    </row>
    <row r="952" spans="1:41">
      <c r="A952">
        <v>3</v>
      </c>
      <c r="B952" t="str">
        <f t="shared" si="154"/>
        <v>Third Class</v>
      </c>
      <c r="C952">
        <v>0</v>
      </c>
      <c r="E952" t="str">
        <f t="shared" si="155"/>
        <v>Died</v>
      </c>
      <c r="F952" t="s">
        <v>1890</v>
      </c>
      <c r="G952" t="s">
        <v>848</v>
      </c>
      <c r="H952" t="s">
        <v>1434</v>
      </c>
      <c r="I952" t="str">
        <f t="shared" si="156"/>
        <v>Mr. Larsson August</v>
      </c>
      <c r="J952" t="s">
        <v>20</v>
      </c>
      <c r="K952" t="str">
        <f t="shared" si="157"/>
        <v>Male</v>
      </c>
      <c r="L952">
        <v>29</v>
      </c>
      <c r="O952">
        <f t="shared" si="158"/>
        <v>29</v>
      </c>
      <c r="P952">
        <v>0</v>
      </c>
      <c r="R952" s="4">
        <v>0</v>
      </c>
      <c r="T952" s="5">
        <v>9.4832999999999998</v>
      </c>
      <c r="W952" s="4">
        <v>29</v>
      </c>
      <c r="X952" s="4" t="str">
        <f t="shared" si="159"/>
        <v>Young Adult</v>
      </c>
      <c r="Y952" s="4" t="s">
        <v>3561</v>
      </c>
      <c r="AB952" s="4" t="str">
        <f t="shared" si="160"/>
        <v/>
      </c>
      <c r="AC952" s="4" t="str">
        <f t="shared" si="161"/>
        <v>Unknown</v>
      </c>
      <c r="AD952" s="4" t="s">
        <v>457</v>
      </c>
      <c r="AG952" s="4" t="str">
        <f t="shared" si="162"/>
        <v>Not Applicable</v>
      </c>
      <c r="AK952" s="4" t="s">
        <v>3573</v>
      </c>
      <c r="AL952" s="4" t="str">
        <f t="shared" si="163"/>
        <v>Found</v>
      </c>
      <c r="AN952" s="6">
        <v>9.4832999999999998</v>
      </c>
      <c r="AO952" s="4" t="str">
        <f t="shared" si="164"/>
        <v>Low</v>
      </c>
    </row>
    <row r="953" spans="1:41">
      <c r="A953">
        <v>3</v>
      </c>
      <c r="B953" t="str">
        <f t="shared" si="154"/>
        <v>Third Class</v>
      </c>
      <c r="C953">
        <v>0</v>
      </c>
      <c r="E953" t="str">
        <f t="shared" si="155"/>
        <v>Died</v>
      </c>
      <c r="F953" t="s">
        <v>1890</v>
      </c>
      <c r="G953" t="s">
        <v>848</v>
      </c>
      <c r="H953" t="s">
        <v>1891</v>
      </c>
      <c r="I953" t="str">
        <f t="shared" si="156"/>
        <v>Mr. Larsson Bengt</v>
      </c>
      <c r="J953" t="s">
        <v>20</v>
      </c>
      <c r="K953" t="str">
        <f t="shared" si="157"/>
        <v>Male</v>
      </c>
      <c r="L953">
        <v>29</v>
      </c>
      <c r="O953">
        <f t="shared" si="158"/>
        <v>29</v>
      </c>
      <c r="P953">
        <v>0</v>
      </c>
      <c r="R953" s="4">
        <v>0</v>
      </c>
      <c r="T953" s="5">
        <v>7.7750000000000004</v>
      </c>
      <c r="W953" s="4">
        <v>29</v>
      </c>
      <c r="X953" s="4" t="str">
        <f t="shared" si="159"/>
        <v>Young Adult</v>
      </c>
      <c r="Y953" s="4" t="s">
        <v>3561</v>
      </c>
      <c r="AB953" s="4" t="str">
        <f t="shared" si="160"/>
        <v/>
      </c>
      <c r="AC953" s="4" t="str">
        <f t="shared" si="161"/>
        <v>Unknown</v>
      </c>
      <c r="AD953" s="4" t="s">
        <v>457</v>
      </c>
      <c r="AG953" s="4" t="str">
        <f t="shared" si="162"/>
        <v>Not Applicable</v>
      </c>
      <c r="AK953" s="4" t="s">
        <v>3573</v>
      </c>
      <c r="AL953" s="4" t="str">
        <f t="shared" si="163"/>
        <v>Found</v>
      </c>
      <c r="AN953" s="6">
        <v>7.7750000000000004</v>
      </c>
      <c r="AO953" s="4" t="str">
        <f t="shared" si="164"/>
        <v>Low</v>
      </c>
    </row>
    <row r="954" spans="1:41">
      <c r="A954">
        <v>3</v>
      </c>
      <c r="B954" t="str">
        <f t="shared" si="154"/>
        <v>Third Class</v>
      </c>
      <c r="C954">
        <v>0</v>
      </c>
      <c r="E954" t="str">
        <f t="shared" si="155"/>
        <v>Died</v>
      </c>
      <c r="F954" t="s">
        <v>1892</v>
      </c>
      <c r="G954" t="s">
        <v>848</v>
      </c>
      <c r="H954" t="s">
        <v>1571</v>
      </c>
      <c r="I954" t="str">
        <f t="shared" si="156"/>
        <v>Mr. Larsson-Rondberg Edvard</v>
      </c>
      <c r="J954" t="s">
        <v>20</v>
      </c>
      <c r="K954" t="str">
        <f t="shared" si="157"/>
        <v>Male</v>
      </c>
      <c r="L954">
        <v>22</v>
      </c>
      <c r="O954">
        <f t="shared" si="158"/>
        <v>22</v>
      </c>
      <c r="P954">
        <v>0</v>
      </c>
      <c r="R954" s="4">
        <v>0</v>
      </c>
      <c r="T954" s="5">
        <v>7.7750000000000004</v>
      </c>
      <c r="W954" s="4">
        <v>22</v>
      </c>
      <c r="X954" s="4" t="str">
        <f t="shared" si="159"/>
        <v>Young Adult</v>
      </c>
      <c r="Y954" s="4" t="s">
        <v>3561</v>
      </c>
      <c r="AB954" s="4" t="str">
        <f t="shared" si="160"/>
        <v/>
      </c>
      <c r="AC954" s="4" t="str">
        <f t="shared" si="161"/>
        <v>Unknown</v>
      </c>
      <c r="AD954" s="4" t="s">
        <v>457</v>
      </c>
      <c r="AG954" s="4" t="str">
        <f t="shared" si="162"/>
        <v>Not Applicable</v>
      </c>
      <c r="AK954" s="4" t="s">
        <v>3573</v>
      </c>
      <c r="AL954" s="4" t="str">
        <f t="shared" si="163"/>
        <v>Found</v>
      </c>
      <c r="AN954" s="6">
        <v>7.7750000000000004</v>
      </c>
      <c r="AO954" s="4" t="str">
        <f t="shared" si="164"/>
        <v>Low</v>
      </c>
    </row>
    <row r="955" spans="1:41">
      <c r="A955">
        <v>3</v>
      </c>
      <c r="B955" t="str">
        <f t="shared" si="154"/>
        <v>Third Class</v>
      </c>
      <c r="C955">
        <v>1</v>
      </c>
      <c r="E955" t="str">
        <f t="shared" si="155"/>
        <v>Survived</v>
      </c>
      <c r="F955" t="s">
        <v>1893</v>
      </c>
      <c r="G955" t="s">
        <v>848</v>
      </c>
      <c r="H955" t="s">
        <v>1894</v>
      </c>
      <c r="I955" t="str">
        <f t="shared" si="156"/>
        <v>Mr. Leeni Fahim</v>
      </c>
      <c r="J955" t="s">
        <v>20</v>
      </c>
      <c r="K955" t="str">
        <f t="shared" si="157"/>
        <v>Male</v>
      </c>
      <c r="L955">
        <v>22</v>
      </c>
      <c r="O955">
        <f t="shared" si="158"/>
        <v>22</v>
      </c>
      <c r="P955">
        <v>0</v>
      </c>
      <c r="R955" s="4">
        <v>0</v>
      </c>
      <c r="T955" s="5">
        <v>7.2249999999999996</v>
      </c>
      <c r="W955" s="4">
        <v>22</v>
      </c>
      <c r="X955" s="4" t="str">
        <f t="shared" si="159"/>
        <v>Young Adult</v>
      </c>
      <c r="Y955" s="4" t="s">
        <v>3561</v>
      </c>
      <c r="AB955" s="4" t="str">
        <f t="shared" si="160"/>
        <v/>
      </c>
      <c r="AC955" s="4" t="str">
        <f t="shared" si="161"/>
        <v>Unknown</v>
      </c>
      <c r="AD955" s="4" t="s">
        <v>3566</v>
      </c>
      <c r="AF955" s="4">
        <v>6</v>
      </c>
      <c r="AG955" s="4">
        <f t="shared" si="162"/>
        <v>6</v>
      </c>
      <c r="AK955" s="4" t="s">
        <v>3573</v>
      </c>
      <c r="AL955" s="4" t="str">
        <f t="shared" si="163"/>
        <v>Found</v>
      </c>
      <c r="AN955" s="6">
        <v>7.2249999999999996</v>
      </c>
      <c r="AO955" s="4" t="str">
        <f t="shared" si="164"/>
        <v>Low</v>
      </c>
    </row>
    <row r="956" spans="1:41">
      <c r="A956">
        <v>3</v>
      </c>
      <c r="B956" t="str">
        <f t="shared" si="154"/>
        <v>Third Class</v>
      </c>
      <c r="C956">
        <v>0</v>
      </c>
      <c r="E956" t="str">
        <f t="shared" si="155"/>
        <v>Died</v>
      </c>
      <c r="F956" t="s">
        <v>1895</v>
      </c>
      <c r="G956" t="s">
        <v>845</v>
      </c>
      <c r="H956" t="s">
        <v>872</v>
      </c>
      <c r="I956" t="str">
        <f t="shared" si="156"/>
        <v>Master. Lefebre Henry</v>
      </c>
      <c r="J956" t="s">
        <v>20</v>
      </c>
      <c r="K956" t="str">
        <f t="shared" si="157"/>
        <v>Male</v>
      </c>
      <c r="L956">
        <v>28</v>
      </c>
      <c r="O956">
        <f t="shared" si="158"/>
        <v>28</v>
      </c>
      <c r="P956">
        <v>3</v>
      </c>
      <c r="R956" s="4">
        <v>1</v>
      </c>
      <c r="T956" s="5">
        <v>25.466699999999999</v>
      </c>
      <c r="W956" s="4">
        <v>28</v>
      </c>
      <c r="X956" s="4" t="str">
        <f t="shared" si="159"/>
        <v>Young Adult</v>
      </c>
      <c r="Y956" s="4" t="s">
        <v>3561</v>
      </c>
      <c r="AB956" s="4" t="str">
        <f t="shared" si="160"/>
        <v/>
      </c>
      <c r="AC956" s="4" t="str">
        <f t="shared" si="161"/>
        <v>Unknown</v>
      </c>
      <c r="AD956" s="4" t="s">
        <v>457</v>
      </c>
      <c r="AG956" s="4" t="str">
        <f t="shared" si="162"/>
        <v>Not Applicable</v>
      </c>
      <c r="AK956" s="4" t="s">
        <v>3573</v>
      </c>
      <c r="AL956" s="4" t="str">
        <f t="shared" si="163"/>
        <v>Found</v>
      </c>
      <c r="AN956" s="6">
        <v>25.466699999999999</v>
      </c>
      <c r="AO956" s="4" t="str">
        <f t="shared" si="164"/>
        <v>Mid</v>
      </c>
    </row>
    <row r="957" spans="1:41">
      <c r="A957">
        <v>3</v>
      </c>
      <c r="B957" t="str">
        <f t="shared" si="154"/>
        <v>Third Class</v>
      </c>
      <c r="C957">
        <v>0</v>
      </c>
      <c r="E957" t="str">
        <f t="shared" si="155"/>
        <v>Died</v>
      </c>
      <c r="F957" t="s">
        <v>1895</v>
      </c>
      <c r="G957" t="s">
        <v>842</v>
      </c>
      <c r="H957" t="s">
        <v>1229</v>
      </c>
      <c r="I957" t="str">
        <f t="shared" si="156"/>
        <v>Miss. Lefebre Ida</v>
      </c>
      <c r="J957" t="s">
        <v>47</v>
      </c>
      <c r="K957" t="str">
        <f t="shared" si="157"/>
        <v>Female</v>
      </c>
      <c r="L957">
        <v>28</v>
      </c>
      <c r="O957">
        <f t="shared" si="158"/>
        <v>28</v>
      </c>
      <c r="P957">
        <v>3</v>
      </c>
      <c r="R957" s="4">
        <v>1</v>
      </c>
      <c r="T957" s="5">
        <v>25.466699999999999</v>
      </c>
      <c r="W957" s="4">
        <v>28</v>
      </c>
      <c r="X957" s="4" t="str">
        <f t="shared" si="159"/>
        <v>Young Adult</v>
      </c>
      <c r="Y957" s="4" t="s">
        <v>3561</v>
      </c>
      <c r="AB957" s="4" t="str">
        <f t="shared" si="160"/>
        <v/>
      </c>
      <c r="AC957" s="4" t="str">
        <f t="shared" si="161"/>
        <v>Unknown</v>
      </c>
      <c r="AD957" s="4" t="s">
        <v>457</v>
      </c>
      <c r="AG957" s="4" t="str">
        <f t="shared" si="162"/>
        <v>Not Applicable</v>
      </c>
      <c r="AK957" s="4" t="s">
        <v>3573</v>
      </c>
      <c r="AL957" s="4" t="str">
        <f t="shared" si="163"/>
        <v>Found</v>
      </c>
      <c r="AN957" s="6">
        <v>25.466699999999999</v>
      </c>
      <c r="AO957" s="4" t="str">
        <f t="shared" si="164"/>
        <v>Mid</v>
      </c>
    </row>
    <row r="958" spans="1:41">
      <c r="A958">
        <v>3</v>
      </c>
      <c r="B958" t="str">
        <f t="shared" si="154"/>
        <v>Third Class</v>
      </c>
      <c r="C958">
        <v>0</v>
      </c>
      <c r="E958" t="str">
        <f t="shared" si="155"/>
        <v>Died</v>
      </c>
      <c r="F958" t="s">
        <v>1895</v>
      </c>
      <c r="G958" t="s">
        <v>842</v>
      </c>
      <c r="H958" t="s">
        <v>1653</v>
      </c>
      <c r="I958" t="str">
        <f t="shared" si="156"/>
        <v>Miss. Lefebre Jeannie</v>
      </c>
      <c r="J958" t="s">
        <v>47</v>
      </c>
      <c r="K958" t="str">
        <f t="shared" si="157"/>
        <v>Female</v>
      </c>
      <c r="L958">
        <v>28</v>
      </c>
      <c r="O958">
        <f t="shared" si="158"/>
        <v>28</v>
      </c>
      <c r="P958">
        <v>3</v>
      </c>
      <c r="R958" s="4">
        <v>1</v>
      </c>
      <c r="T958" s="5">
        <v>25.466699999999999</v>
      </c>
      <c r="W958" s="4">
        <v>28</v>
      </c>
      <c r="X958" s="4" t="str">
        <f t="shared" si="159"/>
        <v>Young Adult</v>
      </c>
      <c r="Y958" s="4" t="s">
        <v>3561</v>
      </c>
      <c r="AB958" s="4" t="str">
        <f t="shared" si="160"/>
        <v/>
      </c>
      <c r="AC958" s="4" t="str">
        <f t="shared" si="161"/>
        <v>Unknown</v>
      </c>
      <c r="AD958" s="4" t="s">
        <v>457</v>
      </c>
      <c r="AG958" s="4" t="str">
        <f t="shared" si="162"/>
        <v>Not Applicable</v>
      </c>
      <c r="AK958" s="4" t="s">
        <v>3573</v>
      </c>
      <c r="AL958" s="4" t="str">
        <f t="shared" si="163"/>
        <v>Found</v>
      </c>
      <c r="AN958" s="6">
        <v>25.466699999999999</v>
      </c>
      <c r="AO958" s="4" t="str">
        <f t="shared" si="164"/>
        <v>Mid</v>
      </c>
    </row>
    <row r="959" spans="1:41">
      <c r="A959">
        <v>3</v>
      </c>
      <c r="B959" t="str">
        <f t="shared" si="154"/>
        <v>Third Class</v>
      </c>
      <c r="C959">
        <v>0</v>
      </c>
      <c r="E959" t="str">
        <f t="shared" si="155"/>
        <v>Died</v>
      </c>
      <c r="F959" t="s">
        <v>1895</v>
      </c>
      <c r="G959" t="s">
        <v>842</v>
      </c>
      <c r="H959" t="s">
        <v>1896</v>
      </c>
      <c r="I959" t="str">
        <f t="shared" si="156"/>
        <v>Miss. Lefebre Mathilde</v>
      </c>
      <c r="J959" t="s">
        <v>47</v>
      </c>
      <c r="K959" t="str">
        <f t="shared" si="157"/>
        <v>Female</v>
      </c>
      <c r="L959">
        <v>28</v>
      </c>
      <c r="O959">
        <f t="shared" si="158"/>
        <v>28</v>
      </c>
      <c r="P959">
        <v>3</v>
      </c>
      <c r="R959" s="4">
        <v>1</v>
      </c>
      <c r="T959" s="5">
        <v>25.466699999999999</v>
      </c>
      <c r="W959" s="4">
        <v>28</v>
      </c>
      <c r="X959" s="4" t="str">
        <f t="shared" si="159"/>
        <v>Young Adult</v>
      </c>
      <c r="Y959" s="4" t="s">
        <v>3561</v>
      </c>
      <c r="AB959" s="4" t="str">
        <f t="shared" si="160"/>
        <v/>
      </c>
      <c r="AC959" s="4" t="str">
        <f t="shared" si="161"/>
        <v>Unknown</v>
      </c>
      <c r="AD959" s="4" t="s">
        <v>457</v>
      </c>
      <c r="AG959" s="4" t="str">
        <f t="shared" si="162"/>
        <v>Not Applicable</v>
      </c>
      <c r="AK959" s="4" t="s">
        <v>3573</v>
      </c>
      <c r="AL959" s="4" t="str">
        <f t="shared" si="163"/>
        <v>Found</v>
      </c>
      <c r="AN959" s="6">
        <v>25.466699999999999</v>
      </c>
      <c r="AO959" s="4" t="str">
        <f t="shared" si="164"/>
        <v>Mid</v>
      </c>
    </row>
    <row r="960" spans="1:41">
      <c r="A960">
        <v>3</v>
      </c>
      <c r="B960" t="str">
        <f t="shared" si="154"/>
        <v>Third Class</v>
      </c>
      <c r="C960">
        <v>0</v>
      </c>
      <c r="E960" t="str">
        <f t="shared" si="155"/>
        <v>Died</v>
      </c>
      <c r="F960" t="s">
        <v>1895</v>
      </c>
      <c r="G960" t="s">
        <v>849</v>
      </c>
      <c r="H960" t="s">
        <v>1249</v>
      </c>
      <c r="I960" t="str">
        <f t="shared" si="156"/>
        <v>Mrs. Lefebre Frank</v>
      </c>
      <c r="J960" t="s">
        <v>47</v>
      </c>
      <c r="K960" t="str">
        <f t="shared" si="157"/>
        <v>Female</v>
      </c>
      <c r="L960">
        <v>28</v>
      </c>
      <c r="O960">
        <f t="shared" si="158"/>
        <v>28</v>
      </c>
      <c r="P960">
        <v>0</v>
      </c>
      <c r="R960" s="4">
        <v>4</v>
      </c>
      <c r="T960" s="5">
        <v>25.466699999999999</v>
      </c>
      <c r="W960" s="4">
        <v>28</v>
      </c>
      <c r="X960" s="4" t="str">
        <f t="shared" si="159"/>
        <v>Young Adult</v>
      </c>
      <c r="Y960" s="4" t="s">
        <v>3561</v>
      </c>
      <c r="AB960" s="4" t="str">
        <f t="shared" si="160"/>
        <v/>
      </c>
      <c r="AC960" s="4" t="str">
        <f t="shared" si="161"/>
        <v>Unknown</v>
      </c>
      <c r="AD960" s="4" t="s">
        <v>457</v>
      </c>
      <c r="AG960" s="4" t="str">
        <f t="shared" si="162"/>
        <v>Not Applicable</v>
      </c>
      <c r="AK960" s="4" t="s">
        <v>3573</v>
      </c>
      <c r="AL960" s="4" t="str">
        <f t="shared" si="163"/>
        <v>Found</v>
      </c>
      <c r="AN960" s="6">
        <v>25.466699999999999</v>
      </c>
      <c r="AO960" s="4" t="str">
        <f t="shared" si="164"/>
        <v>Mid</v>
      </c>
    </row>
    <row r="961" spans="1:41">
      <c r="A961">
        <v>3</v>
      </c>
      <c r="B961" t="str">
        <f t="shared" si="154"/>
        <v>Third Class</v>
      </c>
      <c r="C961">
        <v>0</v>
      </c>
      <c r="E961" t="str">
        <f t="shared" si="155"/>
        <v>Died</v>
      </c>
      <c r="F961" t="s">
        <v>1897</v>
      </c>
      <c r="G961" t="s">
        <v>848</v>
      </c>
      <c r="H961" t="s">
        <v>1898</v>
      </c>
      <c r="I961" t="str">
        <f t="shared" si="156"/>
        <v>Mr. Leinonen Antti</v>
      </c>
      <c r="J961" t="s">
        <v>20</v>
      </c>
      <c r="K961" t="str">
        <f t="shared" si="157"/>
        <v>Male</v>
      </c>
      <c r="L961">
        <v>32</v>
      </c>
      <c r="O961">
        <f t="shared" si="158"/>
        <v>32</v>
      </c>
      <c r="P961">
        <v>0</v>
      </c>
      <c r="R961" s="4">
        <v>0</v>
      </c>
      <c r="T961" s="5">
        <v>7.9249999999999998</v>
      </c>
      <c r="W961" s="4">
        <v>32</v>
      </c>
      <c r="X961" s="4" t="str">
        <f t="shared" si="159"/>
        <v>Adult</v>
      </c>
      <c r="Y961" s="4" t="s">
        <v>3561</v>
      </c>
      <c r="AB961" s="4" t="str">
        <f t="shared" si="160"/>
        <v/>
      </c>
      <c r="AC961" s="4" t="str">
        <f t="shared" si="161"/>
        <v>Unknown</v>
      </c>
      <c r="AD961" s="4" t="s">
        <v>457</v>
      </c>
      <c r="AG961" s="4" t="str">
        <f t="shared" si="162"/>
        <v>Not Applicable</v>
      </c>
      <c r="AK961" s="4" t="s">
        <v>3573</v>
      </c>
      <c r="AL961" s="4" t="str">
        <f t="shared" si="163"/>
        <v>Found</v>
      </c>
      <c r="AN961" s="6">
        <v>7.9249999999999998</v>
      </c>
      <c r="AO961" s="4" t="str">
        <f t="shared" si="164"/>
        <v>Low</v>
      </c>
    </row>
    <row r="962" spans="1:41">
      <c r="A962">
        <v>3</v>
      </c>
      <c r="B962" t="str">
        <f t="shared" si="154"/>
        <v>Third Class</v>
      </c>
      <c r="C962">
        <v>0</v>
      </c>
      <c r="E962" t="str">
        <f t="shared" si="155"/>
        <v>Died</v>
      </c>
      <c r="F962" t="s">
        <v>1899</v>
      </c>
      <c r="G962" t="s">
        <v>848</v>
      </c>
      <c r="H962" t="s">
        <v>987</v>
      </c>
      <c r="I962" t="str">
        <f t="shared" si="156"/>
        <v>Mr. Lemberopolous Peter</v>
      </c>
      <c r="J962" t="s">
        <v>20</v>
      </c>
      <c r="K962" t="str">
        <f t="shared" si="157"/>
        <v>Male</v>
      </c>
      <c r="L962">
        <v>34.5</v>
      </c>
      <c r="O962">
        <f t="shared" si="158"/>
        <v>35</v>
      </c>
      <c r="P962">
        <v>0</v>
      </c>
      <c r="R962" s="4">
        <v>0</v>
      </c>
      <c r="T962" s="5">
        <v>6.4375</v>
      </c>
      <c r="W962" s="4">
        <v>35</v>
      </c>
      <c r="X962" s="4" t="str">
        <f t="shared" si="159"/>
        <v>Adult</v>
      </c>
      <c r="Y962" s="4" t="s">
        <v>3561</v>
      </c>
      <c r="AB962" s="4" t="str">
        <f t="shared" si="160"/>
        <v/>
      </c>
      <c r="AC962" s="4" t="str">
        <f t="shared" si="161"/>
        <v>Unknown</v>
      </c>
      <c r="AD962" s="4" t="s">
        <v>3566</v>
      </c>
      <c r="AG962" s="4" t="str">
        <f t="shared" si="162"/>
        <v>Not Applicable</v>
      </c>
      <c r="AH962" s="4">
        <v>196</v>
      </c>
      <c r="AK962" s="4">
        <v>196</v>
      </c>
      <c r="AL962" s="4" t="str">
        <f t="shared" si="163"/>
        <v>Found</v>
      </c>
      <c r="AN962" s="6">
        <v>6.4375</v>
      </c>
      <c r="AO962" s="4" t="str">
        <f t="shared" si="164"/>
        <v>Low</v>
      </c>
    </row>
    <row r="963" spans="1:41">
      <c r="A963">
        <v>3</v>
      </c>
      <c r="B963" t="str">
        <f t="shared" ref="B963:B1026" si="165">IF(A963=1,"First Class",IF(A963=2,"Second Class",IF(A963=3,"Third Class"," ")))</f>
        <v>Third Class</v>
      </c>
      <c r="C963">
        <v>0</v>
      </c>
      <c r="E963" t="str">
        <f t="shared" ref="E963:E1026" si="166">IF(C963=1,"Survived",IF(C963=0,"Died"))</f>
        <v>Died</v>
      </c>
      <c r="F963" t="s">
        <v>1900</v>
      </c>
      <c r="G963" t="s">
        <v>842</v>
      </c>
      <c r="H963" t="s">
        <v>1107</v>
      </c>
      <c r="I963" t="str">
        <f t="shared" ref="I963:I1026" si="167">_xlfn.CONCAT(G963," ",F963," ",H963)</f>
        <v>Miss. Lennon Mary</v>
      </c>
      <c r="J963" t="s">
        <v>47</v>
      </c>
      <c r="K963" t="str">
        <f t="shared" ref="K963:K1026" si="168">PROPER(J963)</f>
        <v>Female</v>
      </c>
      <c r="L963">
        <v>28</v>
      </c>
      <c r="O963">
        <f t="shared" ref="O963:O1026" si="169">IF(L963&lt;1,1,ROUND(L963,0))</f>
        <v>28</v>
      </c>
      <c r="P963">
        <v>1</v>
      </c>
      <c r="R963" s="4">
        <v>0</v>
      </c>
      <c r="T963" s="5">
        <v>15.5</v>
      </c>
      <c r="W963" s="4">
        <v>28</v>
      </c>
      <c r="X963" s="4" t="str">
        <f t="shared" ref="X963:X1026" si="170">IF(W963&lt;10,"Child",IF(W963&lt;18,"Teenager",IF(W963&lt;30,"Young Adult",IF(W963&lt;60,"Adult","Old Adult"))))</f>
        <v>Young Adult</v>
      </c>
      <c r="Y963" s="4" t="s">
        <v>3561</v>
      </c>
      <c r="AB963" s="4" t="str">
        <f t="shared" ref="AB963:AB1026" si="171">LEFT(AA963,1)</f>
        <v/>
      </c>
      <c r="AC963" s="4" t="str">
        <f t="shared" ref="AC963:AC1026" si="172">IF(AB963="","Unknown",LEFT(AB963,1))</f>
        <v>Unknown</v>
      </c>
      <c r="AD963" s="4" t="s">
        <v>3567</v>
      </c>
      <c r="AG963" s="4" t="str">
        <f t="shared" ref="AG963:AG1026" si="173">IF(AF963="",IF(E963=1,"Unknown","Not Applicable"),AF963)</f>
        <v>Not Applicable</v>
      </c>
      <c r="AK963" s="4" t="s">
        <v>3573</v>
      </c>
      <c r="AL963" s="4" t="str">
        <f t="shared" ref="AL963:AL1026" si="174">IF(AK963="","Not Found","Found")</f>
        <v>Found</v>
      </c>
      <c r="AN963" s="6">
        <v>15.5</v>
      </c>
      <c r="AO963" s="4" t="str">
        <f t="shared" ref="AO963:AO1026" si="175">IF(AN963&lt;=10,"Low",IF(AN963&lt;=50,"Mid","High"))</f>
        <v>Mid</v>
      </c>
    </row>
    <row r="964" spans="1:41">
      <c r="A964">
        <v>3</v>
      </c>
      <c r="B964" t="str">
        <f t="shared" si="165"/>
        <v>Third Class</v>
      </c>
      <c r="C964">
        <v>0</v>
      </c>
      <c r="E964" t="str">
        <f t="shared" si="166"/>
        <v>Died</v>
      </c>
      <c r="F964" t="s">
        <v>1900</v>
      </c>
      <c r="G964" t="s">
        <v>848</v>
      </c>
      <c r="H964" t="s">
        <v>988</v>
      </c>
      <c r="I964" t="str">
        <f t="shared" si="167"/>
        <v>Mr. Lennon Denis</v>
      </c>
      <c r="J964" t="s">
        <v>20</v>
      </c>
      <c r="K964" t="str">
        <f t="shared" si="168"/>
        <v>Male</v>
      </c>
      <c r="L964">
        <v>28</v>
      </c>
      <c r="O964">
        <f t="shared" si="169"/>
        <v>28</v>
      </c>
      <c r="P964">
        <v>1</v>
      </c>
      <c r="R964" s="4">
        <v>0</v>
      </c>
      <c r="T964" s="5">
        <v>15.5</v>
      </c>
      <c r="W964" s="4">
        <v>28</v>
      </c>
      <c r="X964" s="4" t="str">
        <f t="shared" si="170"/>
        <v>Young Adult</v>
      </c>
      <c r="Y964" s="4" t="s">
        <v>3561</v>
      </c>
      <c r="AB964" s="4" t="str">
        <f t="shared" si="171"/>
        <v/>
      </c>
      <c r="AC964" s="4" t="str">
        <f t="shared" si="172"/>
        <v>Unknown</v>
      </c>
      <c r="AD964" s="4" t="s">
        <v>3567</v>
      </c>
      <c r="AG964" s="4" t="str">
        <f t="shared" si="173"/>
        <v>Not Applicable</v>
      </c>
      <c r="AK964" s="4" t="s">
        <v>3573</v>
      </c>
      <c r="AL964" s="4" t="str">
        <f t="shared" si="174"/>
        <v>Found</v>
      </c>
      <c r="AN964" s="6">
        <v>15.5</v>
      </c>
      <c r="AO964" s="4" t="str">
        <f t="shared" si="175"/>
        <v>Mid</v>
      </c>
    </row>
    <row r="965" spans="1:41">
      <c r="A965">
        <v>3</v>
      </c>
      <c r="B965" t="str">
        <f t="shared" si="165"/>
        <v>Third Class</v>
      </c>
      <c r="C965">
        <v>0</v>
      </c>
      <c r="E965" t="str">
        <f t="shared" si="166"/>
        <v>Died</v>
      </c>
      <c r="F965" t="s">
        <v>885</v>
      </c>
      <c r="G965" t="s">
        <v>848</v>
      </c>
      <c r="H965" t="s">
        <v>1901</v>
      </c>
      <c r="I965" t="str">
        <f t="shared" si="167"/>
        <v>Mr. Leonard Lionel</v>
      </c>
      <c r="J965" t="s">
        <v>20</v>
      </c>
      <c r="K965" t="str">
        <f t="shared" si="168"/>
        <v>Male</v>
      </c>
      <c r="L965">
        <v>36</v>
      </c>
      <c r="O965">
        <f t="shared" si="169"/>
        <v>36</v>
      </c>
      <c r="P965">
        <v>0</v>
      </c>
      <c r="R965" s="4">
        <v>0</v>
      </c>
      <c r="T965" s="5">
        <v>0</v>
      </c>
      <c r="W965" s="4">
        <v>36</v>
      </c>
      <c r="X965" s="4" t="str">
        <f t="shared" si="170"/>
        <v>Adult</v>
      </c>
      <c r="Y965" s="4" t="s">
        <v>3561</v>
      </c>
      <c r="AB965" s="4" t="str">
        <f t="shared" si="171"/>
        <v/>
      </c>
      <c r="AC965" s="4" t="str">
        <f t="shared" si="172"/>
        <v>Unknown</v>
      </c>
      <c r="AD965" s="4" t="s">
        <v>457</v>
      </c>
      <c r="AG965" s="4" t="str">
        <f t="shared" si="173"/>
        <v>Not Applicable</v>
      </c>
      <c r="AK965" s="4" t="s">
        <v>3573</v>
      </c>
      <c r="AL965" s="4" t="str">
        <f t="shared" si="174"/>
        <v>Found</v>
      </c>
      <c r="AN965" s="6">
        <v>0</v>
      </c>
      <c r="AO965" s="4" t="str">
        <f t="shared" si="175"/>
        <v>Low</v>
      </c>
    </row>
    <row r="966" spans="1:41">
      <c r="A966">
        <v>3</v>
      </c>
      <c r="B966" t="str">
        <f t="shared" si="165"/>
        <v>Third Class</v>
      </c>
      <c r="C966">
        <v>0</v>
      </c>
      <c r="E966" t="str">
        <f t="shared" si="166"/>
        <v>Died</v>
      </c>
      <c r="F966" t="s">
        <v>1525</v>
      </c>
      <c r="G966" t="s">
        <v>848</v>
      </c>
      <c r="H966" t="s">
        <v>878</v>
      </c>
      <c r="I966" t="str">
        <f t="shared" si="167"/>
        <v>Mr. Lester James</v>
      </c>
      <c r="J966" t="s">
        <v>20</v>
      </c>
      <c r="K966" t="str">
        <f t="shared" si="168"/>
        <v>Male</v>
      </c>
      <c r="L966">
        <v>39</v>
      </c>
      <c r="O966">
        <f t="shared" si="169"/>
        <v>39</v>
      </c>
      <c r="P966">
        <v>0</v>
      </c>
      <c r="R966" s="4">
        <v>0</v>
      </c>
      <c r="T966" s="5">
        <v>24.15</v>
      </c>
      <c r="W966" s="4">
        <v>39</v>
      </c>
      <c r="X966" s="4" t="str">
        <f t="shared" si="170"/>
        <v>Adult</v>
      </c>
      <c r="Y966" s="4" t="s">
        <v>3561</v>
      </c>
      <c r="AB966" s="4" t="str">
        <f t="shared" si="171"/>
        <v/>
      </c>
      <c r="AC966" s="4" t="str">
        <f t="shared" si="172"/>
        <v>Unknown</v>
      </c>
      <c r="AD966" s="4" t="s">
        <v>457</v>
      </c>
      <c r="AG966" s="4" t="str">
        <f t="shared" si="173"/>
        <v>Not Applicable</v>
      </c>
      <c r="AK966" s="4" t="s">
        <v>3573</v>
      </c>
      <c r="AL966" s="4" t="str">
        <f t="shared" si="174"/>
        <v>Found</v>
      </c>
      <c r="AN966" s="6">
        <v>24.15</v>
      </c>
      <c r="AO966" s="4" t="str">
        <f t="shared" si="175"/>
        <v>Mid</v>
      </c>
    </row>
    <row r="967" spans="1:41">
      <c r="A967">
        <v>3</v>
      </c>
      <c r="B967" t="str">
        <f t="shared" si="165"/>
        <v>Third Class</v>
      </c>
      <c r="C967">
        <v>0</v>
      </c>
      <c r="E967" t="str">
        <f t="shared" si="166"/>
        <v>Died</v>
      </c>
      <c r="F967" t="s">
        <v>1902</v>
      </c>
      <c r="G967" t="s">
        <v>848</v>
      </c>
      <c r="H967" t="s">
        <v>1414</v>
      </c>
      <c r="I967" t="str">
        <f t="shared" si="167"/>
        <v>Mr. Lievens Rene</v>
      </c>
      <c r="J967" t="s">
        <v>20</v>
      </c>
      <c r="K967" t="str">
        <f t="shared" si="168"/>
        <v>Male</v>
      </c>
      <c r="L967">
        <v>24</v>
      </c>
      <c r="O967">
        <f t="shared" si="169"/>
        <v>24</v>
      </c>
      <c r="P967">
        <v>0</v>
      </c>
      <c r="R967" s="4">
        <v>0</v>
      </c>
      <c r="T967" s="5">
        <v>9.5</v>
      </c>
      <c r="W967" s="4">
        <v>24</v>
      </c>
      <c r="X967" s="4" t="str">
        <f t="shared" si="170"/>
        <v>Young Adult</v>
      </c>
      <c r="Y967" s="4" t="s">
        <v>3561</v>
      </c>
      <c r="AB967" s="4" t="str">
        <f t="shared" si="171"/>
        <v/>
      </c>
      <c r="AC967" s="4" t="str">
        <f t="shared" si="172"/>
        <v>Unknown</v>
      </c>
      <c r="AD967" s="4" t="s">
        <v>457</v>
      </c>
      <c r="AG967" s="4" t="str">
        <f t="shared" si="173"/>
        <v>Not Applicable</v>
      </c>
      <c r="AK967" s="4" t="s">
        <v>3573</v>
      </c>
      <c r="AL967" s="4" t="str">
        <f t="shared" si="174"/>
        <v>Found</v>
      </c>
      <c r="AN967" s="6">
        <v>9.5</v>
      </c>
      <c r="AO967" s="4" t="str">
        <f t="shared" si="175"/>
        <v>Low</v>
      </c>
    </row>
    <row r="968" spans="1:41">
      <c r="A968">
        <v>3</v>
      </c>
      <c r="B968" t="str">
        <f t="shared" si="165"/>
        <v>Third Class</v>
      </c>
      <c r="C968">
        <v>0</v>
      </c>
      <c r="E968" t="str">
        <f t="shared" si="166"/>
        <v>Died</v>
      </c>
      <c r="F968" t="s">
        <v>1903</v>
      </c>
      <c r="G968" t="s">
        <v>842</v>
      </c>
      <c r="H968" t="s">
        <v>1904</v>
      </c>
      <c r="I968" t="str">
        <f t="shared" si="167"/>
        <v>Miss. Lindahl Agda</v>
      </c>
      <c r="J968" t="s">
        <v>47</v>
      </c>
      <c r="K968" t="str">
        <f t="shared" si="168"/>
        <v>Female</v>
      </c>
      <c r="L968">
        <v>25</v>
      </c>
      <c r="O968">
        <f t="shared" si="169"/>
        <v>25</v>
      </c>
      <c r="P968">
        <v>0</v>
      </c>
      <c r="R968" s="4">
        <v>0</v>
      </c>
      <c r="T968" s="5">
        <v>7.7750000000000004</v>
      </c>
      <c r="W968" s="4">
        <v>25</v>
      </c>
      <c r="X968" s="4" t="str">
        <f t="shared" si="170"/>
        <v>Young Adult</v>
      </c>
      <c r="Y968" s="4" t="s">
        <v>3561</v>
      </c>
      <c r="AB968" s="4" t="str">
        <f t="shared" si="171"/>
        <v/>
      </c>
      <c r="AC968" s="4" t="str">
        <f t="shared" si="172"/>
        <v>Unknown</v>
      </c>
      <c r="AD968" s="4" t="s">
        <v>457</v>
      </c>
      <c r="AG968" s="4" t="str">
        <f t="shared" si="173"/>
        <v>Not Applicable</v>
      </c>
      <c r="AK968" s="4" t="s">
        <v>3573</v>
      </c>
      <c r="AL968" s="4" t="str">
        <f t="shared" si="174"/>
        <v>Found</v>
      </c>
      <c r="AN968" s="6">
        <v>7.7750000000000004</v>
      </c>
      <c r="AO968" s="4" t="str">
        <f t="shared" si="175"/>
        <v>Low</v>
      </c>
    </row>
    <row r="969" spans="1:41">
      <c r="A969">
        <v>3</v>
      </c>
      <c r="B969" t="str">
        <f t="shared" si="165"/>
        <v>Third Class</v>
      </c>
      <c r="C969">
        <v>0</v>
      </c>
      <c r="E969" t="str">
        <f t="shared" si="166"/>
        <v>Died</v>
      </c>
      <c r="F969" t="s">
        <v>1905</v>
      </c>
      <c r="G969" t="s">
        <v>842</v>
      </c>
      <c r="H969" t="s">
        <v>1204</v>
      </c>
      <c r="I969" t="str">
        <f t="shared" si="167"/>
        <v>Miss. Lindblom Augusta</v>
      </c>
      <c r="J969" t="s">
        <v>47</v>
      </c>
      <c r="K969" t="str">
        <f t="shared" si="168"/>
        <v>Female</v>
      </c>
      <c r="L969">
        <v>45</v>
      </c>
      <c r="O969">
        <f t="shared" si="169"/>
        <v>45</v>
      </c>
      <c r="P969">
        <v>0</v>
      </c>
      <c r="R969" s="4">
        <v>0</v>
      </c>
      <c r="T969" s="5">
        <v>7.75</v>
      </c>
      <c r="W969" s="4">
        <v>45</v>
      </c>
      <c r="X969" s="4" t="str">
        <f t="shared" si="170"/>
        <v>Adult</v>
      </c>
      <c r="Y969" s="4" t="s">
        <v>3561</v>
      </c>
      <c r="AB969" s="4" t="str">
        <f t="shared" si="171"/>
        <v/>
      </c>
      <c r="AC969" s="4" t="str">
        <f t="shared" si="172"/>
        <v>Unknown</v>
      </c>
      <c r="AD969" s="4" t="s">
        <v>457</v>
      </c>
      <c r="AG969" s="4" t="str">
        <f t="shared" si="173"/>
        <v>Not Applicable</v>
      </c>
      <c r="AK969" s="4" t="s">
        <v>3573</v>
      </c>
      <c r="AL969" s="4" t="str">
        <f t="shared" si="174"/>
        <v>Found</v>
      </c>
      <c r="AN969" s="6">
        <v>7.75</v>
      </c>
      <c r="AO969" s="4" t="str">
        <f t="shared" si="175"/>
        <v>Low</v>
      </c>
    </row>
    <row r="970" spans="1:41">
      <c r="A970">
        <v>3</v>
      </c>
      <c r="B970" t="str">
        <f t="shared" si="165"/>
        <v>Third Class</v>
      </c>
      <c r="C970">
        <v>0</v>
      </c>
      <c r="E970" t="str">
        <f t="shared" si="166"/>
        <v>Died</v>
      </c>
      <c r="F970" t="s">
        <v>1906</v>
      </c>
      <c r="G970" t="s">
        <v>848</v>
      </c>
      <c r="H970" t="s">
        <v>1571</v>
      </c>
      <c r="I970" t="str">
        <f t="shared" si="167"/>
        <v>Mr. Lindell Edvard</v>
      </c>
      <c r="J970" t="s">
        <v>20</v>
      </c>
      <c r="K970" t="str">
        <f t="shared" si="168"/>
        <v>Male</v>
      </c>
      <c r="L970">
        <v>36</v>
      </c>
      <c r="O970">
        <f t="shared" si="169"/>
        <v>36</v>
      </c>
      <c r="P970">
        <v>1</v>
      </c>
      <c r="R970" s="4">
        <v>0</v>
      </c>
      <c r="T970" s="5">
        <v>15.55</v>
      </c>
      <c r="W970" s="4">
        <v>36</v>
      </c>
      <c r="X970" s="4" t="str">
        <f t="shared" si="170"/>
        <v>Adult</v>
      </c>
      <c r="Y970" s="4" t="s">
        <v>3561</v>
      </c>
      <c r="AB970" s="4" t="str">
        <f t="shared" si="171"/>
        <v/>
      </c>
      <c r="AC970" s="4" t="str">
        <f t="shared" si="172"/>
        <v>Unknown</v>
      </c>
      <c r="AD970" s="4" t="s">
        <v>457</v>
      </c>
      <c r="AF970" s="4" t="s">
        <v>78</v>
      </c>
      <c r="AG970" s="4" t="str">
        <f t="shared" si="173"/>
        <v>A</v>
      </c>
      <c r="AK970" s="4" t="s">
        <v>3573</v>
      </c>
      <c r="AL970" s="4" t="str">
        <f t="shared" si="174"/>
        <v>Found</v>
      </c>
      <c r="AN970" s="6">
        <v>15.55</v>
      </c>
      <c r="AO970" s="4" t="str">
        <f t="shared" si="175"/>
        <v>Mid</v>
      </c>
    </row>
    <row r="971" spans="1:41">
      <c r="A971">
        <v>3</v>
      </c>
      <c r="B971" t="str">
        <f t="shared" si="165"/>
        <v>Third Class</v>
      </c>
      <c r="C971">
        <v>0</v>
      </c>
      <c r="E971" t="str">
        <f t="shared" si="166"/>
        <v>Died</v>
      </c>
      <c r="F971" t="s">
        <v>1906</v>
      </c>
      <c r="G971" t="s">
        <v>849</v>
      </c>
      <c r="H971" t="s">
        <v>1571</v>
      </c>
      <c r="I971" t="str">
        <f t="shared" si="167"/>
        <v>Mrs. Lindell Edvard</v>
      </c>
      <c r="J971" t="s">
        <v>47</v>
      </c>
      <c r="K971" t="str">
        <f t="shared" si="168"/>
        <v>Female</v>
      </c>
      <c r="L971">
        <v>30</v>
      </c>
      <c r="O971">
        <f t="shared" si="169"/>
        <v>30</v>
      </c>
      <c r="P971">
        <v>1</v>
      </c>
      <c r="R971" s="4">
        <v>0</v>
      </c>
      <c r="T971" s="5">
        <v>15.55</v>
      </c>
      <c r="W971" s="4">
        <v>30</v>
      </c>
      <c r="X971" s="4" t="str">
        <f t="shared" si="170"/>
        <v>Adult</v>
      </c>
      <c r="Y971" s="4" t="s">
        <v>3561</v>
      </c>
      <c r="AB971" s="4" t="str">
        <f t="shared" si="171"/>
        <v/>
      </c>
      <c r="AC971" s="4" t="str">
        <f t="shared" si="172"/>
        <v>Unknown</v>
      </c>
      <c r="AD971" s="4" t="s">
        <v>457</v>
      </c>
      <c r="AF971" s="4" t="s">
        <v>78</v>
      </c>
      <c r="AG971" s="4" t="str">
        <f t="shared" si="173"/>
        <v>A</v>
      </c>
      <c r="AK971" s="4" t="s">
        <v>3573</v>
      </c>
      <c r="AL971" s="4" t="str">
        <f t="shared" si="174"/>
        <v>Found</v>
      </c>
      <c r="AN971" s="6">
        <v>15.55</v>
      </c>
      <c r="AO971" s="4" t="str">
        <f t="shared" si="175"/>
        <v>Mid</v>
      </c>
    </row>
    <row r="972" spans="1:41">
      <c r="A972">
        <v>3</v>
      </c>
      <c r="B972" t="str">
        <f t="shared" si="165"/>
        <v>Third Class</v>
      </c>
      <c r="C972">
        <v>1</v>
      </c>
      <c r="E972" t="str">
        <f t="shared" si="166"/>
        <v>Survived</v>
      </c>
      <c r="F972" t="s">
        <v>1907</v>
      </c>
      <c r="G972" t="s">
        <v>848</v>
      </c>
      <c r="H972" t="s">
        <v>1908</v>
      </c>
      <c r="I972" t="str">
        <f t="shared" si="167"/>
        <v>Mr. Lindqvist Eino</v>
      </c>
      <c r="J972" t="s">
        <v>20</v>
      </c>
      <c r="K972" t="str">
        <f t="shared" si="168"/>
        <v>Male</v>
      </c>
      <c r="L972">
        <v>20</v>
      </c>
      <c r="O972">
        <f t="shared" si="169"/>
        <v>20</v>
      </c>
      <c r="P972">
        <v>1</v>
      </c>
      <c r="R972" s="4">
        <v>0</v>
      </c>
      <c r="T972" s="5">
        <v>7.9249999999999998</v>
      </c>
      <c r="W972" s="4">
        <v>20</v>
      </c>
      <c r="X972" s="4" t="str">
        <f t="shared" si="170"/>
        <v>Young Adult</v>
      </c>
      <c r="Y972" s="4" t="s">
        <v>3561</v>
      </c>
      <c r="AB972" s="4" t="str">
        <f t="shared" si="171"/>
        <v/>
      </c>
      <c r="AC972" s="4" t="str">
        <f t="shared" si="172"/>
        <v>Unknown</v>
      </c>
      <c r="AD972" s="4" t="s">
        <v>457</v>
      </c>
      <c r="AF972" s="4">
        <v>15</v>
      </c>
      <c r="AG972" s="4">
        <f t="shared" si="173"/>
        <v>15</v>
      </c>
      <c r="AK972" s="4" t="s">
        <v>3573</v>
      </c>
      <c r="AL972" s="4" t="str">
        <f t="shared" si="174"/>
        <v>Found</v>
      </c>
      <c r="AN972" s="6">
        <v>7.9249999999999998</v>
      </c>
      <c r="AO972" s="4" t="str">
        <f t="shared" si="175"/>
        <v>Low</v>
      </c>
    </row>
    <row r="973" spans="1:41">
      <c r="A973">
        <v>3</v>
      </c>
      <c r="B973" t="str">
        <f t="shared" si="165"/>
        <v>Third Class</v>
      </c>
      <c r="C973">
        <v>0</v>
      </c>
      <c r="E973" t="str">
        <f t="shared" si="166"/>
        <v>Died</v>
      </c>
      <c r="F973" t="s">
        <v>1909</v>
      </c>
      <c r="G973" t="s">
        <v>848</v>
      </c>
      <c r="H973" t="s">
        <v>1437</v>
      </c>
      <c r="I973" t="str">
        <f t="shared" si="167"/>
        <v>Mr. Linehan Michael</v>
      </c>
      <c r="J973" t="s">
        <v>20</v>
      </c>
      <c r="K973" t="str">
        <f t="shared" si="168"/>
        <v>Male</v>
      </c>
      <c r="L973">
        <v>28</v>
      </c>
      <c r="O973">
        <f t="shared" si="169"/>
        <v>28</v>
      </c>
      <c r="P973">
        <v>0</v>
      </c>
      <c r="R973" s="4">
        <v>0</v>
      </c>
      <c r="T973" s="5">
        <v>7.8792</v>
      </c>
      <c r="W973" s="4">
        <v>28</v>
      </c>
      <c r="X973" s="4" t="str">
        <f t="shared" si="170"/>
        <v>Young Adult</v>
      </c>
      <c r="Y973" s="4" t="s">
        <v>3561</v>
      </c>
      <c r="AB973" s="4" t="str">
        <f t="shared" si="171"/>
        <v/>
      </c>
      <c r="AC973" s="4" t="str">
        <f t="shared" si="172"/>
        <v>Unknown</v>
      </c>
      <c r="AD973" s="4" t="s">
        <v>3567</v>
      </c>
      <c r="AG973" s="4" t="str">
        <f t="shared" si="173"/>
        <v>Not Applicable</v>
      </c>
      <c r="AK973" s="4" t="s">
        <v>3573</v>
      </c>
      <c r="AL973" s="4" t="str">
        <f t="shared" si="174"/>
        <v>Found</v>
      </c>
      <c r="AN973" s="6">
        <v>7.8792</v>
      </c>
      <c r="AO973" s="4" t="str">
        <f t="shared" si="175"/>
        <v>Low</v>
      </c>
    </row>
    <row r="974" spans="1:41">
      <c r="A974">
        <v>3</v>
      </c>
      <c r="B974" t="str">
        <f t="shared" si="165"/>
        <v>Third Class</v>
      </c>
      <c r="C974">
        <v>0</v>
      </c>
      <c r="E974" t="str">
        <f t="shared" si="166"/>
        <v>Died</v>
      </c>
      <c r="F974" t="s">
        <v>1797</v>
      </c>
      <c r="G974" t="s">
        <v>848</v>
      </c>
      <c r="H974" t="s">
        <v>1620</v>
      </c>
      <c r="I974" t="str">
        <f t="shared" si="167"/>
        <v>Mr. Ling Lee</v>
      </c>
      <c r="J974" t="s">
        <v>20</v>
      </c>
      <c r="K974" t="str">
        <f t="shared" si="168"/>
        <v>Male</v>
      </c>
      <c r="L974">
        <v>28</v>
      </c>
      <c r="O974">
        <f t="shared" si="169"/>
        <v>28</v>
      </c>
      <c r="P974">
        <v>0</v>
      </c>
      <c r="R974" s="4">
        <v>0</v>
      </c>
      <c r="T974" s="5">
        <v>56.495800000000003</v>
      </c>
      <c r="W974" s="4">
        <v>28</v>
      </c>
      <c r="X974" s="4" t="str">
        <f t="shared" si="170"/>
        <v>Young Adult</v>
      </c>
      <c r="Y974" s="4" t="s">
        <v>3561</v>
      </c>
      <c r="AB974" s="4" t="str">
        <f t="shared" si="171"/>
        <v/>
      </c>
      <c r="AC974" s="4" t="str">
        <f t="shared" si="172"/>
        <v>Unknown</v>
      </c>
      <c r="AD974" s="4" t="s">
        <v>457</v>
      </c>
      <c r="AG974" s="4" t="str">
        <f t="shared" si="173"/>
        <v>Not Applicable</v>
      </c>
      <c r="AK974" s="4" t="s">
        <v>3573</v>
      </c>
      <c r="AL974" s="4" t="str">
        <f t="shared" si="174"/>
        <v>Found</v>
      </c>
      <c r="AN974" s="6">
        <v>56.495800000000003</v>
      </c>
      <c r="AO974" s="4" t="str">
        <f t="shared" si="175"/>
        <v>High</v>
      </c>
    </row>
    <row r="975" spans="1:41">
      <c r="A975">
        <v>3</v>
      </c>
      <c r="B975" t="str">
        <f t="shared" si="165"/>
        <v>Third Class</v>
      </c>
      <c r="C975">
        <v>0</v>
      </c>
      <c r="E975" t="str">
        <f t="shared" si="166"/>
        <v>Died</v>
      </c>
      <c r="F975" t="s">
        <v>1910</v>
      </c>
      <c r="G975" t="s">
        <v>848</v>
      </c>
      <c r="H975" t="s">
        <v>1911</v>
      </c>
      <c r="I975" t="str">
        <f t="shared" si="167"/>
        <v>Mr. Lithman Simon</v>
      </c>
      <c r="J975" t="s">
        <v>20</v>
      </c>
      <c r="K975" t="str">
        <f t="shared" si="168"/>
        <v>Male</v>
      </c>
      <c r="L975">
        <v>28</v>
      </c>
      <c r="O975">
        <f t="shared" si="169"/>
        <v>28</v>
      </c>
      <c r="P975">
        <v>0</v>
      </c>
      <c r="R975" s="4">
        <v>0</v>
      </c>
      <c r="T975" s="5">
        <v>7.55</v>
      </c>
      <c r="W975" s="4">
        <v>28</v>
      </c>
      <c r="X975" s="4" t="str">
        <f t="shared" si="170"/>
        <v>Young Adult</v>
      </c>
      <c r="Y975" s="4" t="s">
        <v>3561</v>
      </c>
      <c r="AB975" s="4" t="str">
        <f t="shared" si="171"/>
        <v/>
      </c>
      <c r="AC975" s="4" t="str">
        <f t="shared" si="172"/>
        <v>Unknown</v>
      </c>
      <c r="AD975" s="4" t="s">
        <v>457</v>
      </c>
      <c r="AG975" s="4" t="str">
        <f t="shared" si="173"/>
        <v>Not Applicable</v>
      </c>
      <c r="AK975" s="4" t="s">
        <v>3573</v>
      </c>
      <c r="AL975" s="4" t="str">
        <f t="shared" si="174"/>
        <v>Found</v>
      </c>
      <c r="AN975" s="6">
        <v>7.55</v>
      </c>
      <c r="AO975" s="4" t="str">
        <f t="shared" si="175"/>
        <v>Low</v>
      </c>
    </row>
    <row r="976" spans="1:41">
      <c r="A976">
        <v>3</v>
      </c>
      <c r="B976" t="str">
        <f t="shared" si="165"/>
        <v>Third Class</v>
      </c>
      <c r="C976">
        <v>0</v>
      </c>
      <c r="E976" t="str">
        <f t="shared" si="166"/>
        <v>Died</v>
      </c>
      <c r="F976" t="s">
        <v>1912</v>
      </c>
      <c r="G976" t="s">
        <v>848</v>
      </c>
      <c r="H976" t="s">
        <v>924</v>
      </c>
      <c r="I976" t="str">
        <f t="shared" si="167"/>
        <v>Mr. Lobb William</v>
      </c>
      <c r="J976" t="s">
        <v>20</v>
      </c>
      <c r="K976" t="str">
        <f t="shared" si="168"/>
        <v>Male</v>
      </c>
      <c r="L976">
        <v>30</v>
      </c>
      <c r="O976">
        <f t="shared" si="169"/>
        <v>30</v>
      </c>
      <c r="P976">
        <v>1</v>
      </c>
      <c r="R976" s="4">
        <v>0</v>
      </c>
      <c r="T976" s="5">
        <v>16.100000000000001</v>
      </c>
      <c r="W976" s="4">
        <v>30</v>
      </c>
      <c r="X976" s="4" t="str">
        <f t="shared" si="170"/>
        <v>Adult</v>
      </c>
      <c r="Y976" s="4" t="s">
        <v>3561</v>
      </c>
      <c r="AB976" s="4" t="str">
        <f t="shared" si="171"/>
        <v/>
      </c>
      <c r="AC976" s="4" t="str">
        <f t="shared" si="172"/>
        <v>Unknown</v>
      </c>
      <c r="AD976" s="4" t="s">
        <v>457</v>
      </c>
      <c r="AG976" s="4" t="str">
        <f t="shared" si="173"/>
        <v>Not Applicable</v>
      </c>
      <c r="AK976" s="4" t="s">
        <v>3573</v>
      </c>
      <c r="AL976" s="4" t="str">
        <f t="shared" si="174"/>
        <v>Found</v>
      </c>
      <c r="AN976" s="6">
        <v>16.100000000000001</v>
      </c>
      <c r="AO976" s="4" t="str">
        <f t="shared" si="175"/>
        <v>Mid</v>
      </c>
    </row>
    <row r="977" spans="1:41">
      <c r="A977">
        <v>3</v>
      </c>
      <c r="B977" t="str">
        <f t="shared" si="165"/>
        <v>Third Class</v>
      </c>
      <c r="C977">
        <v>0</v>
      </c>
      <c r="E977" t="str">
        <f t="shared" si="166"/>
        <v>Died</v>
      </c>
      <c r="F977" t="s">
        <v>1912</v>
      </c>
      <c r="G977" t="s">
        <v>849</v>
      </c>
      <c r="H977" t="s">
        <v>924</v>
      </c>
      <c r="I977" t="str">
        <f t="shared" si="167"/>
        <v>Mrs. Lobb William</v>
      </c>
      <c r="J977" t="s">
        <v>47</v>
      </c>
      <c r="K977" t="str">
        <f t="shared" si="168"/>
        <v>Female</v>
      </c>
      <c r="L977">
        <v>26</v>
      </c>
      <c r="O977">
        <f t="shared" si="169"/>
        <v>26</v>
      </c>
      <c r="P977">
        <v>1</v>
      </c>
      <c r="R977" s="4">
        <v>0</v>
      </c>
      <c r="T977" s="5">
        <v>16.100000000000001</v>
      </c>
      <c r="W977" s="4">
        <v>26</v>
      </c>
      <c r="X977" s="4" t="str">
        <f t="shared" si="170"/>
        <v>Young Adult</v>
      </c>
      <c r="Y977" s="4" t="s">
        <v>3561</v>
      </c>
      <c r="AB977" s="4" t="str">
        <f t="shared" si="171"/>
        <v/>
      </c>
      <c r="AC977" s="4" t="str">
        <f t="shared" si="172"/>
        <v>Unknown</v>
      </c>
      <c r="AD977" s="4" t="s">
        <v>457</v>
      </c>
      <c r="AG977" s="4" t="str">
        <f t="shared" si="173"/>
        <v>Not Applicable</v>
      </c>
      <c r="AK977" s="4" t="s">
        <v>3573</v>
      </c>
      <c r="AL977" s="4" t="str">
        <f t="shared" si="174"/>
        <v>Found</v>
      </c>
      <c r="AN977" s="6">
        <v>16.100000000000001</v>
      </c>
      <c r="AO977" s="4" t="str">
        <f t="shared" si="175"/>
        <v>Mid</v>
      </c>
    </row>
    <row r="978" spans="1:41">
      <c r="A978">
        <v>3</v>
      </c>
      <c r="B978" t="str">
        <f t="shared" si="165"/>
        <v>Third Class</v>
      </c>
      <c r="C978">
        <v>0</v>
      </c>
      <c r="E978" t="str">
        <f t="shared" si="166"/>
        <v>Died</v>
      </c>
      <c r="F978" t="s">
        <v>1913</v>
      </c>
      <c r="G978" t="s">
        <v>848</v>
      </c>
      <c r="H978" t="s">
        <v>857</v>
      </c>
      <c r="I978" t="str">
        <f t="shared" si="167"/>
        <v>Mr. Lockyer Edward</v>
      </c>
      <c r="J978" t="s">
        <v>20</v>
      </c>
      <c r="K978" t="str">
        <f t="shared" si="168"/>
        <v>Male</v>
      </c>
      <c r="L978">
        <v>28</v>
      </c>
      <c r="O978">
        <f t="shared" si="169"/>
        <v>28</v>
      </c>
      <c r="P978">
        <v>0</v>
      </c>
      <c r="R978" s="4">
        <v>0</v>
      </c>
      <c r="T978" s="5">
        <v>7.8792</v>
      </c>
      <c r="W978" s="4">
        <v>28</v>
      </c>
      <c r="X978" s="4" t="str">
        <f t="shared" si="170"/>
        <v>Young Adult</v>
      </c>
      <c r="Y978" s="4" t="s">
        <v>3561</v>
      </c>
      <c r="AB978" s="4" t="str">
        <f t="shared" si="171"/>
        <v/>
      </c>
      <c r="AC978" s="4" t="str">
        <f t="shared" si="172"/>
        <v>Unknown</v>
      </c>
      <c r="AD978" s="4" t="s">
        <v>457</v>
      </c>
      <c r="AG978" s="4" t="str">
        <f t="shared" si="173"/>
        <v>Not Applicable</v>
      </c>
      <c r="AH978" s="4">
        <v>153</v>
      </c>
      <c r="AK978" s="4">
        <v>153</v>
      </c>
      <c r="AL978" s="4" t="str">
        <f t="shared" si="174"/>
        <v>Found</v>
      </c>
      <c r="AN978" s="6">
        <v>7.8792</v>
      </c>
      <c r="AO978" s="4" t="str">
        <f t="shared" si="175"/>
        <v>Low</v>
      </c>
    </row>
    <row r="979" spans="1:41">
      <c r="A979">
        <v>3</v>
      </c>
      <c r="B979" t="str">
        <f t="shared" si="165"/>
        <v>Third Class</v>
      </c>
      <c r="C979">
        <v>0</v>
      </c>
      <c r="E979" t="str">
        <f t="shared" si="166"/>
        <v>Died</v>
      </c>
      <c r="F979" t="s">
        <v>1914</v>
      </c>
      <c r="G979" t="s">
        <v>848</v>
      </c>
      <c r="H979" t="s">
        <v>862</v>
      </c>
      <c r="I979" t="str">
        <f t="shared" si="167"/>
        <v>Mr. Lovell John</v>
      </c>
      <c r="J979" t="s">
        <v>20</v>
      </c>
      <c r="K979" t="str">
        <f t="shared" si="168"/>
        <v>Male</v>
      </c>
      <c r="L979">
        <v>20.5</v>
      </c>
      <c r="O979">
        <f t="shared" si="169"/>
        <v>21</v>
      </c>
      <c r="P979">
        <v>0</v>
      </c>
      <c r="R979" s="4">
        <v>0</v>
      </c>
      <c r="T979" s="5">
        <v>7.25</v>
      </c>
      <c r="W979" s="4">
        <v>21</v>
      </c>
      <c r="X979" s="4" t="str">
        <f t="shared" si="170"/>
        <v>Young Adult</v>
      </c>
      <c r="Y979" s="4" t="s">
        <v>3561</v>
      </c>
      <c r="AB979" s="4" t="str">
        <f t="shared" si="171"/>
        <v/>
      </c>
      <c r="AC979" s="4" t="str">
        <f t="shared" si="172"/>
        <v>Unknown</v>
      </c>
      <c r="AD979" s="4" t="s">
        <v>457</v>
      </c>
      <c r="AG979" s="4" t="str">
        <f t="shared" si="173"/>
        <v>Not Applicable</v>
      </c>
      <c r="AK979" s="4" t="s">
        <v>3573</v>
      </c>
      <c r="AL979" s="4" t="str">
        <f t="shared" si="174"/>
        <v>Found</v>
      </c>
      <c r="AN979" s="6">
        <v>7.25</v>
      </c>
      <c r="AO979" s="4" t="str">
        <f t="shared" si="175"/>
        <v>Low</v>
      </c>
    </row>
    <row r="980" spans="1:41">
      <c r="A980">
        <v>3</v>
      </c>
      <c r="B980" t="str">
        <f t="shared" si="165"/>
        <v>Third Class</v>
      </c>
      <c r="C980">
        <v>1</v>
      </c>
      <c r="E980" t="str">
        <f t="shared" si="166"/>
        <v>Survived</v>
      </c>
      <c r="F980" t="s">
        <v>1915</v>
      </c>
      <c r="G980" t="s">
        <v>848</v>
      </c>
      <c r="H980" t="s">
        <v>1916</v>
      </c>
      <c r="I980" t="str">
        <f t="shared" si="167"/>
        <v>Mr. Lulic Nikola</v>
      </c>
      <c r="J980" t="s">
        <v>20</v>
      </c>
      <c r="K980" t="str">
        <f t="shared" si="168"/>
        <v>Male</v>
      </c>
      <c r="L980">
        <v>27</v>
      </c>
      <c r="O980">
        <f t="shared" si="169"/>
        <v>27</v>
      </c>
      <c r="P980">
        <v>0</v>
      </c>
      <c r="R980" s="4">
        <v>0</v>
      </c>
      <c r="T980" s="5">
        <v>8.6624999999999996</v>
      </c>
      <c r="W980" s="4">
        <v>27</v>
      </c>
      <c r="X980" s="4" t="str">
        <f t="shared" si="170"/>
        <v>Young Adult</v>
      </c>
      <c r="Y980" s="4" t="s">
        <v>3561</v>
      </c>
      <c r="AB980" s="4" t="str">
        <f t="shared" si="171"/>
        <v/>
      </c>
      <c r="AC980" s="4" t="str">
        <f t="shared" si="172"/>
        <v>Unknown</v>
      </c>
      <c r="AD980" s="4" t="s">
        <v>457</v>
      </c>
      <c r="AF980" s="4">
        <v>15</v>
      </c>
      <c r="AG980" s="4">
        <f t="shared" si="173"/>
        <v>15</v>
      </c>
      <c r="AK980" s="4" t="s">
        <v>3573</v>
      </c>
      <c r="AL980" s="4" t="str">
        <f t="shared" si="174"/>
        <v>Found</v>
      </c>
      <c r="AN980" s="6">
        <v>8.6624999999999996</v>
      </c>
      <c r="AO980" s="4" t="str">
        <f t="shared" si="175"/>
        <v>Low</v>
      </c>
    </row>
    <row r="981" spans="1:41">
      <c r="A981">
        <v>3</v>
      </c>
      <c r="B981" t="str">
        <f t="shared" si="165"/>
        <v>Third Class</v>
      </c>
      <c r="C981">
        <v>0</v>
      </c>
      <c r="E981" t="str">
        <f t="shared" si="166"/>
        <v>Died</v>
      </c>
      <c r="F981" t="s">
        <v>1917</v>
      </c>
      <c r="G981" t="s">
        <v>848</v>
      </c>
      <c r="H981" t="s">
        <v>1105</v>
      </c>
      <c r="I981" t="str">
        <f t="shared" si="167"/>
        <v>Mr. Lundahl Johan</v>
      </c>
      <c r="J981" t="s">
        <v>20</v>
      </c>
      <c r="K981" t="str">
        <f t="shared" si="168"/>
        <v>Male</v>
      </c>
      <c r="L981">
        <v>51</v>
      </c>
      <c r="O981">
        <f t="shared" si="169"/>
        <v>51</v>
      </c>
      <c r="P981">
        <v>0</v>
      </c>
      <c r="R981" s="4">
        <v>0</v>
      </c>
      <c r="T981" s="5">
        <v>7.0541999999999998</v>
      </c>
      <c r="W981" s="4">
        <v>51</v>
      </c>
      <c r="X981" s="4" t="str">
        <f t="shared" si="170"/>
        <v>Adult</v>
      </c>
      <c r="Y981" s="4" t="s">
        <v>3561</v>
      </c>
      <c r="AB981" s="4" t="str">
        <f t="shared" si="171"/>
        <v/>
      </c>
      <c r="AC981" s="4" t="str">
        <f t="shared" si="172"/>
        <v>Unknown</v>
      </c>
      <c r="AD981" s="4" t="s">
        <v>457</v>
      </c>
      <c r="AG981" s="4" t="str">
        <f t="shared" si="173"/>
        <v>Not Applicable</v>
      </c>
      <c r="AK981" s="4" t="s">
        <v>3573</v>
      </c>
      <c r="AL981" s="4" t="str">
        <f t="shared" si="174"/>
        <v>Found</v>
      </c>
      <c r="AN981" s="6">
        <v>7.0541999999999998</v>
      </c>
      <c r="AO981" s="4" t="str">
        <f t="shared" si="175"/>
        <v>Low</v>
      </c>
    </row>
    <row r="982" spans="1:41">
      <c r="A982">
        <v>3</v>
      </c>
      <c r="B982" t="str">
        <f t="shared" si="165"/>
        <v>Third Class</v>
      </c>
      <c r="C982">
        <v>1</v>
      </c>
      <c r="E982" t="str">
        <f t="shared" si="166"/>
        <v>Survived</v>
      </c>
      <c r="F982" t="s">
        <v>1919</v>
      </c>
      <c r="G982" t="s">
        <v>842</v>
      </c>
      <c r="H982" t="s">
        <v>1920</v>
      </c>
      <c r="I982" t="str">
        <f t="shared" si="167"/>
        <v>Miss. Lundin Olga</v>
      </c>
      <c r="J982" t="s">
        <v>47</v>
      </c>
      <c r="K982" t="str">
        <f t="shared" si="168"/>
        <v>Female</v>
      </c>
      <c r="L982">
        <v>23</v>
      </c>
      <c r="O982">
        <f t="shared" si="169"/>
        <v>23</v>
      </c>
      <c r="P982">
        <v>0</v>
      </c>
      <c r="R982" s="4">
        <v>0</v>
      </c>
      <c r="T982" s="5">
        <v>7.8541999999999996</v>
      </c>
      <c r="W982" s="4">
        <v>23</v>
      </c>
      <c r="X982" s="4" t="str">
        <f t="shared" si="170"/>
        <v>Young Adult</v>
      </c>
      <c r="Y982" s="4" t="s">
        <v>3561</v>
      </c>
      <c r="AB982" s="4" t="str">
        <f t="shared" si="171"/>
        <v/>
      </c>
      <c r="AC982" s="4" t="str">
        <f t="shared" si="172"/>
        <v>Unknown</v>
      </c>
      <c r="AD982" s="4" t="s">
        <v>457</v>
      </c>
      <c r="AF982" s="4">
        <v>10</v>
      </c>
      <c r="AG982" s="4">
        <f t="shared" si="173"/>
        <v>10</v>
      </c>
      <c r="AK982" s="4" t="s">
        <v>3573</v>
      </c>
      <c r="AL982" s="4" t="str">
        <f t="shared" si="174"/>
        <v>Found</v>
      </c>
      <c r="AN982" s="6">
        <v>7.8541999999999996</v>
      </c>
      <c r="AO982" s="4" t="str">
        <f t="shared" si="175"/>
        <v>Low</v>
      </c>
    </row>
    <row r="983" spans="1:41">
      <c r="A983">
        <v>3</v>
      </c>
      <c r="B983" t="str">
        <f t="shared" si="165"/>
        <v>Third Class</v>
      </c>
      <c r="C983">
        <v>1</v>
      </c>
      <c r="E983" t="str">
        <f t="shared" si="166"/>
        <v>Survived</v>
      </c>
      <c r="F983" t="s">
        <v>1921</v>
      </c>
      <c r="G983" t="s">
        <v>848</v>
      </c>
      <c r="H983" t="s">
        <v>1922</v>
      </c>
      <c r="I983" t="str">
        <f t="shared" si="167"/>
        <v>Mr. Lundstrom Thure</v>
      </c>
      <c r="J983" t="s">
        <v>20</v>
      </c>
      <c r="K983" t="str">
        <f t="shared" si="168"/>
        <v>Male</v>
      </c>
      <c r="L983">
        <v>32</v>
      </c>
      <c r="O983">
        <f t="shared" si="169"/>
        <v>32</v>
      </c>
      <c r="P983">
        <v>0</v>
      </c>
      <c r="R983" s="4">
        <v>0</v>
      </c>
      <c r="T983" s="5">
        <v>7.5792000000000002</v>
      </c>
      <c r="W983" s="4">
        <v>32</v>
      </c>
      <c r="X983" s="4" t="str">
        <f t="shared" si="170"/>
        <v>Adult</v>
      </c>
      <c r="Y983" s="4" t="s">
        <v>3561</v>
      </c>
      <c r="AB983" s="4" t="str">
        <f t="shared" si="171"/>
        <v/>
      </c>
      <c r="AC983" s="4" t="str">
        <f t="shared" si="172"/>
        <v>Unknown</v>
      </c>
      <c r="AD983" s="4" t="s">
        <v>457</v>
      </c>
      <c r="AF983" s="4">
        <v>15</v>
      </c>
      <c r="AG983" s="4">
        <f t="shared" si="173"/>
        <v>15</v>
      </c>
      <c r="AK983" s="4" t="s">
        <v>3573</v>
      </c>
      <c r="AL983" s="4" t="str">
        <f t="shared" si="174"/>
        <v>Found</v>
      </c>
      <c r="AN983" s="6">
        <v>7.5792000000000002</v>
      </c>
      <c r="AO983" s="4" t="str">
        <f t="shared" si="175"/>
        <v>Low</v>
      </c>
    </row>
    <row r="984" spans="1:41">
      <c r="A984">
        <v>3</v>
      </c>
      <c r="B984" t="str">
        <f t="shared" si="165"/>
        <v>Third Class</v>
      </c>
      <c r="C984">
        <v>0</v>
      </c>
      <c r="E984" t="str">
        <f t="shared" si="166"/>
        <v>Died</v>
      </c>
      <c r="F984" t="s">
        <v>1923</v>
      </c>
      <c r="G984" t="s">
        <v>848</v>
      </c>
      <c r="H984" t="s">
        <v>1924</v>
      </c>
      <c r="I984" t="str">
        <f t="shared" si="167"/>
        <v>Mr. Lyntakoff Stanko</v>
      </c>
      <c r="J984" t="s">
        <v>20</v>
      </c>
      <c r="K984" t="str">
        <f t="shared" si="168"/>
        <v>Male</v>
      </c>
      <c r="L984">
        <v>28</v>
      </c>
      <c r="O984">
        <f t="shared" si="169"/>
        <v>28</v>
      </c>
      <c r="P984">
        <v>0</v>
      </c>
      <c r="R984" s="4">
        <v>0</v>
      </c>
      <c r="T984" s="5">
        <v>7.8958000000000004</v>
      </c>
      <c r="W984" s="4">
        <v>28</v>
      </c>
      <c r="X984" s="4" t="str">
        <f t="shared" si="170"/>
        <v>Young Adult</v>
      </c>
      <c r="Y984" s="4" t="s">
        <v>3561</v>
      </c>
      <c r="AB984" s="4" t="str">
        <f t="shared" si="171"/>
        <v/>
      </c>
      <c r="AC984" s="4" t="str">
        <f t="shared" si="172"/>
        <v>Unknown</v>
      </c>
      <c r="AD984" s="4" t="s">
        <v>457</v>
      </c>
      <c r="AG984" s="4" t="str">
        <f t="shared" si="173"/>
        <v>Not Applicable</v>
      </c>
      <c r="AK984" s="4" t="s">
        <v>3573</v>
      </c>
      <c r="AL984" s="4" t="str">
        <f t="shared" si="174"/>
        <v>Found</v>
      </c>
      <c r="AN984" s="6">
        <v>7.8958000000000004</v>
      </c>
      <c r="AO984" s="4" t="str">
        <f t="shared" si="175"/>
        <v>Low</v>
      </c>
    </row>
    <row r="985" spans="1:41">
      <c r="A985">
        <v>3</v>
      </c>
      <c r="B985" t="str">
        <f t="shared" si="165"/>
        <v>Third Class</v>
      </c>
      <c r="C985">
        <v>0</v>
      </c>
      <c r="E985" t="str">
        <f t="shared" si="166"/>
        <v>Died</v>
      </c>
      <c r="F985" t="s">
        <v>1925</v>
      </c>
      <c r="G985" t="s">
        <v>848</v>
      </c>
      <c r="H985" t="s">
        <v>912</v>
      </c>
      <c r="I985" t="str">
        <f t="shared" si="167"/>
        <v>Mr. MacKay George</v>
      </c>
      <c r="J985" t="s">
        <v>20</v>
      </c>
      <c r="K985" t="str">
        <f t="shared" si="168"/>
        <v>Male</v>
      </c>
      <c r="L985">
        <v>28</v>
      </c>
      <c r="O985">
        <f t="shared" si="169"/>
        <v>28</v>
      </c>
      <c r="P985">
        <v>0</v>
      </c>
      <c r="R985" s="4">
        <v>0</v>
      </c>
      <c r="T985" s="5">
        <v>7.55</v>
      </c>
      <c r="W985" s="4">
        <v>28</v>
      </c>
      <c r="X985" s="4" t="str">
        <f t="shared" si="170"/>
        <v>Young Adult</v>
      </c>
      <c r="Y985" s="4" t="s">
        <v>3561</v>
      </c>
      <c r="AB985" s="4" t="str">
        <f t="shared" si="171"/>
        <v/>
      </c>
      <c r="AC985" s="4" t="str">
        <f t="shared" si="172"/>
        <v>Unknown</v>
      </c>
      <c r="AD985" s="4" t="s">
        <v>457</v>
      </c>
      <c r="AG985" s="4" t="str">
        <f t="shared" si="173"/>
        <v>Not Applicable</v>
      </c>
      <c r="AK985" s="4" t="s">
        <v>3573</v>
      </c>
      <c r="AL985" s="4" t="str">
        <f t="shared" si="174"/>
        <v>Found</v>
      </c>
      <c r="AN985" s="6">
        <v>7.55</v>
      </c>
      <c r="AO985" s="4" t="str">
        <f t="shared" si="175"/>
        <v>Low</v>
      </c>
    </row>
    <row r="986" spans="1:41">
      <c r="A986">
        <v>3</v>
      </c>
      <c r="B986" t="str">
        <f t="shared" si="165"/>
        <v>Third Class</v>
      </c>
      <c r="C986">
        <v>1</v>
      </c>
      <c r="E986" t="str">
        <f t="shared" si="166"/>
        <v>Survived</v>
      </c>
      <c r="F986" t="s">
        <v>1926</v>
      </c>
      <c r="G986" t="s">
        <v>842</v>
      </c>
      <c r="H986" t="s">
        <v>927</v>
      </c>
      <c r="I986" t="str">
        <f t="shared" si="167"/>
        <v>Miss. Madigan Margaret</v>
      </c>
      <c r="J986" t="s">
        <v>47</v>
      </c>
      <c r="K986" t="str">
        <f t="shared" si="168"/>
        <v>Female</v>
      </c>
      <c r="L986">
        <v>28</v>
      </c>
      <c r="O986">
        <f t="shared" si="169"/>
        <v>28</v>
      </c>
      <c r="P986">
        <v>0</v>
      </c>
      <c r="R986" s="4">
        <v>0</v>
      </c>
      <c r="T986" s="5">
        <v>7.75</v>
      </c>
      <c r="W986" s="4">
        <v>28</v>
      </c>
      <c r="X986" s="4" t="str">
        <f t="shared" si="170"/>
        <v>Young Adult</v>
      </c>
      <c r="Y986" s="4" t="s">
        <v>3561</v>
      </c>
      <c r="AB986" s="4" t="str">
        <f t="shared" si="171"/>
        <v/>
      </c>
      <c r="AC986" s="4" t="str">
        <f t="shared" si="172"/>
        <v>Unknown</v>
      </c>
      <c r="AD986" s="4" t="s">
        <v>3567</v>
      </c>
      <c r="AF986" s="4">
        <v>15</v>
      </c>
      <c r="AG986" s="4">
        <f t="shared" si="173"/>
        <v>15</v>
      </c>
      <c r="AK986" s="4" t="s">
        <v>3573</v>
      </c>
      <c r="AL986" s="4" t="str">
        <f t="shared" si="174"/>
        <v>Found</v>
      </c>
      <c r="AN986" s="6">
        <v>7.75</v>
      </c>
      <c r="AO986" s="4" t="str">
        <f t="shared" si="175"/>
        <v>Low</v>
      </c>
    </row>
    <row r="987" spans="1:41">
      <c r="A987">
        <v>3</v>
      </c>
      <c r="B987" t="str">
        <f t="shared" si="165"/>
        <v>Third Class</v>
      </c>
      <c r="C987">
        <v>1</v>
      </c>
      <c r="E987" t="str">
        <f t="shared" si="166"/>
        <v>Survived</v>
      </c>
      <c r="F987" t="s">
        <v>1927</v>
      </c>
      <c r="G987" t="s">
        <v>848</v>
      </c>
      <c r="H987" t="s">
        <v>1928</v>
      </c>
      <c r="I987" t="str">
        <f t="shared" si="167"/>
        <v>Mr. Madsen Fridtjof</v>
      </c>
      <c r="J987" t="s">
        <v>20</v>
      </c>
      <c r="K987" t="str">
        <f t="shared" si="168"/>
        <v>Male</v>
      </c>
      <c r="L987">
        <v>24</v>
      </c>
      <c r="O987">
        <f t="shared" si="169"/>
        <v>24</v>
      </c>
      <c r="P987">
        <v>0</v>
      </c>
      <c r="R987" s="4">
        <v>0</v>
      </c>
      <c r="T987" s="5">
        <v>7.1417000000000002</v>
      </c>
      <c r="W987" s="4">
        <v>24</v>
      </c>
      <c r="X987" s="4" t="str">
        <f t="shared" si="170"/>
        <v>Young Adult</v>
      </c>
      <c r="Y987" s="4" t="s">
        <v>3561</v>
      </c>
      <c r="AB987" s="4" t="str">
        <f t="shared" si="171"/>
        <v/>
      </c>
      <c r="AC987" s="4" t="str">
        <f t="shared" si="172"/>
        <v>Unknown</v>
      </c>
      <c r="AD987" s="4" t="s">
        <v>457</v>
      </c>
      <c r="AF987" s="4">
        <v>13</v>
      </c>
      <c r="AG987" s="4">
        <f t="shared" si="173"/>
        <v>13</v>
      </c>
      <c r="AK987" s="4" t="s">
        <v>3573</v>
      </c>
      <c r="AL987" s="4" t="str">
        <f t="shared" si="174"/>
        <v>Found</v>
      </c>
      <c r="AN987" s="6">
        <v>7.1417000000000002</v>
      </c>
      <c r="AO987" s="4" t="str">
        <f t="shared" si="175"/>
        <v>Low</v>
      </c>
    </row>
    <row r="988" spans="1:41">
      <c r="A988">
        <v>3</v>
      </c>
      <c r="B988" t="str">
        <f t="shared" si="165"/>
        <v>Third Class</v>
      </c>
      <c r="C988">
        <v>0</v>
      </c>
      <c r="E988" t="str">
        <f t="shared" si="166"/>
        <v>Died</v>
      </c>
      <c r="F988" t="s">
        <v>1929</v>
      </c>
      <c r="G988" t="s">
        <v>848</v>
      </c>
      <c r="H988" t="s">
        <v>1930</v>
      </c>
      <c r="I988" t="str">
        <f t="shared" si="167"/>
        <v>Mr. Maenpaa Matti</v>
      </c>
      <c r="J988" t="s">
        <v>20</v>
      </c>
      <c r="K988" t="str">
        <f t="shared" si="168"/>
        <v>Male</v>
      </c>
      <c r="L988">
        <v>22</v>
      </c>
      <c r="O988">
        <f t="shared" si="169"/>
        <v>22</v>
      </c>
      <c r="P988">
        <v>0</v>
      </c>
      <c r="R988" s="4">
        <v>0</v>
      </c>
      <c r="T988" s="5">
        <v>7.125</v>
      </c>
      <c r="W988" s="4">
        <v>22</v>
      </c>
      <c r="X988" s="4" t="str">
        <f t="shared" si="170"/>
        <v>Young Adult</v>
      </c>
      <c r="Y988" s="4" t="s">
        <v>3561</v>
      </c>
      <c r="AB988" s="4" t="str">
        <f t="shared" si="171"/>
        <v/>
      </c>
      <c r="AC988" s="4" t="str">
        <f t="shared" si="172"/>
        <v>Unknown</v>
      </c>
      <c r="AD988" s="4" t="s">
        <v>457</v>
      </c>
      <c r="AG988" s="4" t="str">
        <f t="shared" si="173"/>
        <v>Not Applicable</v>
      </c>
      <c r="AK988" s="4" t="s">
        <v>3573</v>
      </c>
      <c r="AL988" s="4" t="str">
        <f t="shared" si="174"/>
        <v>Found</v>
      </c>
      <c r="AN988" s="6">
        <v>7.125</v>
      </c>
      <c r="AO988" s="4" t="str">
        <f t="shared" si="175"/>
        <v>Low</v>
      </c>
    </row>
    <row r="989" spans="1:41">
      <c r="A989">
        <v>3</v>
      </c>
      <c r="B989" t="str">
        <f t="shared" si="165"/>
        <v>Third Class</v>
      </c>
      <c r="C989">
        <v>0</v>
      </c>
      <c r="E989" t="str">
        <f t="shared" si="166"/>
        <v>Died</v>
      </c>
      <c r="F989" t="s">
        <v>1931</v>
      </c>
      <c r="G989" t="s">
        <v>842</v>
      </c>
      <c r="H989" t="s">
        <v>1629</v>
      </c>
      <c r="I989" t="str">
        <f t="shared" si="167"/>
        <v>Miss. Mahon Bridget</v>
      </c>
      <c r="J989" t="s">
        <v>47</v>
      </c>
      <c r="K989" t="str">
        <f t="shared" si="168"/>
        <v>Female</v>
      </c>
      <c r="L989">
        <v>28</v>
      </c>
      <c r="O989">
        <f t="shared" si="169"/>
        <v>28</v>
      </c>
      <c r="P989">
        <v>0</v>
      </c>
      <c r="R989" s="4">
        <v>0</v>
      </c>
      <c r="T989" s="5">
        <v>7.8792</v>
      </c>
      <c r="W989" s="4">
        <v>28</v>
      </c>
      <c r="X989" s="4" t="str">
        <f t="shared" si="170"/>
        <v>Young Adult</v>
      </c>
      <c r="Y989" s="4" t="s">
        <v>3561</v>
      </c>
      <c r="AB989" s="4" t="str">
        <f t="shared" si="171"/>
        <v/>
      </c>
      <c r="AC989" s="4" t="str">
        <f t="shared" si="172"/>
        <v>Unknown</v>
      </c>
      <c r="AD989" s="4" t="s">
        <v>3567</v>
      </c>
      <c r="AG989" s="4" t="str">
        <f t="shared" si="173"/>
        <v>Not Applicable</v>
      </c>
      <c r="AK989" s="4" t="s">
        <v>3573</v>
      </c>
      <c r="AL989" s="4" t="str">
        <f t="shared" si="174"/>
        <v>Found</v>
      </c>
      <c r="AN989" s="6">
        <v>7.8792</v>
      </c>
      <c r="AO989" s="4" t="str">
        <f t="shared" si="175"/>
        <v>Low</v>
      </c>
    </row>
    <row r="990" spans="1:41">
      <c r="A990">
        <v>3</v>
      </c>
      <c r="B990" t="str">
        <f t="shared" si="165"/>
        <v>Third Class</v>
      </c>
      <c r="C990">
        <v>0</v>
      </c>
      <c r="E990" t="str">
        <f t="shared" si="166"/>
        <v>Died</v>
      </c>
      <c r="F990" t="s">
        <v>1931</v>
      </c>
      <c r="G990" t="s">
        <v>848</v>
      </c>
      <c r="H990" t="s">
        <v>862</v>
      </c>
      <c r="I990" t="str">
        <f t="shared" si="167"/>
        <v>Mr. Mahon John</v>
      </c>
      <c r="J990" t="s">
        <v>20</v>
      </c>
      <c r="K990" t="str">
        <f t="shared" si="168"/>
        <v>Male</v>
      </c>
      <c r="L990">
        <v>28</v>
      </c>
      <c r="O990">
        <f t="shared" si="169"/>
        <v>28</v>
      </c>
      <c r="P990">
        <v>0</v>
      </c>
      <c r="R990" s="4">
        <v>0</v>
      </c>
      <c r="T990" s="5">
        <v>7.75</v>
      </c>
      <c r="W990" s="4">
        <v>28</v>
      </c>
      <c r="X990" s="4" t="str">
        <f t="shared" si="170"/>
        <v>Young Adult</v>
      </c>
      <c r="Y990" s="4" t="s">
        <v>3561</v>
      </c>
      <c r="AB990" s="4" t="str">
        <f t="shared" si="171"/>
        <v/>
      </c>
      <c r="AC990" s="4" t="str">
        <f t="shared" si="172"/>
        <v>Unknown</v>
      </c>
      <c r="AD990" s="4" t="s">
        <v>3567</v>
      </c>
      <c r="AG990" s="4" t="str">
        <f t="shared" si="173"/>
        <v>Not Applicable</v>
      </c>
      <c r="AK990" s="4" t="s">
        <v>3573</v>
      </c>
      <c r="AL990" s="4" t="str">
        <f t="shared" si="174"/>
        <v>Found</v>
      </c>
      <c r="AN990" s="6">
        <v>7.75</v>
      </c>
      <c r="AO990" s="4" t="str">
        <f t="shared" si="175"/>
        <v>Low</v>
      </c>
    </row>
    <row r="991" spans="1:41">
      <c r="A991">
        <v>3</v>
      </c>
      <c r="B991" t="str">
        <f t="shared" si="165"/>
        <v>Third Class</v>
      </c>
      <c r="C991">
        <v>0</v>
      </c>
      <c r="E991" t="str">
        <f t="shared" si="166"/>
        <v>Died</v>
      </c>
      <c r="F991" t="s">
        <v>1932</v>
      </c>
      <c r="G991" t="s">
        <v>848</v>
      </c>
      <c r="H991" t="s">
        <v>1911</v>
      </c>
      <c r="I991" t="str">
        <f t="shared" si="167"/>
        <v>Mr. Maisner Simon</v>
      </c>
      <c r="J991" t="s">
        <v>20</v>
      </c>
      <c r="K991" t="str">
        <f t="shared" si="168"/>
        <v>Male</v>
      </c>
      <c r="L991">
        <v>28</v>
      </c>
      <c r="O991">
        <f t="shared" si="169"/>
        <v>28</v>
      </c>
      <c r="P991">
        <v>0</v>
      </c>
      <c r="R991" s="4">
        <v>0</v>
      </c>
      <c r="T991" s="5">
        <v>8.0500000000000007</v>
      </c>
      <c r="W991" s="4">
        <v>28</v>
      </c>
      <c r="X991" s="4" t="str">
        <f t="shared" si="170"/>
        <v>Young Adult</v>
      </c>
      <c r="Y991" s="4" t="s">
        <v>3561</v>
      </c>
      <c r="AB991" s="4" t="str">
        <f t="shared" si="171"/>
        <v/>
      </c>
      <c r="AC991" s="4" t="str">
        <f t="shared" si="172"/>
        <v>Unknown</v>
      </c>
      <c r="AD991" s="4" t="s">
        <v>457</v>
      </c>
      <c r="AG991" s="4" t="str">
        <f t="shared" si="173"/>
        <v>Not Applicable</v>
      </c>
      <c r="AK991" s="4" t="s">
        <v>3573</v>
      </c>
      <c r="AL991" s="4" t="str">
        <f t="shared" si="174"/>
        <v>Found</v>
      </c>
      <c r="AN991" s="6">
        <v>8.0500000000000007</v>
      </c>
      <c r="AO991" s="4" t="str">
        <f t="shared" si="175"/>
        <v>Low</v>
      </c>
    </row>
    <row r="992" spans="1:41">
      <c r="A992">
        <v>3</v>
      </c>
      <c r="B992" t="str">
        <f t="shared" si="165"/>
        <v>Third Class</v>
      </c>
      <c r="C992">
        <v>0</v>
      </c>
      <c r="E992" t="str">
        <f t="shared" si="166"/>
        <v>Died</v>
      </c>
      <c r="F992" t="s">
        <v>1933</v>
      </c>
      <c r="G992" t="s">
        <v>848</v>
      </c>
      <c r="H992" t="s">
        <v>1934</v>
      </c>
      <c r="I992" t="str">
        <f t="shared" si="167"/>
        <v>Mr. Makinen Kalle</v>
      </c>
      <c r="J992" t="s">
        <v>20</v>
      </c>
      <c r="K992" t="str">
        <f t="shared" si="168"/>
        <v>Male</v>
      </c>
      <c r="L992">
        <v>29</v>
      </c>
      <c r="O992">
        <f t="shared" si="169"/>
        <v>29</v>
      </c>
      <c r="P992">
        <v>0</v>
      </c>
      <c r="R992" s="4">
        <v>0</v>
      </c>
      <c r="T992" s="5">
        <v>7.9249999999999998</v>
      </c>
      <c r="W992" s="4">
        <v>29</v>
      </c>
      <c r="X992" s="4" t="str">
        <f t="shared" si="170"/>
        <v>Young Adult</v>
      </c>
      <c r="Y992" s="4" t="s">
        <v>3561</v>
      </c>
      <c r="AB992" s="4" t="str">
        <f t="shared" si="171"/>
        <v/>
      </c>
      <c r="AC992" s="4" t="str">
        <f t="shared" si="172"/>
        <v>Unknown</v>
      </c>
      <c r="AD992" s="4" t="s">
        <v>457</v>
      </c>
      <c r="AG992" s="4" t="str">
        <f t="shared" si="173"/>
        <v>Not Applicable</v>
      </c>
      <c r="AK992" s="4" t="s">
        <v>3573</v>
      </c>
      <c r="AL992" s="4" t="str">
        <f t="shared" si="174"/>
        <v>Found</v>
      </c>
      <c r="AN992" s="6">
        <v>7.9249999999999998</v>
      </c>
      <c r="AO992" s="4" t="str">
        <f t="shared" si="175"/>
        <v>Low</v>
      </c>
    </row>
    <row r="993" spans="1:41">
      <c r="A993">
        <v>3</v>
      </c>
      <c r="B993" t="str">
        <f t="shared" si="165"/>
        <v>Third Class</v>
      </c>
      <c r="C993">
        <v>1</v>
      </c>
      <c r="E993" t="str">
        <f t="shared" si="166"/>
        <v>Survived</v>
      </c>
      <c r="F993" t="s">
        <v>1935</v>
      </c>
      <c r="G993" t="s">
        <v>848</v>
      </c>
      <c r="H993" t="s">
        <v>1608</v>
      </c>
      <c r="I993" t="str">
        <f t="shared" si="167"/>
        <v>Mr. Mamee Hanna</v>
      </c>
      <c r="J993" t="s">
        <v>20</v>
      </c>
      <c r="K993" t="str">
        <f t="shared" si="168"/>
        <v>Male</v>
      </c>
      <c r="L993">
        <v>28</v>
      </c>
      <c r="O993">
        <f t="shared" si="169"/>
        <v>28</v>
      </c>
      <c r="P993">
        <v>0</v>
      </c>
      <c r="R993" s="4">
        <v>0</v>
      </c>
      <c r="T993" s="5">
        <v>7.2291999999999996</v>
      </c>
      <c r="W993" s="4">
        <v>28</v>
      </c>
      <c r="X993" s="4" t="str">
        <f t="shared" si="170"/>
        <v>Young Adult</v>
      </c>
      <c r="Y993" s="4" t="s">
        <v>3561</v>
      </c>
      <c r="AB993" s="4" t="str">
        <f t="shared" si="171"/>
        <v/>
      </c>
      <c r="AC993" s="4" t="str">
        <f t="shared" si="172"/>
        <v>Unknown</v>
      </c>
      <c r="AD993" s="4" t="s">
        <v>3566</v>
      </c>
      <c r="AF993" s="4">
        <v>15</v>
      </c>
      <c r="AG993" s="4">
        <f t="shared" si="173"/>
        <v>15</v>
      </c>
      <c r="AK993" s="4" t="s">
        <v>3573</v>
      </c>
      <c r="AL993" s="4" t="str">
        <f t="shared" si="174"/>
        <v>Found</v>
      </c>
      <c r="AN993" s="6">
        <v>7.2291999999999996</v>
      </c>
      <c r="AO993" s="4" t="str">
        <f t="shared" si="175"/>
        <v>Low</v>
      </c>
    </row>
    <row r="994" spans="1:41">
      <c r="A994">
        <v>3</v>
      </c>
      <c r="B994" t="str">
        <f t="shared" si="165"/>
        <v>Third Class</v>
      </c>
      <c r="C994">
        <v>0</v>
      </c>
      <c r="E994" t="str">
        <f t="shared" si="166"/>
        <v>Died</v>
      </c>
      <c r="F994" t="s">
        <v>1936</v>
      </c>
      <c r="G994" t="s">
        <v>842</v>
      </c>
      <c r="H994" t="s">
        <v>1107</v>
      </c>
      <c r="I994" t="str">
        <f t="shared" si="167"/>
        <v>Miss. Mangan Mary</v>
      </c>
      <c r="J994" t="s">
        <v>47</v>
      </c>
      <c r="K994" t="str">
        <f t="shared" si="168"/>
        <v>Female</v>
      </c>
      <c r="L994">
        <v>30.5</v>
      </c>
      <c r="O994">
        <f t="shared" si="169"/>
        <v>31</v>
      </c>
      <c r="P994">
        <v>0</v>
      </c>
      <c r="R994" s="4">
        <v>0</v>
      </c>
      <c r="T994" s="5">
        <v>7.75</v>
      </c>
      <c r="W994" s="4">
        <v>31</v>
      </c>
      <c r="X994" s="4" t="str">
        <f t="shared" si="170"/>
        <v>Adult</v>
      </c>
      <c r="Y994" s="4" t="s">
        <v>3561</v>
      </c>
      <c r="AB994" s="4" t="str">
        <f t="shared" si="171"/>
        <v/>
      </c>
      <c r="AC994" s="4" t="str">
        <f t="shared" si="172"/>
        <v>Unknown</v>
      </c>
      <c r="AD994" s="4" t="s">
        <v>3567</v>
      </c>
      <c r="AG994" s="4" t="str">
        <f t="shared" si="173"/>
        <v>Not Applicable</v>
      </c>
      <c r="AH994" s="4">
        <v>61</v>
      </c>
      <c r="AK994" s="4">
        <v>61</v>
      </c>
      <c r="AL994" s="4" t="str">
        <f t="shared" si="174"/>
        <v>Found</v>
      </c>
      <c r="AN994" s="6">
        <v>7.75</v>
      </c>
      <c r="AO994" s="4" t="str">
        <f t="shared" si="175"/>
        <v>Low</v>
      </c>
    </row>
    <row r="995" spans="1:41">
      <c r="A995">
        <v>3</v>
      </c>
      <c r="B995" t="str">
        <f t="shared" si="165"/>
        <v>Third Class</v>
      </c>
      <c r="C995">
        <v>1</v>
      </c>
      <c r="E995" t="str">
        <f t="shared" si="166"/>
        <v>Survived</v>
      </c>
      <c r="F995" t="s">
        <v>1937</v>
      </c>
      <c r="G995" t="s">
        <v>842</v>
      </c>
      <c r="H995" t="s">
        <v>1938</v>
      </c>
      <c r="I995" t="str">
        <f t="shared" si="167"/>
        <v>Miss. Mannion Margareth</v>
      </c>
      <c r="J995" t="s">
        <v>47</v>
      </c>
      <c r="K995" t="str">
        <f t="shared" si="168"/>
        <v>Female</v>
      </c>
      <c r="L995">
        <v>28</v>
      </c>
      <c r="O995">
        <f t="shared" si="169"/>
        <v>28</v>
      </c>
      <c r="P995">
        <v>0</v>
      </c>
      <c r="R995" s="4">
        <v>0</v>
      </c>
      <c r="T995" s="5">
        <v>7.7374999999999998</v>
      </c>
      <c r="W995" s="4">
        <v>28</v>
      </c>
      <c r="X995" s="4" t="str">
        <f t="shared" si="170"/>
        <v>Young Adult</v>
      </c>
      <c r="Y995" s="4" t="s">
        <v>3561</v>
      </c>
      <c r="AB995" s="4" t="str">
        <f t="shared" si="171"/>
        <v/>
      </c>
      <c r="AC995" s="4" t="str">
        <f t="shared" si="172"/>
        <v>Unknown</v>
      </c>
      <c r="AD995" s="4" t="s">
        <v>3567</v>
      </c>
      <c r="AF995" s="4">
        <v>16</v>
      </c>
      <c r="AG995" s="4">
        <f t="shared" si="173"/>
        <v>16</v>
      </c>
      <c r="AK995" s="4" t="s">
        <v>3573</v>
      </c>
      <c r="AL995" s="4" t="str">
        <f t="shared" si="174"/>
        <v>Found</v>
      </c>
      <c r="AN995" s="6">
        <v>7.7374999999999998</v>
      </c>
      <c r="AO995" s="4" t="str">
        <f t="shared" si="175"/>
        <v>Low</v>
      </c>
    </row>
    <row r="996" spans="1:41">
      <c r="A996">
        <v>3</v>
      </c>
      <c r="B996" t="str">
        <f t="shared" si="165"/>
        <v>Third Class</v>
      </c>
      <c r="C996">
        <v>0</v>
      </c>
      <c r="E996" t="str">
        <f t="shared" si="166"/>
        <v>Died</v>
      </c>
      <c r="F996" t="s">
        <v>1939</v>
      </c>
      <c r="G996" t="s">
        <v>848</v>
      </c>
      <c r="H996" t="s">
        <v>1880</v>
      </c>
      <c r="I996" t="str">
        <f t="shared" si="167"/>
        <v>Mr. Mardirosian Sarkis</v>
      </c>
      <c r="J996" t="s">
        <v>20</v>
      </c>
      <c r="K996" t="str">
        <f t="shared" si="168"/>
        <v>Male</v>
      </c>
      <c r="L996">
        <v>28</v>
      </c>
      <c r="O996">
        <f t="shared" si="169"/>
        <v>28</v>
      </c>
      <c r="P996">
        <v>0</v>
      </c>
      <c r="R996" s="4">
        <v>0</v>
      </c>
      <c r="T996" s="5">
        <v>7.2291999999999996</v>
      </c>
      <c r="W996" s="4">
        <v>28</v>
      </c>
      <c r="X996" s="4" t="str">
        <f t="shared" si="170"/>
        <v>Young Adult</v>
      </c>
      <c r="Y996" s="4" t="s">
        <v>777</v>
      </c>
      <c r="AA996" s="4" t="s">
        <v>777</v>
      </c>
      <c r="AB996" s="4" t="str">
        <f t="shared" si="171"/>
        <v>F</v>
      </c>
      <c r="AC996" s="4" t="str">
        <f t="shared" si="172"/>
        <v>F</v>
      </c>
      <c r="AD996" s="4" t="s">
        <v>3566</v>
      </c>
      <c r="AG996" s="4" t="str">
        <f t="shared" si="173"/>
        <v>Not Applicable</v>
      </c>
      <c r="AK996" s="4" t="s">
        <v>3573</v>
      </c>
      <c r="AL996" s="4" t="str">
        <f t="shared" si="174"/>
        <v>Found</v>
      </c>
      <c r="AN996" s="6">
        <v>7.2291999999999996</v>
      </c>
      <c r="AO996" s="4" t="str">
        <f t="shared" si="175"/>
        <v>Low</v>
      </c>
    </row>
    <row r="997" spans="1:41">
      <c r="A997">
        <v>3</v>
      </c>
      <c r="B997" t="str">
        <f t="shared" si="165"/>
        <v>Third Class</v>
      </c>
      <c r="C997">
        <v>0</v>
      </c>
      <c r="E997" t="str">
        <f t="shared" si="166"/>
        <v>Died</v>
      </c>
      <c r="F997" t="s">
        <v>1940</v>
      </c>
      <c r="G997" t="s">
        <v>848</v>
      </c>
      <c r="H997" t="s">
        <v>1941</v>
      </c>
      <c r="I997" t="str">
        <f t="shared" si="167"/>
        <v>Mr. Markoff Marin</v>
      </c>
      <c r="J997" t="s">
        <v>20</v>
      </c>
      <c r="K997" t="str">
        <f t="shared" si="168"/>
        <v>Male</v>
      </c>
      <c r="L997">
        <v>35</v>
      </c>
      <c r="O997">
        <f t="shared" si="169"/>
        <v>35</v>
      </c>
      <c r="P997">
        <v>0</v>
      </c>
      <c r="R997" s="4">
        <v>0</v>
      </c>
      <c r="T997" s="5">
        <v>7.8958000000000004</v>
      </c>
      <c r="W997" s="4">
        <v>35</v>
      </c>
      <c r="X997" s="4" t="str">
        <f t="shared" si="170"/>
        <v>Adult</v>
      </c>
      <c r="Y997" s="4" t="s">
        <v>3561</v>
      </c>
      <c r="AB997" s="4" t="str">
        <f t="shared" si="171"/>
        <v/>
      </c>
      <c r="AC997" s="4" t="str">
        <f t="shared" si="172"/>
        <v>Unknown</v>
      </c>
      <c r="AD997" s="4" t="s">
        <v>3566</v>
      </c>
      <c r="AG997" s="4" t="str">
        <f t="shared" si="173"/>
        <v>Not Applicable</v>
      </c>
      <c r="AK997" s="4" t="s">
        <v>3573</v>
      </c>
      <c r="AL997" s="4" t="str">
        <f t="shared" si="174"/>
        <v>Found</v>
      </c>
      <c r="AN997" s="6">
        <v>7.8958000000000004</v>
      </c>
      <c r="AO997" s="4" t="str">
        <f t="shared" si="175"/>
        <v>Low</v>
      </c>
    </row>
    <row r="998" spans="1:41">
      <c r="A998">
        <v>3</v>
      </c>
      <c r="B998" t="str">
        <f t="shared" si="165"/>
        <v>Third Class</v>
      </c>
      <c r="C998">
        <v>0</v>
      </c>
      <c r="E998" t="str">
        <f t="shared" si="166"/>
        <v>Died</v>
      </c>
      <c r="F998" t="s">
        <v>1942</v>
      </c>
      <c r="G998" t="s">
        <v>848</v>
      </c>
      <c r="H998" t="s">
        <v>1943</v>
      </c>
      <c r="I998" t="str">
        <f t="shared" si="167"/>
        <v>Mr. Markun Johann</v>
      </c>
      <c r="J998" t="s">
        <v>20</v>
      </c>
      <c r="K998" t="str">
        <f t="shared" si="168"/>
        <v>Male</v>
      </c>
      <c r="L998">
        <v>33</v>
      </c>
      <c r="O998">
        <f t="shared" si="169"/>
        <v>33</v>
      </c>
      <c r="P998">
        <v>0</v>
      </c>
      <c r="R998" s="4">
        <v>0</v>
      </c>
      <c r="T998" s="5">
        <v>7.8958000000000004</v>
      </c>
      <c r="W998" s="4">
        <v>33</v>
      </c>
      <c r="X998" s="4" t="str">
        <f t="shared" si="170"/>
        <v>Adult</v>
      </c>
      <c r="Y998" s="4" t="s">
        <v>3561</v>
      </c>
      <c r="AB998" s="4" t="str">
        <f t="shared" si="171"/>
        <v/>
      </c>
      <c r="AC998" s="4" t="str">
        <f t="shared" si="172"/>
        <v>Unknown</v>
      </c>
      <c r="AD998" s="4" t="s">
        <v>457</v>
      </c>
      <c r="AG998" s="4" t="str">
        <f t="shared" si="173"/>
        <v>Not Applicable</v>
      </c>
      <c r="AK998" s="4" t="s">
        <v>3573</v>
      </c>
      <c r="AL998" s="4" t="str">
        <f t="shared" si="174"/>
        <v>Found</v>
      </c>
      <c r="AN998" s="6">
        <v>7.8958000000000004</v>
      </c>
      <c r="AO998" s="4" t="str">
        <f t="shared" si="175"/>
        <v>Low</v>
      </c>
    </row>
    <row r="999" spans="1:41">
      <c r="A999">
        <v>3</v>
      </c>
      <c r="B999" t="str">
        <f t="shared" si="165"/>
        <v>Third Class</v>
      </c>
      <c r="C999">
        <v>1</v>
      </c>
      <c r="E999" t="str">
        <f t="shared" si="166"/>
        <v>Survived</v>
      </c>
      <c r="F999" t="s">
        <v>1944</v>
      </c>
      <c r="G999" t="s">
        <v>849</v>
      </c>
      <c r="H999" t="s">
        <v>1945</v>
      </c>
      <c r="I999" t="str">
        <f t="shared" si="167"/>
        <v>Mrs. Masselmani Fatima</v>
      </c>
      <c r="J999" t="s">
        <v>47</v>
      </c>
      <c r="K999" t="str">
        <f t="shared" si="168"/>
        <v>Female</v>
      </c>
      <c r="L999">
        <v>28</v>
      </c>
      <c r="O999">
        <f t="shared" si="169"/>
        <v>28</v>
      </c>
      <c r="P999">
        <v>0</v>
      </c>
      <c r="R999" s="4">
        <v>0</v>
      </c>
      <c r="T999" s="5">
        <v>7.2249999999999996</v>
      </c>
      <c r="W999" s="4">
        <v>28</v>
      </c>
      <c r="X999" s="4" t="str">
        <f t="shared" si="170"/>
        <v>Young Adult</v>
      </c>
      <c r="Y999" s="4" t="s">
        <v>3561</v>
      </c>
      <c r="AB999" s="4" t="str">
        <f t="shared" si="171"/>
        <v/>
      </c>
      <c r="AC999" s="4" t="str">
        <f t="shared" si="172"/>
        <v>Unknown</v>
      </c>
      <c r="AD999" s="4" t="s">
        <v>3566</v>
      </c>
      <c r="AF999" s="4" t="s">
        <v>62</v>
      </c>
      <c r="AG999" s="4" t="str">
        <f t="shared" si="173"/>
        <v>C</v>
      </c>
      <c r="AK999" s="4" t="s">
        <v>3573</v>
      </c>
      <c r="AL999" s="4" t="str">
        <f t="shared" si="174"/>
        <v>Found</v>
      </c>
      <c r="AN999" s="6">
        <v>7.2249999999999996</v>
      </c>
      <c r="AO999" s="4" t="str">
        <f t="shared" si="175"/>
        <v>Low</v>
      </c>
    </row>
    <row r="1000" spans="1:41">
      <c r="A1000">
        <v>3</v>
      </c>
      <c r="B1000" t="str">
        <f t="shared" si="165"/>
        <v>Third Class</v>
      </c>
      <c r="C1000">
        <v>0</v>
      </c>
      <c r="E1000" t="str">
        <f t="shared" si="166"/>
        <v>Died</v>
      </c>
      <c r="F1000" t="s">
        <v>1946</v>
      </c>
      <c r="G1000" t="s">
        <v>848</v>
      </c>
      <c r="H1000" t="s">
        <v>1947</v>
      </c>
      <c r="I1000" t="str">
        <f t="shared" si="167"/>
        <v>Mr. Matinoff Nicola</v>
      </c>
      <c r="J1000" t="s">
        <v>20</v>
      </c>
      <c r="K1000" t="str">
        <f t="shared" si="168"/>
        <v>Male</v>
      </c>
      <c r="L1000">
        <v>28</v>
      </c>
      <c r="O1000">
        <f t="shared" si="169"/>
        <v>28</v>
      </c>
      <c r="P1000">
        <v>0</v>
      </c>
      <c r="R1000" s="4">
        <v>0</v>
      </c>
      <c r="T1000" s="5">
        <v>7.8958000000000004</v>
      </c>
      <c r="W1000" s="4">
        <v>28</v>
      </c>
      <c r="X1000" s="4" t="str">
        <f t="shared" si="170"/>
        <v>Young Adult</v>
      </c>
      <c r="Y1000" s="4" t="s">
        <v>3561</v>
      </c>
      <c r="AB1000" s="4" t="str">
        <f t="shared" si="171"/>
        <v/>
      </c>
      <c r="AC1000" s="4" t="str">
        <f t="shared" si="172"/>
        <v>Unknown</v>
      </c>
      <c r="AD1000" s="4" t="s">
        <v>3566</v>
      </c>
      <c r="AG1000" s="4" t="str">
        <f t="shared" si="173"/>
        <v>Not Applicable</v>
      </c>
      <c r="AK1000" s="4" t="s">
        <v>3573</v>
      </c>
      <c r="AL1000" s="4" t="str">
        <f t="shared" si="174"/>
        <v>Found</v>
      </c>
      <c r="AN1000" s="6">
        <v>7.8958000000000004</v>
      </c>
      <c r="AO1000" s="4" t="str">
        <f t="shared" si="175"/>
        <v>Low</v>
      </c>
    </row>
    <row r="1001" spans="1:41">
      <c r="A1001">
        <v>3</v>
      </c>
      <c r="B1001" t="str">
        <f t="shared" si="165"/>
        <v>Third Class</v>
      </c>
      <c r="C1001">
        <v>1</v>
      </c>
      <c r="E1001" t="str">
        <f t="shared" si="166"/>
        <v>Survived</v>
      </c>
      <c r="F1001" t="s">
        <v>1130</v>
      </c>
      <c r="G1001" t="s">
        <v>842</v>
      </c>
      <c r="H1001" t="s">
        <v>1291</v>
      </c>
      <c r="I1001" t="str">
        <f t="shared" si="167"/>
        <v>Miss. McCarthy Catherine</v>
      </c>
      <c r="J1001" t="s">
        <v>47</v>
      </c>
      <c r="K1001" t="str">
        <f t="shared" si="168"/>
        <v>Female</v>
      </c>
      <c r="L1001">
        <v>28</v>
      </c>
      <c r="O1001">
        <f t="shared" si="169"/>
        <v>28</v>
      </c>
      <c r="P1001">
        <v>0</v>
      </c>
      <c r="R1001" s="4">
        <v>0</v>
      </c>
      <c r="T1001" s="5">
        <v>7.75</v>
      </c>
      <c r="W1001" s="4">
        <v>28</v>
      </c>
      <c r="X1001" s="4" t="str">
        <f t="shared" si="170"/>
        <v>Young Adult</v>
      </c>
      <c r="Y1001" s="4" t="s">
        <v>3561</v>
      </c>
      <c r="AB1001" s="4" t="str">
        <f t="shared" si="171"/>
        <v/>
      </c>
      <c r="AC1001" s="4" t="str">
        <f t="shared" si="172"/>
        <v>Unknown</v>
      </c>
      <c r="AD1001" s="4" t="s">
        <v>3567</v>
      </c>
      <c r="AF1001" s="4" t="s">
        <v>778</v>
      </c>
      <c r="AG1001" s="4" t="str">
        <f t="shared" si="173"/>
        <v>15 16</v>
      </c>
      <c r="AK1001" s="4" t="s">
        <v>3573</v>
      </c>
      <c r="AL1001" s="4" t="str">
        <f t="shared" si="174"/>
        <v>Found</v>
      </c>
      <c r="AN1001" s="6">
        <v>7.75</v>
      </c>
      <c r="AO1001" s="4" t="str">
        <f t="shared" si="175"/>
        <v>Low</v>
      </c>
    </row>
    <row r="1002" spans="1:41">
      <c r="A1002">
        <v>3</v>
      </c>
      <c r="B1002" t="str">
        <f t="shared" si="165"/>
        <v>Third Class</v>
      </c>
      <c r="C1002">
        <v>1</v>
      </c>
      <c r="E1002" t="str">
        <f t="shared" si="166"/>
        <v>Survived</v>
      </c>
      <c r="F1002" t="s">
        <v>1948</v>
      </c>
      <c r="G1002" t="s">
        <v>848</v>
      </c>
      <c r="H1002" t="s">
        <v>855</v>
      </c>
      <c r="I1002" t="str">
        <f t="shared" si="167"/>
        <v>Mr. McCormack Thomas</v>
      </c>
      <c r="J1002" t="s">
        <v>20</v>
      </c>
      <c r="K1002" t="str">
        <f t="shared" si="168"/>
        <v>Male</v>
      </c>
      <c r="L1002">
        <v>28</v>
      </c>
      <c r="O1002">
        <f t="shared" si="169"/>
        <v>28</v>
      </c>
      <c r="P1002">
        <v>0</v>
      </c>
      <c r="R1002" s="4">
        <v>0</v>
      </c>
      <c r="T1002" s="5">
        <v>7.75</v>
      </c>
      <c r="W1002" s="4">
        <v>28</v>
      </c>
      <c r="X1002" s="4" t="str">
        <f t="shared" si="170"/>
        <v>Young Adult</v>
      </c>
      <c r="Y1002" s="4" t="s">
        <v>3561</v>
      </c>
      <c r="AB1002" s="4" t="str">
        <f t="shared" si="171"/>
        <v/>
      </c>
      <c r="AC1002" s="4" t="str">
        <f t="shared" si="172"/>
        <v>Unknown</v>
      </c>
      <c r="AD1002" s="4" t="s">
        <v>3567</v>
      </c>
      <c r="AG1002" s="4" t="str">
        <f t="shared" si="173"/>
        <v>Not Applicable</v>
      </c>
      <c r="AK1002" s="4" t="s">
        <v>3573</v>
      </c>
      <c r="AL1002" s="4" t="str">
        <f t="shared" si="174"/>
        <v>Found</v>
      </c>
      <c r="AN1002" s="6">
        <v>7.75</v>
      </c>
      <c r="AO1002" s="4" t="str">
        <f t="shared" si="175"/>
        <v>Low</v>
      </c>
    </row>
    <row r="1003" spans="1:41">
      <c r="A1003">
        <v>3</v>
      </c>
      <c r="B1003" t="str">
        <f t="shared" si="165"/>
        <v>Third Class</v>
      </c>
      <c r="C1003">
        <v>1</v>
      </c>
      <c r="E1003" t="str">
        <f t="shared" si="166"/>
        <v>Survived</v>
      </c>
      <c r="F1003" t="s">
        <v>1949</v>
      </c>
      <c r="G1003" t="s">
        <v>842</v>
      </c>
      <c r="H1003" t="s">
        <v>1268</v>
      </c>
      <c r="I1003" t="str">
        <f t="shared" si="167"/>
        <v>Miss. McCoy Agnes</v>
      </c>
      <c r="J1003" t="s">
        <v>47</v>
      </c>
      <c r="K1003" t="str">
        <f t="shared" si="168"/>
        <v>Female</v>
      </c>
      <c r="L1003">
        <v>28</v>
      </c>
      <c r="O1003">
        <f t="shared" si="169"/>
        <v>28</v>
      </c>
      <c r="P1003">
        <v>2</v>
      </c>
      <c r="R1003" s="4">
        <v>0</v>
      </c>
      <c r="T1003" s="5">
        <v>23.25</v>
      </c>
      <c r="W1003" s="4">
        <v>28</v>
      </c>
      <c r="X1003" s="4" t="str">
        <f t="shared" si="170"/>
        <v>Young Adult</v>
      </c>
      <c r="Y1003" s="4" t="s">
        <v>3561</v>
      </c>
      <c r="AB1003" s="4" t="str">
        <f t="shared" si="171"/>
        <v/>
      </c>
      <c r="AC1003" s="4" t="str">
        <f t="shared" si="172"/>
        <v>Unknown</v>
      </c>
      <c r="AD1003" s="4" t="s">
        <v>3567</v>
      </c>
      <c r="AF1003" s="4">
        <v>16</v>
      </c>
      <c r="AG1003" s="4">
        <f t="shared" si="173"/>
        <v>16</v>
      </c>
      <c r="AK1003" s="4" t="s">
        <v>3573</v>
      </c>
      <c r="AL1003" s="4" t="str">
        <f t="shared" si="174"/>
        <v>Found</v>
      </c>
      <c r="AN1003" s="6">
        <v>23.25</v>
      </c>
      <c r="AO1003" s="4" t="str">
        <f t="shared" si="175"/>
        <v>Mid</v>
      </c>
    </row>
    <row r="1004" spans="1:41">
      <c r="A1004">
        <v>3</v>
      </c>
      <c r="B1004" t="str">
        <f t="shared" si="165"/>
        <v>Third Class</v>
      </c>
      <c r="C1004">
        <v>1</v>
      </c>
      <c r="E1004" t="str">
        <f t="shared" si="166"/>
        <v>Survived</v>
      </c>
      <c r="F1004" t="s">
        <v>1949</v>
      </c>
      <c r="G1004" t="s">
        <v>842</v>
      </c>
      <c r="H1004" t="s">
        <v>1950</v>
      </c>
      <c r="I1004" t="str">
        <f t="shared" si="167"/>
        <v>Miss. McCoy Alicia</v>
      </c>
      <c r="J1004" t="s">
        <v>47</v>
      </c>
      <c r="K1004" t="str">
        <f t="shared" si="168"/>
        <v>Female</v>
      </c>
      <c r="L1004">
        <v>28</v>
      </c>
      <c r="O1004">
        <f t="shared" si="169"/>
        <v>28</v>
      </c>
      <c r="P1004">
        <v>2</v>
      </c>
      <c r="R1004" s="4">
        <v>0</v>
      </c>
      <c r="T1004" s="5">
        <v>23.25</v>
      </c>
      <c r="W1004" s="4">
        <v>28</v>
      </c>
      <c r="X1004" s="4" t="str">
        <f t="shared" si="170"/>
        <v>Young Adult</v>
      </c>
      <c r="Y1004" s="4" t="s">
        <v>3561</v>
      </c>
      <c r="AB1004" s="4" t="str">
        <f t="shared" si="171"/>
        <v/>
      </c>
      <c r="AC1004" s="4" t="str">
        <f t="shared" si="172"/>
        <v>Unknown</v>
      </c>
      <c r="AD1004" s="4" t="s">
        <v>3567</v>
      </c>
      <c r="AF1004" s="4">
        <v>16</v>
      </c>
      <c r="AG1004" s="4">
        <f t="shared" si="173"/>
        <v>16</v>
      </c>
      <c r="AK1004" s="4" t="s">
        <v>3573</v>
      </c>
      <c r="AL1004" s="4" t="str">
        <f t="shared" si="174"/>
        <v>Found</v>
      </c>
      <c r="AN1004" s="6">
        <v>23.25</v>
      </c>
      <c r="AO1004" s="4" t="str">
        <f t="shared" si="175"/>
        <v>Mid</v>
      </c>
    </row>
    <row r="1005" spans="1:41">
      <c r="A1005">
        <v>3</v>
      </c>
      <c r="B1005" t="str">
        <f t="shared" si="165"/>
        <v>Third Class</v>
      </c>
      <c r="C1005">
        <v>1</v>
      </c>
      <c r="E1005" t="str">
        <f t="shared" si="166"/>
        <v>Survived</v>
      </c>
      <c r="F1005" t="s">
        <v>1949</v>
      </c>
      <c r="G1005" t="s">
        <v>848</v>
      </c>
      <c r="H1005" t="s">
        <v>1951</v>
      </c>
      <c r="I1005" t="str">
        <f t="shared" si="167"/>
        <v>Mr. McCoy Bernard</v>
      </c>
      <c r="J1005" t="s">
        <v>20</v>
      </c>
      <c r="K1005" t="str">
        <f t="shared" si="168"/>
        <v>Male</v>
      </c>
      <c r="L1005">
        <v>28</v>
      </c>
      <c r="O1005">
        <f t="shared" si="169"/>
        <v>28</v>
      </c>
      <c r="P1005">
        <v>2</v>
      </c>
      <c r="R1005" s="4">
        <v>0</v>
      </c>
      <c r="T1005" s="5">
        <v>23.25</v>
      </c>
      <c r="W1005" s="4">
        <v>28</v>
      </c>
      <c r="X1005" s="4" t="str">
        <f t="shared" si="170"/>
        <v>Young Adult</v>
      </c>
      <c r="Y1005" s="4" t="s">
        <v>3561</v>
      </c>
      <c r="AB1005" s="4" t="str">
        <f t="shared" si="171"/>
        <v/>
      </c>
      <c r="AC1005" s="4" t="str">
        <f t="shared" si="172"/>
        <v>Unknown</v>
      </c>
      <c r="AD1005" s="4" t="s">
        <v>3567</v>
      </c>
      <c r="AF1005" s="4">
        <v>16</v>
      </c>
      <c r="AG1005" s="4">
        <f t="shared" si="173"/>
        <v>16</v>
      </c>
      <c r="AK1005" s="4" t="s">
        <v>3573</v>
      </c>
      <c r="AL1005" s="4" t="str">
        <f t="shared" si="174"/>
        <v>Found</v>
      </c>
      <c r="AN1005" s="6">
        <v>23.25</v>
      </c>
      <c r="AO1005" s="4" t="str">
        <f t="shared" si="175"/>
        <v>Mid</v>
      </c>
    </row>
    <row r="1006" spans="1:41">
      <c r="A1006">
        <v>3</v>
      </c>
      <c r="B1006" t="str">
        <f t="shared" si="165"/>
        <v>Third Class</v>
      </c>
      <c r="C1006">
        <v>1</v>
      </c>
      <c r="E1006" t="str">
        <f t="shared" si="166"/>
        <v>Survived</v>
      </c>
      <c r="F1006" t="s">
        <v>1952</v>
      </c>
      <c r="G1006" t="s">
        <v>842</v>
      </c>
      <c r="H1006" t="s">
        <v>1953</v>
      </c>
      <c r="I1006" t="str">
        <f t="shared" si="167"/>
        <v>Miss. McDermott Brigdet</v>
      </c>
      <c r="J1006" t="s">
        <v>47</v>
      </c>
      <c r="K1006" t="str">
        <f t="shared" si="168"/>
        <v>Female</v>
      </c>
      <c r="L1006">
        <v>28</v>
      </c>
      <c r="O1006">
        <f t="shared" si="169"/>
        <v>28</v>
      </c>
      <c r="P1006">
        <v>0</v>
      </c>
      <c r="R1006" s="4">
        <v>0</v>
      </c>
      <c r="T1006" s="5">
        <v>7.7874999999999996</v>
      </c>
      <c r="W1006" s="4">
        <v>28</v>
      </c>
      <c r="X1006" s="4" t="str">
        <f t="shared" si="170"/>
        <v>Young Adult</v>
      </c>
      <c r="Y1006" s="4" t="s">
        <v>3561</v>
      </c>
      <c r="AB1006" s="4" t="str">
        <f t="shared" si="171"/>
        <v/>
      </c>
      <c r="AC1006" s="4" t="str">
        <f t="shared" si="172"/>
        <v>Unknown</v>
      </c>
      <c r="AD1006" s="4" t="s">
        <v>3567</v>
      </c>
      <c r="AF1006" s="4">
        <v>13</v>
      </c>
      <c r="AG1006" s="4">
        <f t="shared" si="173"/>
        <v>13</v>
      </c>
      <c r="AK1006" s="4" t="s">
        <v>3573</v>
      </c>
      <c r="AL1006" s="4" t="str">
        <f t="shared" si="174"/>
        <v>Found</v>
      </c>
      <c r="AN1006" s="6">
        <v>7.7874999999999996</v>
      </c>
      <c r="AO1006" s="4" t="str">
        <f t="shared" si="175"/>
        <v>Low</v>
      </c>
    </row>
    <row r="1007" spans="1:41">
      <c r="A1007">
        <v>3</v>
      </c>
      <c r="B1007" t="str">
        <f t="shared" si="165"/>
        <v>Third Class</v>
      </c>
      <c r="C1007">
        <v>0</v>
      </c>
      <c r="E1007" t="str">
        <f t="shared" si="166"/>
        <v>Died</v>
      </c>
      <c r="F1007" t="s">
        <v>1954</v>
      </c>
      <c r="G1007" t="s">
        <v>848</v>
      </c>
      <c r="H1007" t="s">
        <v>1437</v>
      </c>
      <c r="I1007" t="str">
        <f t="shared" si="167"/>
        <v>Mr. McEvoy Michael</v>
      </c>
      <c r="J1007" t="s">
        <v>20</v>
      </c>
      <c r="K1007" t="str">
        <f t="shared" si="168"/>
        <v>Male</v>
      </c>
      <c r="L1007">
        <v>28</v>
      </c>
      <c r="O1007">
        <f t="shared" si="169"/>
        <v>28</v>
      </c>
      <c r="P1007">
        <v>0</v>
      </c>
      <c r="R1007" s="4">
        <v>0</v>
      </c>
      <c r="T1007" s="5">
        <v>15.5</v>
      </c>
      <c r="W1007" s="4">
        <v>28</v>
      </c>
      <c r="X1007" s="4" t="str">
        <f t="shared" si="170"/>
        <v>Young Adult</v>
      </c>
      <c r="Y1007" s="4" t="s">
        <v>3561</v>
      </c>
      <c r="AB1007" s="4" t="str">
        <f t="shared" si="171"/>
        <v/>
      </c>
      <c r="AC1007" s="4" t="str">
        <f t="shared" si="172"/>
        <v>Unknown</v>
      </c>
      <c r="AD1007" s="4" t="s">
        <v>3567</v>
      </c>
      <c r="AG1007" s="4" t="str">
        <f t="shared" si="173"/>
        <v>Not Applicable</v>
      </c>
      <c r="AK1007" s="4" t="s">
        <v>3573</v>
      </c>
      <c r="AL1007" s="4" t="str">
        <f t="shared" si="174"/>
        <v>Found</v>
      </c>
      <c r="AN1007" s="6">
        <v>15.5</v>
      </c>
      <c r="AO1007" s="4" t="str">
        <f t="shared" si="175"/>
        <v>Mid</v>
      </c>
    </row>
    <row r="1008" spans="1:41">
      <c r="A1008">
        <v>3</v>
      </c>
      <c r="B1008" t="str">
        <f t="shared" si="165"/>
        <v>Third Class</v>
      </c>
      <c r="C1008">
        <v>1</v>
      </c>
      <c r="E1008" t="str">
        <f t="shared" si="166"/>
        <v>Survived</v>
      </c>
      <c r="F1008" t="s">
        <v>1955</v>
      </c>
      <c r="G1008" t="s">
        <v>842</v>
      </c>
      <c r="H1008" t="s">
        <v>1107</v>
      </c>
      <c r="I1008" t="str">
        <f t="shared" si="167"/>
        <v>Miss. McGovern Mary</v>
      </c>
      <c r="J1008" t="s">
        <v>47</v>
      </c>
      <c r="K1008" t="str">
        <f t="shared" si="168"/>
        <v>Female</v>
      </c>
      <c r="L1008">
        <v>28</v>
      </c>
      <c r="O1008">
        <f t="shared" si="169"/>
        <v>28</v>
      </c>
      <c r="P1008">
        <v>0</v>
      </c>
      <c r="R1008" s="4">
        <v>0</v>
      </c>
      <c r="T1008" s="5">
        <v>7.8792</v>
      </c>
      <c r="W1008" s="4">
        <v>28</v>
      </c>
      <c r="X1008" s="4" t="str">
        <f t="shared" si="170"/>
        <v>Young Adult</v>
      </c>
      <c r="Y1008" s="4" t="s">
        <v>3561</v>
      </c>
      <c r="AB1008" s="4" t="str">
        <f t="shared" si="171"/>
        <v/>
      </c>
      <c r="AC1008" s="4" t="str">
        <f t="shared" si="172"/>
        <v>Unknown</v>
      </c>
      <c r="AD1008" s="4" t="s">
        <v>3567</v>
      </c>
      <c r="AF1008" s="4">
        <v>13</v>
      </c>
      <c r="AG1008" s="4">
        <f t="shared" si="173"/>
        <v>13</v>
      </c>
      <c r="AK1008" s="4" t="s">
        <v>3573</v>
      </c>
      <c r="AL1008" s="4" t="str">
        <f t="shared" si="174"/>
        <v>Found</v>
      </c>
      <c r="AN1008" s="6">
        <v>7.8792</v>
      </c>
      <c r="AO1008" s="4" t="str">
        <f t="shared" si="175"/>
        <v>Low</v>
      </c>
    </row>
    <row r="1009" spans="1:41">
      <c r="A1009">
        <v>3</v>
      </c>
      <c r="B1009" t="str">
        <f t="shared" si="165"/>
        <v>Third Class</v>
      </c>
      <c r="C1009">
        <v>1</v>
      </c>
      <c r="E1009" t="str">
        <f t="shared" si="166"/>
        <v>Survived</v>
      </c>
      <c r="F1009" t="s">
        <v>1956</v>
      </c>
      <c r="G1009" t="s">
        <v>842</v>
      </c>
      <c r="H1009" t="s">
        <v>1247</v>
      </c>
      <c r="I1009" t="str">
        <f t="shared" si="167"/>
        <v>Miss. McGowan Anna</v>
      </c>
      <c r="J1009" t="s">
        <v>47</v>
      </c>
      <c r="K1009" t="str">
        <f t="shared" si="168"/>
        <v>Female</v>
      </c>
      <c r="L1009">
        <v>15</v>
      </c>
      <c r="O1009">
        <f t="shared" si="169"/>
        <v>15</v>
      </c>
      <c r="P1009">
        <v>0</v>
      </c>
      <c r="R1009" s="4">
        <v>0</v>
      </c>
      <c r="T1009" s="5">
        <v>8.0291999999999994</v>
      </c>
      <c r="W1009" s="4">
        <v>15</v>
      </c>
      <c r="X1009" s="4" t="str">
        <f t="shared" si="170"/>
        <v>Teenager</v>
      </c>
      <c r="Y1009" s="4" t="s">
        <v>3561</v>
      </c>
      <c r="AB1009" s="4" t="str">
        <f t="shared" si="171"/>
        <v/>
      </c>
      <c r="AC1009" s="4" t="str">
        <f t="shared" si="172"/>
        <v>Unknown</v>
      </c>
      <c r="AD1009" s="4" t="s">
        <v>3567</v>
      </c>
      <c r="AG1009" s="4" t="str">
        <f t="shared" si="173"/>
        <v>Not Applicable</v>
      </c>
      <c r="AK1009" s="4" t="s">
        <v>3573</v>
      </c>
      <c r="AL1009" s="4" t="str">
        <f t="shared" si="174"/>
        <v>Found</v>
      </c>
      <c r="AN1009" s="6">
        <v>8.0291999999999994</v>
      </c>
      <c r="AO1009" s="4" t="str">
        <f t="shared" si="175"/>
        <v>Low</v>
      </c>
    </row>
    <row r="1010" spans="1:41">
      <c r="A1010">
        <v>3</v>
      </c>
      <c r="B1010" t="str">
        <f t="shared" si="165"/>
        <v>Third Class</v>
      </c>
      <c r="C1010">
        <v>0</v>
      </c>
      <c r="E1010" t="str">
        <f t="shared" si="166"/>
        <v>Died</v>
      </c>
      <c r="F1010" t="s">
        <v>1956</v>
      </c>
      <c r="G1010" t="s">
        <v>842</v>
      </c>
      <c r="H1010" t="s">
        <v>1637</v>
      </c>
      <c r="I1010" t="str">
        <f t="shared" si="167"/>
        <v>Miss. McGowan Katherine</v>
      </c>
      <c r="J1010" t="s">
        <v>47</v>
      </c>
      <c r="K1010" t="str">
        <f t="shared" si="168"/>
        <v>Female</v>
      </c>
      <c r="L1010">
        <v>35</v>
      </c>
      <c r="O1010">
        <f t="shared" si="169"/>
        <v>35</v>
      </c>
      <c r="P1010">
        <v>0</v>
      </c>
      <c r="R1010" s="4">
        <v>0</v>
      </c>
      <c r="T1010" s="5">
        <v>7.75</v>
      </c>
      <c r="W1010" s="4">
        <v>35</v>
      </c>
      <c r="X1010" s="4" t="str">
        <f t="shared" si="170"/>
        <v>Adult</v>
      </c>
      <c r="Y1010" s="4" t="s">
        <v>3561</v>
      </c>
      <c r="AB1010" s="4" t="str">
        <f t="shared" si="171"/>
        <v/>
      </c>
      <c r="AC1010" s="4" t="str">
        <f t="shared" si="172"/>
        <v>Unknown</v>
      </c>
      <c r="AD1010" s="4" t="s">
        <v>3567</v>
      </c>
      <c r="AG1010" s="4" t="str">
        <f t="shared" si="173"/>
        <v>Not Applicable</v>
      </c>
      <c r="AK1010" s="4" t="s">
        <v>3573</v>
      </c>
      <c r="AL1010" s="4" t="str">
        <f t="shared" si="174"/>
        <v>Found</v>
      </c>
      <c r="AN1010" s="6">
        <v>7.75</v>
      </c>
      <c r="AO1010" s="4" t="str">
        <f t="shared" si="175"/>
        <v>Low</v>
      </c>
    </row>
    <row r="1011" spans="1:41">
      <c r="A1011">
        <v>3</v>
      </c>
      <c r="B1011" t="str">
        <f t="shared" si="165"/>
        <v>Third Class</v>
      </c>
      <c r="C1011">
        <v>0</v>
      </c>
      <c r="E1011" t="str">
        <f t="shared" si="166"/>
        <v>Died</v>
      </c>
      <c r="F1011" t="s">
        <v>1957</v>
      </c>
      <c r="G1011" t="s">
        <v>848</v>
      </c>
      <c r="H1011" t="s">
        <v>1189</v>
      </c>
      <c r="I1011" t="str">
        <f t="shared" si="167"/>
        <v>Mr. McMahon Martin</v>
      </c>
      <c r="J1011" t="s">
        <v>20</v>
      </c>
      <c r="K1011" t="str">
        <f t="shared" si="168"/>
        <v>Male</v>
      </c>
      <c r="L1011">
        <v>28</v>
      </c>
      <c r="O1011">
        <f t="shared" si="169"/>
        <v>28</v>
      </c>
      <c r="P1011">
        <v>0</v>
      </c>
      <c r="R1011" s="4">
        <v>0</v>
      </c>
      <c r="T1011" s="5">
        <v>7.75</v>
      </c>
      <c r="W1011" s="4">
        <v>28</v>
      </c>
      <c r="X1011" s="4" t="str">
        <f t="shared" si="170"/>
        <v>Young Adult</v>
      </c>
      <c r="Y1011" s="4" t="s">
        <v>3561</v>
      </c>
      <c r="AB1011" s="4" t="str">
        <f t="shared" si="171"/>
        <v/>
      </c>
      <c r="AC1011" s="4" t="str">
        <f t="shared" si="172"/>
        <v>Unknown</v>
      </c>
      <c r="AD1011" s="4" t="s">
        <v>3567</v>
      </c>
      <c r="AG1011" s="4" t="str">
        <f t="shared" si="173"/>
        <v>Not Applicable</v>
      </c>
      <c r="AK1011" s="4" t="s">
        <v>3573</v>
      </c>
      <c r="AL1011" s="4" t="str">
        <f t="shared" si="174"/>
        <v>Found</v>
      </c>
      <c r="AN1011" s="6">
        <v>7.75</v>
      </c>
      <c r="AO1011" s="4" t="str">
        <f t="shared" si="175"/>
        <v>Low</v>
      </c>
    </row>
    <row r="1012" spans="1:41">
      <c r="A1012">
        <v>3</v>
      </c>
      <c r="B1012" t="str">
        <f t="shared" si="165"/>
        <v>Third Class</v>
      </c>
      <c r="C1012">
        <v>0</v>
      </c>
      <c r="E1012" t="str">
        <f t="shared" si="166"/>
        <v>Died</v>
      </c>
      <c r="F1012" t="s">
        <v>1958</v>
      </c>
      <c r="G1012" t="s">
        <v>848</v>
      </c>
      <c r="H1012" t="s">
        <v>1755</v>
      </c>
      <c r="I1012" t="str">
        <f t="shared" si="167"/>
        <v>Mr. McNamee Neal</v>
      </c>
      <c r="J1012" t="s">
        <v>20</v>
      </c>
      <c r="K1012" t="str">
        <f t="shared" si="168"/>
        <v>Male</v>
      </c>
      <c r="L1012">
        <v>24</v>
      </c>
      <c r="O1012">
        <f t="shared" si="169"/>
        <v>24</v>
      </c>
      <c r="P1012">
        <v>1</v>
      </c>
      <c r="R1012" s="4">
        <v>0</v>
      </c>
      <c r="T1012" s="5">
        <v>16.100000000000001</v>
      </c>
      <c r="W1012" s="4">
        <v>24</v>
      </c>
      <c r="X1012" s="4" t="str">
        <f t="shared" si="170"/>
        <v>Young Adult</v>
      </c>
      <c r="Y1012" s="4" t="s">
        <v>3561</v>
      </c>
      <c r="AB1012" s="4" t="str">
        <f t="shared" si="171"/>
        <v/>
      </c>
      <c r="AC1012" s="4" t="str">
        <f t="shared" si="172"/>
        <v>Unknown</v>
      </c>
      <c r="AD1012" s="4" t="s">
        <v>457</v>
      </c>
      <c r="AG1012" s="4" t="str">
        <f t="shared" si="173"/>
        <v>Not Applicable</v>
      </c>
      <c r="AK1012" s="4" t="s">
        <v>3573</v>
      </c>
      <c r="AL1012" s="4" t="str">
        <f t="shared" si="174"/>
        <v>Found</v>
      </c>
      <c r="AN1012" s="6">
        <v>16.100000000000001</v>
      </c>
      <c r="AO1012" s="4" t="str">
        <f t="shared" si="175"/>
        <v>Mid</v>
      </c>
    </row>
    <row r="1013" spans="1:41">
      <c r="A1013">
        <v>3</v>
      </c>
      <c r="B1013" t="str">
        <f t="shared" si="165"/>
        <v>Third Class</v>
      </c>
      <c r="C1013">
        <v>0</v>
      </c>
      <c r="E1013" t="str">
        <f t="shared" si="166"/>
        <v>Died</v>
      </c>
      <c r="F1013" t="s">
        <v>1958</v>
      </c>
      <c r="G1013" t="s">
        <v>849</v>
      </c>
      <c r="H1013" t="s">
        <v>1755</v>
      </c>
      <c r="I1013" t="str">
        <f t="shared" si="167"/>
        <v>Mrs. McNamee Neal</v>
      </c>
      <c r="J1013" t="s">
        <v>47</v>
      </c>
      <c r="K1013" t="str">
        <f t="shared" si="168"/>
        <v>Female</v>
      </c>
      <c r="L1013">
        <v>19</v>
      </c>
      <c r="O1013">
        <f t="shared" si="169"/>
        <v>19</v>
      </c>
      <c r="P1013">
        <v>1</v>
      </c>
      <c r="R1013" s="4">
        <v>0</v>
      </c>
      <c r="T1013" s="5">
        <v>16.100000000000001</v>
      </c>
      <c r="W1013" s="4">
        <v>19</v>
      </c>
      <c r="X1013" s="4" t="str">
        <f t="shared" si="170"/>
        <v>Young Adult</v>
      </c>
      <c r="Y1013" s="4" t="s">
        <v>3561</v>
      </c>
      <c r="AB1013" s="4" t="str">
        <f t="shared" si="171"/>
        <v/>
      </c>
      <c r="AC1013" s="4" t="str">
        <f t="shared" si="172"/>
        <v>Unknown</v>
      </c>
      <c r="AD1013" s="4" t="s">
        <v>457</v>
      </c>
      <c r="AG1013" s="4" t="str">
        <f t="shared" si="173"/>
        <v>Not Applicable</v>
      </c>
      <c r="AH1013" s="4">
        <v>53</v>
      </c>
      <c r="AK1013" s="4">
        <v>53</v>
      </c>
      <c r="AL1013" s="4" t="str">
        <f t="shared" si="174"/>
        <v>Found</v>
      </c>
      <c r="AN1013" s="6">
        <v>16.100000000000001</v>
      </c>
      <c r="AO1013" s="4" t="str">
        <f t="shared" si="175"/>
        <v>Mid</v>
      </c>
    </row>
    <row r="1014" spans="1:41">
      <c r="A1014">
        <v>3</v>
      </c>
      <c r="B1014" t="str">
        <f t="shared" si="165"/>
        <v>Third Class</v>
      </c>
      <c r="C1014">
        <v>0</v>
      </c>
      <c r="E1014" t="str">
        <f t="shared" si="166"/>
        <v>Died</v>
      </c>
      <c r="F1014" t="s">
        <v>1959</v>
      </c>
      <c r="G1014" t="s">
        <v>842</v>
      </c>
      <c r="H1014" t="s">
        <v>1629</v>
      </c>
      <c r="I1014" t="str">
        <f t="shared" si="167"/>
        <v>Miss. McNeill Bridget</v>
      </c>
      <c r="J1014" t="s">
        <v>47</v>
      </c>
      <c r="K1014" t="str">
        <f t="shared" si="168"/>
        <v>Female</v>
      </c>
      <c r="L1014">
        <v>28</v>
      </c>
      <c r="O1014">
        <f t="shared" si="169"/>
        <v>28</v>
      </c>
      <c r="P1014">
        <v>0</v>
      </c>
      <c r="R1014" s="4">
        <v>0</v>
      </c>
      <c r="T1014" s="5">
        <v>7.75</v>
      </c>
      <c r="W1014" s="4">
        <v>28</v>
      </c>
      <c r="X1014" s="4" t="str">
        <f t="shared" si="170"/>
        <v>Young Adult</v>
      </c>
      <c r="Y1014" s="4" t="s">
        <v>3561</v>
      </c>
      <c r="AB1014" s="4" t="str">
        <f t="shared" si="171"/>
        <v/>
      </c>
      <c r="AC1014" s="4" t="str">
        <f t="shared" si="172"/>
        <v>Unknown</v>
      </c>
      <c r="AD1014" s="4" t="s">
        <v>3567</v>
      </c>
      <c r="AG1014" s="4" t="str">
        <f t="shared" si="173"/>
        <v>Not Applicable</v>
      </c>
      <c r="AK1014" s="4" t="s">
        <v>3573</v>
      </c>
      <c r="AL1014" s="4" t="str">
        <f t="shared" si="174"/>
        <v>Found</v>
      </c>
      <c r="AN1014" s="6">
        <v>7.75</v>
      </c>
      <c r="AO1014" s="4" t="str">
        <f t="shared" si="175"/>
        <v>Low</v>
      </c>
    </row>
    <row r="1015" spans="1:41">
      <c r="A1015">
        <v>3</v>
      </c>
      <c r="B1015" t="str">
        <f t="shared" si="165"/>
        <v>Third Class</v>
      </c>
      <c r="C1015">
        <v>0</v>
      </c>
      <c r="E1015" t="str">
        <f t="shared" si="166"/>
        <v>Died</v>
      </c>
      <c r="F1015" t="s">
        <v>1960</v>
      </c>
      <c r="G1015" t="s">
        <v>842</v>
      </c>
      <c r="H1015" t="s">
        <v>1961</v>
      </c>
      <c r="I1015" t="str">
        <f t="shared" si="167"/>
        <v>Miss. Meanwell (Marion</v>
      </c>
      <c r="J1015" t="s">
        <v>47</v>
      </c>
      <c r="K1015" t="str">
        <f t="shared" si="168"/>
        <v>Female</v>
      </c>
      <c r="L1015">
        <v>28</v>
      </c>
      <c r="O1015">
        <f t="shared" si="169"/>
        <v>28</v>
      </c>
      <c r="P1015">
        <v>0</v>
      </c>
      <c r="R1015" s="4">
        <v>0</v>
      </c>
      <c r="T1015" s="5">
        <v>8.0500000000000007</v>
      </c>
      <c r="W1015" s="4">
        <v>28</v>
      </c>
      <c r="X1015" s="4" t="str">
        <f t="shared" si="170"/>
        <v>Young Adult</v>
      </c>
      <c r="Y1015" s="4" t="s">
        <v>3561</v>
      </c>
      <c r="AB1015" s="4" t="str">
        <f t="shared" si="171"/>
        <v/>
      </c>
      <c r="AC1015" s="4" t="str">
        <f t="shared" si="172"/>
        <v>Unknown</v>
      </c>
      <c r="AD1015" s="4" t="s">
        <v>457</v>
      </c>
      <c r="AG1015" s="4" t="str">
        <f t="shared" si="173"/>
        <v>Not Applicable</v>
      </c>
      <c r="AK1015" s="4" t="s">
        <v>3573</v>
      </c>
      <c r="AL1015" s="4" t="str">
        <f t="shared" si="174"/>
        <v>Found</v>
      </c>
      <c r="AN1015" s="6">
        <v>8.0500000000000007</v>
      </c>
      <c r="AO1015" s="4" t="str">
        <f t="shared" si="175"/>
        <v>Low</v>
      </c>
    </row>
    <row r="1016" spans="1:41">
      <c r="A1016">
        <v>3</v>
      </c>
      <c r="B1016" t="str">
        <f t="shared" si="165"/>
        <v>Third Class</v>
      </c>
      <c r="C1016">
        <v>0</v>
      </c>
      <c r="E1016" t="str">
        <f t="shared" si="166"/>
        <v>Died</v>
      </c>
      <c r="F1016" t="s">
        <v>1962</v>
      </c>
      <c r="G1016" t="s">
        <v>849</v>
      </c>
      <c r="H1016" t="s">
        <v>855</v>
      </c>
      <c r="I1016" t="str">
        <f t="shared" si="167"/>
        <v>Mrs. Meek Thomas</v>
      </c>
      <c r="J1016" t="s">
        <v>47</v>
      </c>
      <c r="K1016" t="str">
        <f t="shared" si="168"/>
        <v>Female</v>
      </c>
      <c r="L1016">
        <v>28</v>
      </c>
      <c r="O1016">
        <f t="shared" si="169"/>
        <v>28</v>
      </c>
      <c r="P1016">
        <v>0</v>
      </c>
      <c r="R1016" s="4">
        <v>0</v>
      </c>
      <c r="T1016" s="5">
        <v>8.0500000000000007</v>
      </c>
      <c r="W1016" s="4">
        <v>28</v>
      </c>
      <c r="X1016" s="4" t="str">
        <f t="shared" si="170"/>
        <v>Young Adult</v>
      </c>
      <c r="Y1016" s="4" t="s">
        <v>3561</v>
      </c>
      <c r="AB1016" s="4" t="str">
        <f t="shared" si="171"/>
        <v/>
      </c>
      <c r="AC1016" s="4" t="str">
        <f t="shared" si="172"/>
        <v>Unknown</v>
      </c>
      <c r="AD1016" s="4" t="s">
        <v>457</v>
      </c>
      <c r="AG1016" s="4" t="str">
        <f t="shared" si="173"/>
        <v>Not Applicable</v>
      </c>
      <c r="AK1016" s="4" t="s">
        <v>3573</v>
      </c>
      <c r="AL1016" s="4" t="str">
        <f t="shared" si="174"/>
        <v>Found</v>
      </c>
      <c r="AN1016" s="6">
        <v>8.0500000000000007</v>
      </c>
      <c r="AO1016" s="4" t="str">
        <f t="shared" si="175"/>
        <v>Low</v>
      </c>
    </row>
    <row r="1017" spans="1:41">
      <c r="A1017">
        <v>3</v>
      </c>
      <c r="B1017" t="str">
        <f t="shared" si="165"/>
        <v>Third Class</v>
      </c>
      <c r="C1017">
        <v>0</v>
      </c>
      <c r="E1017" t="str">
        <f t="shared" si="166"/>
        <v>Died</v>
      </c>
      <c r="F1017" t="s">
        <v>1963</v>
      </c>
      <c r="G1017" t="s">
        <v>848</v>
      </c>
      <c r="H1017" t="s">
        <v>1964</v>
      </c>
      <c r="I1017" t="str">
        <f t="shared" si="167"/>
        <v>Mr. Meo Alfonzo</v>
      </c>
      <c r="J1017" t="s">
        <v>20</v>
      </c>
      <c r="K1017" t="str">
        <f t="shared" si="168"/>
        <v>Male</v>
      </c>
      <c r="L1017">
        <v>55.5</v>
      </c>
      <c r="O1017">
        <f t="shared" si="169"/>
        <v>56</v>
      </c>
      <c r="P1017">
        <v>0</v>
      </c>
      <c r="R1017" s="4">
        <v>0</v>
      </c>
      <c r="T1017" s="5">
        <v>8.0500000000000007</v>
      </c>
      <c r="W1017" s="4">
        <v>56</v>
      </c>
      <c r="X1017" s="4" t="str">
        <f t="shared" si="170"/>
        <v>Adult</v>
      </c>
      <c r="Y1017" s="4" t="s">
        <v>3561</v>
      </c>
      <c r="AB1017" s="4" t="str">
        <f t="shared" si="171"/>
        <v/>
      </c>
      <c r="AC1017" s="4" t="str">
        <f t="shared" si="172"/>
        <v>Unknown</v>
      </c>
      <c r="AD1017" s="4" t="s">
        <v>457</v>
      </c>
      <c r="AG1017" s="4" t="str">
        <f t="shared" si="173"/>
        <v>Not Applicable</v>
      </c>
      <c r="AH1017" s="4">
        <v>201</v>
      </c>
      <c r="AK1017" s="4">
        <v>201</v>
      </c>
      <c r="AL1017" s="4" t="str">
        <f t="shared" si="174"/>
        <v>Found</v>
      </c>
      <c r="AN1017" s="6">
        <v>8.0500000000000007</v>
      </c>
      <c r="AO1017" s="4" t="str">
        <f t="shared" si="175"/>
        <v>Low</v>
      </c>
    </row>
    <row r="1018" spans="1:41">
      <c r="A1018">
        <v>3</v>
      </c>
      <c r="B1018" t="str">
        <f t="shared" si="165"/>
        <v>Third Class</v>
      </c>
      <c r="C1018">
        <v>0</v>
      </c>
      <c r="E1018" t="str">
        <f t="shared" si="166"/>
        <v>Died</v>
      </c>
      <c r="F1018" t="s">
        <v>1965</v>
      </c>
      <c r="G1018" t="s">
        <v>848</v>
      </c>
      <c r="H1018" t="s">
        <v>925</v>
      </c>
      <c r="I1018" t="str">
        <f t="shared" si="167"/>
        <v>Mr. Mernagh Robert</v>
      </c>
      <c r="J1018" t="s">
        <v>20</v>
      </c>
      <c r="K1018" t="str">
        <f t="shared" si="168"/>
        <v>Male</v>
      </c>
      <c r="L1018">
        <v>28</v>
      </c>
      <c r="O1018">
        <f t="shared" si="169"/>
        <v>28</v>
      </c>
      <c r="P1018">
        <v>0</v>
      </c>
      <c r="R1018" s="4">
        <v>0</v>
      </c>
      <c r="T1018" s="5">
        <v>7.75</v>
      </c>
      <c r="W1018" s="4">
        <v>28</v>
      </c>
      <c r="X1018" s="4" t="str">
        <f t="shared" si="170"/>
        <v>Young Adult</v>
      </c>
      <c r="Y1018" s="4" t="s">
        <v>3561</v>
      </c>
      <c r="AB1018" s="4" t="str">
        <f t="shared" si="171"/>
        <v/>
      </c>
      <c r="AC1018" s="4" t="str">
        <f t="shared" si="172"/>
        <v>Unknown</v>
      </c>
      <c r="AD1018" s="4" t="s">
        <v>3567</v>
      </c>
      <c r="AG1018" s="4" t="str">
        <f t="shared" si="173"/>
        <v>Not Applicable</v>
      </c>
      <c r="AK1018" s="4" t="s">
        <v>3573</v>
      </c>
      <c r="AL1018" s="4" t="str">
        <f t="shared" si="174"/>
        <v>Found</v>
      </c>
      <c r="AN1018" s="6">
        <v>7.75</v>
      </c>
      <c r="AO1018" s="4" t="str">
        <f t="shared" si="175"/>
        <v>Low</v>
      </c>
    </row>
    <row r="1019" spans="1:41">
      <c r="A1019">
        <v>3</v>
      </c>
      <c r="B1019" t="str">
        <f t="shared" si="165"/>
        <v>Third Class</v>
      </c>
      <c r="C1019">
        <v>1</v>
      </c>
      <c r="E1019" t="str">
        <f t="shared" si="166"/>
        <v>Survived</v>
      </c>
      <c r="F1019" t="s">
        <v>1966</v>
      </c>
      <c r="G1019" t="s">
        <v>848</v>
      </c>
      <c r="H1019" t="s">
        <v>887</v>
      </c>
      <c r="I1019" t="str">
        <f t="shared" si="167"/>
        <v>Mr. Midtsjo Karl</v>
      </c>
      <c r="J1019" t="s">
        <v>20</v>
      </c>
      <c r="K1019" t="str">
        <f t="shared" si="168"/>
        <v>Male</v>
      </c>
      <c r="L1019">
        <v>21</v>
      </c>
      <c r="O1019">
        <f t="shared" si="169"/>
        <v>21</v>
      </c>
      <c r="P1019">
        <v>0</v>
      </c>
      <c r="R1019" s="4">
        <v>0</v>
      </c>
      <c r="T1019" s="5">
        <v>7.7750000000000004</v>
      </c>
      <c r="W1019" s="4">
        <v>21</v>
      </c>
      <c r="X1019" s="4" t="str">
        <f t="shared" si="170"/>
        <v>Young Adult</v>
      </c>
      <c r="Y1019" s="4" t="s">
        <v>3561</v>
      </c>
      <c r="AB1019" s="4" t="str">
        <f t="shared" si="171"/>
        <v/>
      </c>
      <c r="AC1019" s="4" t="str">
        <f t="shared" si="172"/>
        <v>Unknown</v>
      </c>
      <c r="AD1019" s="4" t="s">
        <v>457</v>
      </c>
      <c r="AF1019" s="4">
        <v>15</v>
      </c>
      <c r="AG1019" s="4">
        <f t="shared" si="173"/>
        <v>15</v>
      </c>
      <c r="AK1019" s="4" t="s">
        <v>3573</v>
      </c>
      <c r="AL1019" s="4" t="str">
        <f t="shared" si="174"/>
        <v>Found</v>
      </c>
      <c r="AN1019" s="6">
        <v>7.7750000000000004</v>
      </c>
      <c r="AO1019" s="4" t="str">
        <f t="shared" si="175"/>
        <v>Low</v>
      </c>
    </row>
    <row r="1020" spans="1:41">
      <c r="A1020">
        <v>3</v>
      </c>
      <c r="B1020" t="str">
        <f t="shared" si="165"/>
        <v>Third Class</v>
      </c>
      <c r="C1020">
        <v>0</v>
      </c>
      <c r="E1020" t="str">
        <f t="shared" si="166"/>
        <v>Died</v>
      </c>
      <c r="F1020" t="s">
        <v>1967</v>
      </c>
      <c r="G1020" t="s">
        <v>848</v>
      </c>
      <c r="H1020" t="s">
        <v>1249</v>
      </c>
      <c r="I1020" t="str">
        <f t="shared" si="167"/>
        <v>Mr. Miles Frank</v>
      </c>
      <c r="J1020" t="s">
        <v>20</v>
      </c>
      <c r="K1020" t="str">
        <f t="shared" si="168"/>
        <v>Male</v>
      </c>
      <c r="L1020">
        <v>28</v>
      </c>
      <c r="O1020">
        <f t="shared" si="169"/>
        <v>28</v>
      </c>
      <c r="P1020">
        <v>0</v>
      </c>
      <c r="R1020" s="4">
        <v>0</v>
      </c>
      <c r="T1020" s="5">
        <v>8.0500000000000007</v>
      </c>
      <c r="W1020" s="4">
        <v>28</v>
      </c>
      <c r="X1020" s="4" t="str">
        <f t="shared" si="170"/>
        <v>Young Adult</v>
      </c>
      <c r="Y1020" s="4" t="s">
        <v>3561</v>
      </c>
      <c r="AB1020" s="4" t="str">
        <f t="shared" si="171"/>
        <v/>
      </c>
      <c r="AC1020" s="4" t="str">
        <f t="shared" si="172"/>
        <v>Unknown</v>
      </c>
      <c r="AD1020" s="4" t="s">
        <v>457</v>
      </c>
      <c r="AG1020" s="4" t="str">
        <f t="shared" si="173"/>
        <v>Not Applicable</v>
      </c>
      <c r="AK1020" s="4" t="s">
        <v>3573</v>
      </c>
      <c r="AL1020" s="4" t="str">
        <f t="shared" si="174"/>
        <v>Found</v>
      </c>
      <c r="AN1020" s="6">
        <v>8.0500000000000007</v>
      </c>
      <c r="AO1020" s="4" t="str">
        <f t="shared" si="175"/>
        <v>Low</v>
      </c>
    </row>
    <row r="1021" spans="1:41">
      <c r="A1021">
        <v>3</v>
      </c>
      <c r="B1021" t="str">
        <f t="shared" si="165"/>
        <v>Third Class</v>
      </c>
      <c r="C1021">
        <v>0</v>
      </c>
      <c r="E1021" t="str">
        <f t="shared" si="166"/>
        <v>Died</v>
      </c>
      <c r="F1021" t="s">
        <v>1968</v>
      </c>
      <c r="G1021" t="s">
        <v>848</v>
      </c>
      <c r="H1021" t="s">
        <v>1678</v>
      </c>
      <c r="I1021" t="str">
        <f t="shared" si="167"/>
        <v>Mr. Mineff Ivan</v>
      </c>
      <c r="J1021" t="s">
        <v>20</v>
      </c>
      <c r="K1021" t="str">
        <f t="shared" si="168"/>
        <v>Male</v>
      </c>
      <c r="L1021">
        <v>24</v>
      </c>
      <c r="O1021">
        <f t="shared" si="169"/>
        <v>24</v>
      </c>
      <c r="P1021">
        <v>0</v>
      </c>
      <c r="R1021" s="4">
        <v>0</v>
      </c>
      <c r="T1021" s="5">
        <v>7.8958000000000004</v>
      </c>
      <c r="W1021" s="4">
        <v>24</v>
      </c>
      <c r="X1021" s="4" t="str">
        <f t="shared" si="170"/>
        <v>Young Adult</v>
      </c>
      <c r="Y1021" s="4" t="s">
        <v>3561</v>
      </c>
      <c r="AB1021" s="4" t="str">
        <f t="shared" si="171"/>
        <v/>
      </c>
      <c r="AC1021" s="4" t="str">
        <f t="shared" si="172"/>
        <v>Unknown</v>
      </c>
      <c r="AD1021" s="4" t="s">
        <v>457</v>
      </c>
      <c r="AG1021" s="4" t="str">
        <f t="shared" si="173"/>
        <v>Not Applicable</v>
      </c>
      <c r="AK1021" s="4" t="s">
        <v>3573</v>
      </c>
      <c r="AL1021" s="4" t="str">
        <f t="shared" si="174"/>
        <v>Found</v>
      </c>
      <c r="AN1021" s="6">
        <v>7.8958000000000004</v>
      </c>
      <c r="AO1021" s="4" t="str">
        <f t="shared" si="175"/>
        <v>Low</v>
      </c>
    </row>
    <row r="1022" spans="1:41">
      <c r="A1022">
        <v>3</v>
      </c>
      <c r="B1022" t="str">
        <f t="shared" si="165"/>
        <v>Third Class</v>
      </c>
      <c r="C1022">
        <v>0</v>
      </c>
      <c r="E1022" t="str">
        <f t="shared" si="166"/>
        <v>Died</v>
      </c>
      <c r="F1022" t="s">
        <v>1969</v>
      </c>
      <c r="G1022" t="s">
        <v>848</v>
      </c>
      <c r="H1022" t="s">
        <v>1970</v>
      </c>
      <c r="I1022" t="str">
        <f t="shared" si="167"/>
        <v>Mr. Minkoff Lazar</v>
      </c>
      <c r="J1022" t="s">
        <v>20</v>
      </c>
      <c r="K1022" t="str">
        <f t="shared" si="168"/>
        <v>Male</v>
      </c>
      <c r="L1022">
        <v>21</v>
      </c>
      <c r="O1022">
        <f t="shared" si="169"/>
        <v>21</v>
      </c>
      <c r="P1022">
        <v>0</v>
      </c>
      <c r="R1022" s="4">
        <v>0</v>
      </c>
      <c r="T1022" s="5">
        <v>7.8958000000000004</v>
      </c>
      <c r="W1022" s="4">
        <v>21</v>
      </c>
      <c r="X1022" s="4" t="str">
        <f t="shared" si="170"/>
        <v>Young Adult</v>
      </c>
      <c r="Y1022" s="4" t="s">
        <v>3561</v>
      </c>
      <c r="AB1022" s="4" t="str">
        <f t="shared" si="171"/>
        <v/>
      </c>
      <c r="AC1022" s="4" t="str">
        <f t="shared" si="172"/>
        <v>Unknown</v>
      </c>
      <c r="AD1022" s="4" t="s">
        <v>457</v>
      </c>
      <c r="AG1022" s="4" t="str">
        <f t="shared" si="173"/>
        <v>Not Applicable</v>
      </c>
      <c r="AK1022" s="4" t="s">
        <v>3573</v>
      </c>
      <c r="AL1022" s="4" t="str">
        <f t="shared" si="174"/>
        <v>Found</v>
      </c>
      <c r="AN1022" s="6">
        <v>7.8958000000000004</v>
      </c>
      <c r="AO1022" s="4" t="str">
        <f t="shared" si="175"/>
        <v>Low</v>
      </c>
    </row>
    <row r="1023" spans="1:41">
      <c r="A1023">
        <v>3</v>
      </c>
      <c r="B1023" t="str">
        <f t="shared" si="165"/>
        <v>Third Class</v>
      </c>
      <c r="C1023">
        <v>0</v>
      </c>
      <c r="E1023" t="str">
        <f t="shared" si="166"/>
        <v>Died</v>
      </c>
      <c r="F1023" t="s">
        <v>1971</v>
      </c>
      <c r="G1023" t="s">
        <v>848</v>
      </c>
      <c r="H1023" t="s">
        <v>1972</v>
      </c>
      <c r="I1023" t="str">
        <f t="shared" si="167"/>
        <v>Mr. Mionoff Stoytcho</v>
      </c>
      <c r="J1023" t="s">
        <v>20</v>
      </c>
      <c r="K1023" t="str">
        <f t="shared" si="168"/>
        <v>Male</v>
      </c>
      <c r="L1023">
        <v>28</v>
      </c>
      <c r="O1023">
        <f t="shared" si="169"/>
        <v>28</v>
      </c>
      <c r="P1023">
        <v>0</v>
      </c>
      <c r="R1023" s="4">
        <v>0</v>
      </c>
      <c r="T1023" s="5">
        <v>7.8958000000000004</v>
      </c>
      <c r="W1023" s="4">
        <v>28</v>
      </c>
      <c r="X1023" s="4" t="str">
        <f t="shared" si="170"/>
        <v>Young Adult</v>
      </c>
      <c r="Y1023" s="4" t="s">
        <v>3561</v>
      </c>
      <c r="AB1023" s="4" t="str">
        <f t="shared" si="171"/>
        <v/>
      </c>
      <c r="AC1023" s="4" t="str">
        <f t="shared" si="172"/>
        <v>Unknown</v>
      </c>
      <c r="AD1023" s="4" t="s">
        <v>457</v>
      </c>
      <c r="AG1023" s="4" t="str">
        <f t="shared" si="173"/>
        <v>Not Applicable</v>
      </c>
      <c r="AK1023" s="4" t="s">
        <v>3573</v>
      </c>
      <c r="AL1023" s="4" t="str">
        <f t="shared" si="174"/>
        <v>Found</v>
      </c>
      <c r="AN1023" s="6">
        <v>7.8958000000000004</v>
      </c>
      <c r="AO1023" s="4" t="str">
        <f t="shared" si="175"/>
        <v>Low</v>
      </c>
    </row>
    <row r="1024" spans="1:41">
      <c r="A1024">
        <v>3</v>
      </c>
      <c r="B1024" t="str">
        <f t="shared" si="165"/>
        <v>Third Class</v>
      </c>
      <c r="C1024">
        <v>0</v>
      </c>
      <c r="E1024" t="str">
        <f t="shared" si="166"/>
        <v>Died</v>
      </c>
      <c r="F1024" t="s">
        <v>1973</v>
      </c>
      <c r="G1024" t="s">
        <v>848</v>
      </c>
      <c r="H1024" t="s">
        <v>1974</v>
      </c>
      <c r="I1024" t="str">
        <f t="shared" si="167"/>
        <v>Mr. Mitkoff Mito</v>
      </c>
      <c r="J1024" t="s">
        <v>20</v>
      </c>
      <c r="K1024" t="str">
        <f t="shared" si="168"/>
        <v>Male</v>
      </c>
      <c r="L1024">
        <v>28</v>
      </c>
      <c r="O1024">
        <f t="shared" si="169"/>
        <v>28</v>
      </c>
      <c r="P1024">
        <v>0</v>
      </c>
      <c r="R1024" s="4">
        <v>0</v>
      </c>
      <c r="T1024" s="5">
        <v>7.8958000000000004</v>
      </c>
      <c r="W1024" s="4">
        <v>28</v>
      </c>
      <c r="X1024" s="4" t="str">
        <f t="shared" si="170"/>
        <v>Young Adult</v>
      </c>
      <c r="Y1024" s="4" t="s">
        <v>3561</v>
      </c>
      <c r="AB1024" s="4" t="str">
        <f t="shared" si="171"/>
        <v/>
      </c>
      <c r="AC1024" s="4" t="str">
        <f t="shared" si="172"/>
        <v>Unknown</v>
      </c>
      <c r="AD1024" s="4" t="s">
        <v>457</v>
      </c>
      <c r="AG1024" s="4" t="str">
        <f t="shared" si="173"/>
        <v>Not Applicable</v>
      </c>
      <c r="AK1024" s="4" t="s">
        <v>3573</v>
      </c>
      <c r="AL1024" s="4" t="str">
        <f t="shared" si="174"/>
        <v>Found</v>
      </c>
      <c r="AN1024" s="6">
        <v>7.8958000000000004</v>
      </c>
      <c r="AO1024" s="4" t="str">
        <f t="shared" si="175"/>
        <v>Low</v>
      </c>
    </row>
    <row r="1025" spans="1:41">
      <c r="A1025">
        <v>3</v>
      </c>
      <c r="B1025" t="str">
        <f t="shared" si="165"/>
        <v>Third Class</v>
      </c>
      <c r="C1025">
        <v>1</v>
      </c>
      <c r="E1025" t="str">
        <f t="shared" si="166"/>
        <v>Survived</v>
      </c>
      <c r="F1025" t="s">
        <v>1975</v>
      </c>
      <c r="G1025" t="s">
        <v>842</v>
      </c>
      <c r="H1025" t="s">
        <v>847</v>
      </c>
      <c r="I1025" t="str">
        <f t="shared" si="167"/>
        <v>Miss. Mockler Helen</v>
      </c>
      <c r="J1025" t="s">
        <v>47</v>
      </c>
      <c r="K1025" t="str">
        <f t="shared" si="168"/>
        <v>Female</v>
      </c>
      <c r="L1025">
        <v>28</v>
      </c>
      <c r="O1025">
        <f t="shared" si="169"/>
        <v>28</v>
      </c>
      <c r="P1025">
        <v>0</v>
      </c>
      <c r="R1025" s="4">
        <v>0</v>
      </c>
      <c r="T1025" s="5">
        <v>7.8792</v>
      </c>
      <c r="W1025" s="4">
        <v>28</v>
      </c>
      <c r="X1025" s="4" t="str">
        <f t="shared" si="170"/>
        <v>Young Adult</v>
      </c>
      <c r="Y1025" s="4" t="s">
        <v>3561</v>
      </c>
      <c r="AB1025" s="4" t="str">
        <f t="shared" si="171"/>
        <v/>
      </c>
      <c r="AC1025" s="4" t="str">
        <f t="shared" si="172"/>
        <v>Unknown</v>
      </c>
      <c r="AD1025" s="4" t="s">
        <v>3567</v>
      </c>
      <c r="AF1025" s="4">
        <v>16</v>
      </c>
      <c r="AG1025" s="4">
        <f t="shared" si="173"/>
        <v>16</v>
      </c>
      <c r="AK1025" s="4" t="s">
        <v>3573</v>
      </c>
      <c r="AL1025" s="4" t="str">
        <f t="shared" si="174"/>
        <v>Found</v>
      </c>
      <c r="AN1025" s="6">
        <v>7.8792</v>
      </c>
      <c r="AO1025" s="4" t="str">
        <f t="shared" si="175"/>
        <v>Low</v>
      </c>
    </row>
    <row r="1026" spans="1:41">
      <c r="A1026">
        <v>3</v>
      </c>
      <c r="B1026" t="str">
        <f t="shared" si="165"/>
        <v>Third Class</v>
      </c>
      <c r="C1026">
        <v>0</v>
      </c>
      <c r="E1026" t="str">
        <f t="shared" si="166"/>
        <v>Died</v>
      </c>
      <c r="F1026" t="s">
        <v>1976</v>
      </c>
      <c r="G1026" t="s">
        <v>848</v>
      </c>
      <c r="H1026" t="s">
        <v>1977</v>
      </c>
      <c r="I1026" t="str">
        <f t="shared" si="167"/>
        <v>Mr. Moen Sigurd</v>
      </c>
      <c r="J1026" t="s">
        <v>20</v>
      </c>
      <c r="K1026" t="str">
        <f t="shared" si="168"/>
        <v>Male</v>
      </c>
      <c r="L1026">
        <v>25</v>
      </c>
      <c r="O1026">
        <f t="shared" si="169"/>
        <v>25</v>
      </c>
      <c r="P1026">
        <v>0</v>
      </c>
      <c r="R1026" s="4">
        <v>0</v>
      </c>
      <c r="T1026" s="5">
        <v>7.65</v>
      </c>
      <c r="W1026" s="4">
        <v>25</v>
      </c>
      <c r="X1026" s="4" t="str">
        <f t="shared" si="170"/>
        <v>Young Adult</v>
      </c>
      <c r="Y1026" s="4" t="s">
        <v>781</v>
      </c>
      <c r="AA1026" s="4" t="s">
        <v>781</v>
      </c>
      <c r="AB1026" s="4" t="str">
        <f t="shared" si="171"/>
        <v>F</v>
      </c>
      <c r="AC1026" s="4" t="str">
        <f t="shared" si="172"/>
        <v>F</v>
      </c>
      <c r="AD1026" s="4" t="s">
        <v>457</v>
      </c>
      <c r="AG1026" s="4" t="str">
        <f t="shared" si="173"/>
        <v>Not Applicable</v>
      </c>
      <c r="AH1026" s="4">
        <v>309</v>
      </c>
      <c r="AK1026" s="4">
        <v>309</v>
      </c>
      <c r="AL1026" s="4" t="str">
        <f t="shared" si="174"/>
        <v>Found</v>
      </c>
      <c r="AN1026" s="6">
        <v>7.65</v>
      </c>
      <c r="AO1026" s="4" t="str">
        <f t="shared" si="175"/>
        <v>Low</v>
      </c>
    </row>
    <row r="1027" spans="1:41">
      <c r="A1027">
        <v>3</v>
      </c>
      <c r="B1027" t="str">
        <f t="shared" ref="B1027:B1090" si="176">IF(A1027=1,"First Class",IF(A1027=2,"Second Class",IF(A1027=3,"Third Class"," ")))</f>
        <v>Third Class</v>
      </c>
      <c r="C1027">
        <v>1</v>
      </c>
      <c r="E1027" t="str">
        <f t="shared" ref="E1027:E1090" si="177">IF(C1027=1,"Survived",IF(C1027=0,"Died"))</f>
        <v>Survived</v>
      </c>
      <c r="F1027" t="s">
        <v>1978</v>
      </c>
      <c r="G1027" t="s">
        <v>845</v>
      </c>
      <c r="H1027" t="s">
        <v>1979</v>
      </c>
      <c r="I1027" t="str">
        <f t="shared" ref="I1027:I1090" si="178">_xlfn.CONCAT(G1027," ",F1027," ",H1027)</f>
        <v>Master. Moor Meier</v>
      </c>
      <c r="J1027" t="s">
        <v>20</v>
      </c>
      <c r="K1027" t="str">
        <f t="shared" ref="K1027:K1090" si="179">PROPER(J1027)</f>
        <v>Male</v>
      </c>
      <c r="L1027">
        <v>6</v>
      </c>
      <c r="O1027">
        <f t="shared" ref="O1027:O1090" si="180">IF(L1027&lt;1,1,ROUND(L1027,0))</f>
        <v>6</v>
      </c>
      <c r="P1027">
        <v>0</v>
      </c>
      <c r="R1027" s="4">
        <v>1</v>
      </c>
      <c r="T1027" s="5">
        <v>12.475</v>
      </c>
      <c r="W1027" s="4">
        <v>6</v>
      </c>
      <c r="X1027" s="4" t="str">
        <f t="shared" ref="X1027:X1090" si="181">IF(W1027&lt;10,"Child",IF(W1027&lt;18,"Teenager",IF(W1027&lt;30,"Young Adult",IF(W1027&lt;60,"Adult","Old Adult"))))</f>
        <v>Child</v>
      </c>
      <c r="Y1027" s="4" t="s">
        <v>782</v>
      </c>
      <c r="AA1027" s="4" t="s">
        <v>782</v>
      </c>
      <c r="AB1027" s="4" t="str">
        <f t="shared" ref="AB1027:AB1090" si="182">LEFT(AA1027,1)</f>
        <v>E</v>
      </c>
      <c r="AC1027" s="4" t="str">
        <f t="shared" ref="AC1027:AC1090" si="183">IF(AB1027="","Unknown",LEFT(AB1027,1))</f>
        <v>E</v>
      </c>
      <c r="AD1027" s="4" t="s">
        <v>457</v>
      </c>
      <c r="AF1027" s="4">
        <v>14</v>
      </c>
      <c r="AG1027" s="4">
        <f t="shared" ref="AG1027:AG1090" si="184">IF(AF1027="",IF(E1027=1,"Unknown","Not Applicable"),AF1027)</f>
        <v>14</v>
      </c>
      <c r="AK1027" s="4" t="s">
        <v>3573</v>
      </c>
      <c r="AL1027" s="4" t="str">
        <f t="shared" ref="AL1027:AL1090" si="185">IF(AK1027="","Not Found","Found")</f>
        <v>Found</v>
      </c>
      <c r="AN1027" s="6">
        <v>12.475</v>
      </c>
      <c r="AO1027" s="4" t="str">
        <f t="shared" ref="AO1027:AO1090" si="186">IF(AN1027&lt;=10,"Low",IF(AN1027&lt;=50,"Mid","High"))</f>
        <v>Mid</v>
      </c>
    </row>
    <row r="1028" spans="1:41">
      <c r="A1028">
        <v>3</v>
      </c>
      <c r="B1028" t="str">
        <f t="shared" si="176"/>
        <v>Third Class</v>
      </c>
      <c r="C1028">
        <v>1</v>
      </c>
      <c r="E1028" t="str">
        <f t="shared" si="177"/>
        <v>Survived</v>
      </c>
      <c r="F1028" t="s">
        <v>1978</v>
      </c>
      <c r="G1028" t="s">
        <v>849</v>
      </c>
      <c r="H1028" t="s">
        <v>1980</v>
      </c>
      <c r="I1028" t="str">
        <f t="shared" si="178"/>
        <v>Mrs. Moor (Beila)</v>
      </c>
      <c r="J1028" t="s">
        <v>47</v>
      </c>
      <c r="K1028" t="str">
        <f t="shared" si="179"/>
        <v>Female</v>
      </c>
      <c r="L1028">
        <v>27</v>
      </c>
      <c r="O1028">
        <f t="shared" si="180"/>
        <v>27</v>
      </c>
      <c r="P1028">
        <v>0</v>
      </c>
      <c r="R1028" s="4">
        <v>1</v>
      </c>
      <c r="T1028" s="5">
        <v>12.475</v>
      </c>
      <c r="W1028" s="4">
        <v>27</v>
      </c>
      <c r="X1028" s="4" t="str">
        <f t="shared" si="181"/>
        <v>Young Adult</v>
      </c>
      <c r="Y1028" s="4" t="s">
        <v>782</v>
      </c>
      <c r="AA1028" s="4" t="s">
        <v>782</v>
      </c>
      <c r="AB1028" s="4" t="str">
        <f t="shared" si="182"/>
        <v>E</v>
      </c>
      <c r="AC1028" s="4" t="str">
        <f t="shared" si="183"/>
        <v>E</v>
      </c>
      <c r="AD1028" s="4" t="s">
        <v>457</v>
      </c>
      <c r="AF1028" s="4">
        <v>14</v>
      </c>
      <c r="AG1028" s="4">
        <f t="shared" si="184"/>
        <v>14</v>
      </c>
      <c r="AK1028" s="4" t="s">
        <v>3573</v>
      </c>
      <c r="AL1028" s="4" t="str">
        <f t="shared" si="185"/>
        <v>Found</v>
      </c>
      <c r="AN1028" s="6">
        <v>12.475</v>
      </c>
      <c r="AO1028" s="4" t="str">
        <f t="shared" si="186"/>
        <v>Mid</v>
      </c>
    </row>
    <row r="1029" spans="1:41">
      <c r="A1029">
        <v>3</v>
      </c>
      <c r="B1029" t="str">
        <f t="shared" si="176"/>
        <v>Third Class</v>
      </c>
      <c r="C1029">
        <v>0</v>
      </c>
      <c r="E1029" t="str">
        <f t="shared" si="177"/>
        <v>Died</v>
      </c>
      <c r="F1029" t="s">
        <v>1142</v>
      </c>
      <c r="G1029" t="s">
        <v>848</v>
      </c>
      <c r="H1029" t="s">
        <v>885</v>
      </c>
      <c r="I1029" t="str">
        <f t="shared" si="178"/>
        <v>Mr. Moore Leonard</v>
      </c>
      <c r="J1029" t="s">
        <v>20</v>
      </c>
      <c r="K1029" t="str">
        <f t="shared" si="179"/>
        <v>Male</v>
      </c>
      <c r="L1029">
        <v>28</v>
      </c>
      <c r="O1029">
        <f t="shared" si="180"/>
        <v>28</v>
      </c>
      <c r="P1029">
        <v>0</v>
      </c>
      <c r="R1029" s="4">
        <v>0</v>
      </c>
      <c r="T1029" s="5">
        <v>8.0500000000000007</v>
      </c>
      <c r="W1029" s="4">
        <v>28</v>
      </c>
      <c r="X1029" s="4" t="str">
        <f t="shared" si="181"/>
        <v>Young Adult</v>
      </c>
      <c r="Y1029" s="4" t="s">
        <v>3561</v>
      </c>
      <c r="AB1029" s="4" t="str">
        <f t="shared" si="182"/>
        <v/>
      </c>
      <c r="AC1029" s="4" t="str">
        <f t="shared" si="183"/>
        <v>Unknown</v>
      </c>
      <c r="AD1029" s="4" t="s">
        <v>457</v>
      </c>
      <c r="AG1029" s="4" t="str">
        <f t="shared" si="184"/>
        <v>Not Applicable</v>
      </c>
      <c r="AK1029" s="4" t="s">
        <v>3573</v>
      </c>
      <c r="AL1029" s="4" t="str">
        <f t="shared" si="185"/>
        <v>Found</v>
      </c>
      <c r="AN1029" s="6">
        <v>8.0500000000000007</v>
      </c>
      <c r="AO1029" s="4" t="str">
        <f t="shared" si="186"/>
        <v>Low</v>
      </c>
    </row>
    <row r="1030" spans="1:41">
      <c r="A1030">
        <v>3</v>
      </c>
      <c r="B1030" t="str">
        <f t="shared" si="176"/>
        <v>Third Class</v>
      </c>
      <c r="C1030">
        <v>1</v>
      </c>
      <c r="E1030" t="str">
        <f t="shared" si="177"/>
        <v>Survived</v>
      </c>
      <c r="F1030" t="s">
        <v>1981</v>
      </c>
      <c r="G1030" t="s">
        <v>842</v>
      </c>
      <c r="H1030" t="s">
        <v>1095</v>
      </c>
      <c r="I1030" t="str">
        <f t="shared" si="178"/>
        <v>Miss. Moran Bertha</v>
      </c>
      <c r="J1030" t="s">
        <v>47</v>
      </c>
      <c r="K1030" t="str">
        <f t="shared" si="179"/>
        <v>Female</v>
      </c>
      <c r="L1030">
        <v>28</v>
      </c>
      <c r="O1030">
        <f t="shared" si="180"/>
        <v>28</v>
      </c>
      <c r="P1030">
        <v>1</v>
      </c>
      <c r="R1030" s="4">
        <v>0</v>
      </c>
      <c r="T1030" s="5">
        <v>24.15</v>
      </c>
      <c r="W1030" s="4">
        <v>28</v>
      </c>
      <c r="X1030" s="4" t="str">
        <f t="shared" si="181"/>
        <v>Young Adult</v>
      </c>
      <c r="Y1030" s="4" t="s">
        <v>3561</v>
      </c>
      <c r="AB1030" s="4" t="str">
        <f t="shared" si="182"/>
        <v/>
      </c>
      <c r="AC1030" s="4" t="str">
        <f t="shared" si="183"/>
        <v>Unknown</v>
      </c>
      <c r="AD1030" s="4" t="s">
        <v>3567</v>
      </c>
      <c r="AF1030" s="4">
        <v>16</v>
      </c>
      <c r="AG1030" s="4">
        <f t="shared" si="184"/>
        <v>16</v>
      </c>
      <c r="AK1030" s="4" t="s">
        <v>3573</v>
      </c>
      <c r="AL1030" s="4" t="str">
        <f t="shared" si="185"/>
        <v>Found</v>
      </c>
      <c r="AN1030" s="6">
        <v>24.15</v>
      </c>
      <c r="AO1030" s="4" t="str">
        <f t="shared" si="186"/>
        <v>Mid</v>
      </c>
    </row>
    <row r="1031" spans="1:41">
      <c r="A1031">
        <v>3</v>
      </c>
      <c r="B1031" t="str">
        <f t="shared" si="176"/>
        <v>Third Class</v>
      </c>
      <c r="C1031">
        <v>0</v>
      </c>
      <c r="E1031" t="str">
        <f t="shared" si="177"/>
        <v>Died</v>
      </c>
      <c r="F1031" t="s">
        <v>1981</v>
      </c>
      <c r="G1031" t="s">
        <v>848</v>
      </c>
      <c r="H1031" t="s">
        <v>989</v>
      </c>
      <c r="I1031" t="str">
        <f t="shared" si="178"/>
        <v>Mr. Moran Daniel</v>
      </c>
      <c r="J1031" t="s">
        <v>20</v>
      </c>
      <c r="K1031" t="str">
        <f t="shared" si="179"/>
        <v>Male</v>
      </c>
      <c r="L1031">
        <v>28</v>
      </c>
      <c r="O1031">
        <f t="shared" si="180"/>
        <v>28</v>
      </c>
      <c r="P1031">
        <v>1</v>
      </c>
      <c r="R1031" s="4">
        <v>0</v>
      </c>
      <c r="T1031" s="5">
        <v>24.15</v>
      </c>
      <c r="W1031" s="4">
        <v>28</v>
      </c>
      <c r="X1031" s="4" t="str">
        <f t="shared" si="181"/>
        <v>Young Adult</v>
      </c>
      <c r="Y1031" s="4" t="s">
        <v>3561</v>
      </c>
      <c r="AB1031" s="4" t="str">
        <f t="shared" si="182"/>
        <v/>
      </c>
      <c r="AC1031" s="4" t="str">
        <f t="shared" si="183"/>
        <v>Unknown</v>
      </c>
      <c r="AD1031" s="4" t="s">
        <v>3567</v>
      </c>
      <c r="AG1031" s="4" t="str">
        <f t="shared" si="184"/>
        <v>Not Applicable</v>
      </c>
      <c r="AK1031" s="4" t="s">
        <v>3573</v>
      </c>
      <c r="AL1031" s="4" t="str">
        <f t="shared" si="185"/>
        <v>Found</v>
      </c>
      <c r="AN1031" s="6">
        <v>24.15</v>
      </c>
      <c r="AO1031" s="4" t="str">
        <f t="shared" si="186"/>
        <v>Mid</v>
      </c>
    </row>
    <row r="1032" spans="1:41">
      <c r="A1032">
        <v>3</v>
      </c>
      <c r="B1032" t="str">
        <f t="shared" si="176"/>
        <v>Third Class</v>
      </c>
      <c r="C1032">
        <v>0</v>
      </c>
      <c r="E1032" t="str">
        <f t="shared" si="177"/>
        <v>Died</v>
      </c>
      <c r="F1032" t="s">
        <v>1981</v>
      </c>
      <c r="G1032" t="s">
        <v>848</v>
      </c>
      <c r="H1032" t="s">
        <v>878</v>
      </c>
      <c r="I1032" t="str">
        <f t="shared" si="178"/>
        <v>Mr. Moran James</v>
      </c>
      <c r="J1032" t="s">
        <v>20</v>
      </c>
      <c r="K1032" t="str">
        <f t="shared" si="179"/>
        <v>Male</v>
      </c>
      <c r="L1032">
        <v>28</v>
      </c>
      <c r="O1032">
        <f t="shared" si="180"/>
        <v>28</v>
      </c>
      <c r="P1032">
        <v>0</v>
      </c>
      <c r="R1032" s="4">
        <v>0</v>
      </c>
      <c r="T1032" s="5">
        <v>8.4582999999999995</v>
      </c>
      <c r="W1032" s="4">
        <v>28</v>
      </c>
      <c r="X1032" s="4" t="str">
        <f t="shared" si="181"/>
        <v>Young Adult</v>
      </c>
      <c r="Y1032" s="4" t="s">
        <v>3561</v>
      </c>
      <c r="AB1032" s="4" t="str">
        <f t="shared" si="182"/>
        <v/>
      </c>
      <c r="AC1032" s="4" t="str">
        <f t="shared" si="183"/>
        <v>Unknown</v>
      </c>
      <c r="AD1032" s="4" t="s">
        <v>3567</v>
      </c>
      <c r="AG1032" s="4" t="str">
        <f t="shared" si="184"/>
        <v>Not Applicable</v>
      </c>
      <c r="AK1032" s="4" t="s">
        <v>3573</v>
      </c>
      <c r="AL1032" s="4" t="str">
        <f t="shared" si="185"/>
        <v>Found</v>
      </c>
      <c r="AN1032" s="6">
        <v>8.4582999999999995</v>
      </c>
      <c r="AO1032" s="4" t="str">
        <f t="shared" si="186"/>
        <v>Low</v>
      </c>
    </row>
    <row r="1033" spans="1:41">
      <c r="A1033">
        <v>3</v>
      </c>
      <c r="B1033" t="str">
        <f t="shared" si="176"/>
        <v>Third Class</v>
      </c>
      <c r="C1033">
        <v>0</v>
      </c>
      <c r="E1033" t="str">
        <f t="shared" si="177"/>
        <v>Died</v>
      </c>
      <c r="F1033" t="s">
        <v>1441</v>
      </c>
      <c r="G1033" t="s">
        <v>848</v>
      </c>
      <c r="H1033" t="s">
        <v>924</v>
      </c>
      <c r="I1033" t="str">
        <f t="shared" si="178"/>
        <v>Mr. Morley William</v>
      </c>
      <c r="J1033" t="s">
        <v>20</v>
      </c>
      <c r="K1033" t="str">
        <f t="shared" si="179"/>
        <v>Male</v>
      </c>
      <c r="L1033">
        <v>34</v>
      </c>
      <c r="O1033">
        <f t="shared" si="180"/>
        <v>34</v>
      </c>
      <c r="P1033">
        <v>0</v>
      </c>
      <c r="R1033" s="4">
        <v>0</v>
      </c>
      <c r="T1033" s="5">
        <v>8.0500000000000007</v>
      </c>
      <c r="W1033" s="4">
        <v>34</v>
      </c>
      <c r="X1033" s="4" t="str">
        <f t="shared" si="181"/>
        <v>Adult</v>
      </c>
      <c r="Y1033" s="4" t="s">
        <v>3561</v>
      </c>
      <c r="AB1033" s="4" t="str">
        <f t="shared" si="182"/>
        <v/>
      </c>
      <c r="AC1033" s="4" t="str">
        <f t="shared" si="183"/>
        <v>Unknown</v>
      </c>
      <c r="AD1033" s="4" t="s">
        <v>457</v>
      </c>
      <c r="AG1033" s="4" t="str">
        <f t="shared" si="184"/>
        <v>Not Applicable</v>
      </c>
      <c r="AK1033" s="4" t="s">
        <v>3573</v>
      </c>
      <c r="AL1033" s="4" t="str">
        <f t="shared" si="185"/>
        <v>Found</v>
      </c>
      <c r="AN1033" s="6">
        <v>8.0500000000000007</v>
      </c>
      <c r="AO1033" s="4" t="str">
        <f t="shared" si="186"/>
        <v>Low</v>
      </c>
    </row>
    <row r="1034" spans="1:41">
      <c r="A1034">
        <v>3</v>
      </c>
      <c r="B1034" t="str">
        <f t="shared" si="176"/>
        <v>Third Class</v>
      </c>
      <c r="C1034">
        <v>0</v>
      </c>
      <c r="E1034" t="str">
        <f t="shared" si="177"/>
        <v>Died</v>
      </c>
      <c r="F1034" t="s">
        <v>1982</v>
      </c>
      <c r="G1034" t="s">
        <v>848</v>
      </c>
      <c r="H1034" t="s">
        <v>855</v>
      </c>
      <c r="I1034" t="str">
        <f t="shared" si="178"/>
        <v>Mr. Morrow Thomas</v>
      </c>
      <c r="J1034" t="s">
        <v>20</v>
      </c>
      <c r="K1034" t="str">
        <f t="shared" si="179"/>
        <v>Male</v>
      </c>
      <c r="L1034">
        <v>28</v>
      </c>
      <c r="O1034">
        <f t="shared" si="180"/>
        <v>28</v>
      </c>
      <c r="P1034">
        <v>0</v>
      </c>
      <c r="R1034" s="4">
        <v>0</v>
      </c>
      <c r="T1034" s="5">
        <v>7.75</v>
      </c>
      <c r="W1034" s="4">
        <v>28</v>
      </c>
      <c r="X1034" s="4" t="str">
        <f t="shared" si="181"/>
        <v>Young Adult</v>
      </c>
      <c r="Y1034" s="4" t="s">
        <v>3561</v>
      </c>
      <c r="AB1034" s="4" t="str">
        <f t="shared" si="182"/>
        <v/>
      </c>
      <c r="AC1034" s="4" t="str">
        <f t="shared" si="183"/>
        <v>Unknown</v>
      </c>
      <c r="AD1034" s="4" t="s">
        <v>3567</v>
      </c>
      <c r="AG1034" s="4" t="str">
        <f t="shared" si="184"/>
        <v>Not Applicable</v>
      </c>
      <c r="AK1034" s="4" t="s">
        <v>3573</v>
      </c>
      <c r="AL1034" s="4" t="str">
        <f t="shared" si="185"/>
        <v>Found</v>
      </c>
      <c r="AN1034" s="6">
        <v>7.75</v>
      </c>
      <c r="AO1034" s="4" t="str">
        <f t="shared" si="186"/>
        <v>Low</v>
      </c>
    </row>
    <row r="1035" spans="1:41">
      <c r="A1035">
        <v>3</v>
      </c>
      <c r="B1035" t="str">
        <f t="shared" si="176"/>
        <v>Third Class</v>
      </c>
      <c r="C1035">
        <v>1</v>
      </c>
      <c r="E1035" t="str">
        <f t="shared" si="177"/>
        <v>Survived</v>
      </c>
      <c r="F1035" t="s">
        <v>1983</v>
      </c>
      <c r="G1035" t="s">
        <v>848</v>
      </c>
      <c r="H1035" t="s">
        <v>995</v>
      </c>
      <c r="I1035" t="str">
        <f t="shared" si="178"/>
        <v>Mr. Moss Albert</v>
      </c>
      <c r="J1035" t="s">
        <v>20</v>
      </c>
      <c r="K1035" t="str">
        <f t="shared" si="179"/>
        <v>Male</v>
      </c>
      <c r="L1035">
        <v>28</v>
      </c>
      <c r="O1035">
        <f t="shared" si="180"/>
        <v>28</v>
      </c>
      <c r="P1035">
        <v>0</v>
      </c>
      <c r="R1035" s="4">
        <v>0</v>
      </c>
      <c r="T1035" s="5">
        <v>7.7750000000000004</v>
      </c>
      <c r="W1035" s="4">
        <v>28</v>
      </c>
      <c r="X1035" s="4" t="str">
        <f t="shared" si="181"/>
        <v>Young Adult</v>
      </c>
      <c r="Y1035" s="4" t="s">
        <v>3561</v>
      </c>
      <c r="AB1035" s="4" t="str">
        <f t="shared" si="182"/>
        <v/>
      </c>
      <c r="AC1035" s="4" t="str">
        <f t="shared" si="183"/>
        <v>Unknown</v>
      </c>
      <c r="AD1035" s="4" t="s">
        <v>457</v>
      </c>
      <c r="AF1035" s="4" t="s">
        <v>70</v>
      </c>
      <c r="AG1035" s="4" t="str">
        <f t="shared" si="184"/>
        <v>B</v>
      </c>
      <c r="AK1035" s="4" t="s">
        <v>3573</v>
      </c>
      <c r="AL1035" s="4" t="str">
        <f t="shared" si="185"/>
        <v>Found</v>
      </c>
      <c r="AN1035" s="6">
        <v>7.7750000000000004</v>
      </c>
      <c r="AO1035" s="4" t="str">
        <f t="shared" si="186"/>
        <v>Low</v>
      </c>
    </row>
    <row r="1036" spans="1:41">
      <c r="A1036">
        <v>3</v>
      </c>
      <c r="B1036" t="str">
        <f t="shared" si="176"/>
        <v>Third Class</v>
      </c>
      <c r="C1036">
        <v>1</v>
      </c>
      <c r="E1036" t="str">
        <f t="shared" si="177"/>
        <v>Survived</v>
      </c>
      <c r="F1036" t="s">
        <v>1984</v>
      </c>
      <c r="G1036" t="s">
        <v>845</v>
      </c>
      <c r="H1036" t="s">
        <v>1589</v>
      </c>
      <c r="I1036" t="str">
        <f t="shared" si="178"/>
        <v>Master. Moubarek Gerios</v>
      </c>
      <c r="J1036" t="s">
        <v>20</v>
      </c>
      <c r="K1036" t="str">
        <f t="shared" si="179"/>
        <v>Male</v>
      </c>
      <c r="L1036">
        <v>28</v>
      </c>
      <c r="O1036">
        <f t="shared" si="180"/>
        <v>28</v>
      </c>
      <c r="P1036">
        <v>1</v>
      </c>
      <c r="R1036" s="4">
        <v>1</v>
      </c>
      <c r="T1036" s="5">
        <v>15.245799999999999</v>
      </c>
      <c r="W1036" s="4">
        <v>28</v>
      </c>
      <c r="X1036" s="4" t="str">
        <f t="shared" si="181"/>
        <v>Young Adult</v>
      </c>
      <c r="Y1036" s="4" t="s">
        <v>3561</v>
      </c>
      <c r="AB1036" s="4" t="str">
        <f t="shared" si="182"/>
        <v/>
      </c>
      <c r="AC1036" s="4" t="str">
        <f t="shared" si="183"/>
        <v>Unknown</v>
      </c>
      <c r="AD1036" s="4" t="s">
        <v>3566</v>
      </c>
      <c r="AF1036" s="4" t="s">
        <v>62</v>
      </c>
      <c r="AG1036" s="4" t="str">
        <f t="shared" si="184"/>
        <v>C</v>
      </c>
      <c r="AK1036" s="4" t="s">
        <v>3573</v>
      </c>
      <c r="AL1036" s="4" t="str">
        <f t="shared" si="185"/>
        <v>Found</v>
      </c>
      <c r="AN1036" s="6">
        <v>15.245799999999999</v>
      </c>
      <c r="AO1036" s="4" t="str">
        <f t="shared" si="186"/>
        <v>Mid</v>
      </c>
    </row>
    <row r="1037" spans="1:41">
      <c r="A1037">
        <v>3</v>
      </c>
      <c r="B1037" t="str">
        <f t="shared" si="176"/>
        <v>Third Class</v>
      </c>
      <c r="C1037">
        <v>1</v>
      </c>
      <c r="E1037" t="str">
        <f t="shared" si="177"/>
        <v>Survived</v>
      </c>
      <c r="F1037" t="s">
        <v>1984</v>
      </c>
      <c r="G1037" t="s">
        <v>845</v>
      </c>
      <c r="H1037" t="s">
        <v>1985</v>
      </c>
      <c r="I1037" t="str">
        <f t="shared" si="178"/>
        <v>Master. Moubarek Halim</v>
      </c>
      <c r="J1037" t="s">
        <v>20</v>
      </c>
      <c r="K1037" t="str">
        <f t="shared" si="179"/>
        <v>Male</v>
      </c>
      <c r="L1037">
        <v>28</v>
      </c>
      <c r="O1037">
        <f t="shared" si="180"/>
        <v>28</v>
      </c>
      <c r="P1037">
        <v>1</v>
      </c>
      <c r="R1037" s="4">
        <v>1</v>
      </c>
      <c r="T1037" s="5">
        <v>15.245799999999999</v>
      </c>
      <c r="W1037" s="4">
        <v>28</v>
      </c>
      <c r="X1037" s="4" t="str">
        <f t="shared" si="181"/>
        <v>Young Adult</v>
      </c>
      <c r="Y1037" s="4" t="s">
        <v>3561</v>
      </c>
      <c r="AB1037" s="4" t="str">
        <f t="shared" si="182"/>
        <v/>
      </c>
      <c r="AC1037" s="4" t="str">
        <f t="shared" si="183"/>
        <v>Unknown</v>
      </c>
      <c r="AD1037" s="4" t="s">
        <v>3566</v>
      </c>
      <c r="AF1037" s="4" t="s">
        <v>62</v>
      </c>
      <c r="AG1037" s="4" t="str">
        <f t="shared" si="184"/>
        <v>C</v>
      </c>
      <c r="AK1037" s="4" t="s">
        <v>3573</v>
      </c>
      <c r="AL1037" s="4" t="str">
        <f t="shared" si="185"/>
        <v>Found</v>
      </c>
      <c r="AN1037" s="6">
        <v>15.245799999999999</v>
      </c>
      <c r="AO1037" s="4" t="str">
        <f t="shared" si="186"/>
        <v>Mid</v>
      </c>
    </row>
    <row r="1038" spans="1:41">
      <c r="A1038">
        <v>3</v>
      </c>
      <c r="B1038" t="str">
        <f t="shared" si="176"/>
        <v>Third Class</v>
      </c>
      <c r="C1038">
        <v>1</v>
      </c>
      <c r="E1038" t="str">
        <f t="shared" si="177"/>
        <v>Survived</v>
      </c>
      <c r="F1038" t="s">
        <v>1984</v>
      </c>
      <c r="G1038" t="s">
        <v>849</v>
      </c>
      <c r="H1038" t="s">
        <v>912</v>
      </c>
      <c r="I1038" t="str">
        <f t="shared" si="178"/>
        <v>Mrs. Moubarek George</v>
      </c>
      <c r="J1038" t="s">
        <v>47</v>
      </c>
      <c r="K1038" t="str">
        <f t="shared" si="179"/>
        <v>Female</v>
      </c>
      <c r="L1038">
        <v>28</v>
      </c>
      <c r="O1038">
        <f t="shared" si="180"/>
        <v>28</v>
      </c>
      <c r="P1038">
        <v>0</v>
      </c>
      <c r="R1038" s="4">
        <v>2</v>
      </c>
      <c r="T1038" s="5">
        <v>15.245799999999999</v>
      </c>
      <c r="W1038" s="4">
        <v>28</v>
      </c>
      <c r="X1038" s="4" t="str">
        <f t="shared" si="181"/>
        <v>Young Adult</v>
      </c>
      <c r="Y1038" s="4" t="s">
        <v>3561</v>
      </c>
      <c r="AB1038" s="4" t="str">
        <f t="shared" si="182"/>
        <v/>
      </c>
      <c r="AC1038" s="4" t="str">
        <f t="shared" si="183"/>
        <v>Unknown</v>
      </c>
      <c r="AD1038" s="4" t="s">
        <v>3566</v>
      </c>
      <c r="AF1038" s="4" t="s">
        <v>62</v>
      </c>
      <c r="AG1038" s="4" t="str">
        <f t="shared" si="184"/>
        <v>C</v>
      </c>
      <c r="AK1038" s="4" t="s">
        <v>3573</v>
      </c>
      <c r="AL1038" s="4" t="str">
        <f t="shared" si="185"/>
        <v>Found</v>
      </c>
      <c r="AN1038" s="6">
        <v>15.245799999999999</v>
      </c>
      <c r="AO1038" s="4" t="str">
        <f t="shared" si="186"/>
        <v>Mid</v>
      </c>
    </row>
    <row r="1039" spans="1:41">
      <c r="A1039">
        <v>3</v>
      </c>
      <c r="B1039" t="str">
        <f t="shared" si="176"/>
        <v>Third Class</v>
      </c>
      <c r="C1039">
        <v>1</v>
      </c>
      <c r="E1039" t="str">
        <f t="shared" si="177"/>
        <v>Survived</v>
      </c>
      <c r="F1039" t="s">
        <v>1986</v>
      </c>
      <c r="G1039" t="s">
        <v>849</v>
      </c>
      <c r="H1039" t="s">
        <v>1987</v>
      </c>
      <c r="I1039" t="str">
        <f t="shared" si="178"/>
        <v>Mrs. Moussa (Mantoura</v>
      </c>
      <c r="J1039" t="s">
        <v>47</v>
      </c>
      <c r="K1039" t="str">
        <f t="shared" si="179"/>
        <v>Female</v>
      </c>
      <c r="L1039">
        <v>28</v>
      </c>
      <c r="O1039">
        <f t="shared" si="180"/>
        <v>28</v>
      </c>
      <c r="P1039">
        <v>0</v>
      </c>
      <c r="R1039" s="4">
        <v>0</v>
      </c>
      <c r="T1039" s="5">
        <v>7.2291999999999996</v>
      </c>
      <c r="W1039" s="4">
        <v>28</v>
      </c>
      <c r="X1039" s="4" t="str">
        <f t="shared" si="181"/>
        <v>Young Adult</v>
      </c>
      <c r="Y1039" s="4" t="s">
        <v>3561</v>
      </c>
      <c r="AB1039" s="4" t="str">
        <f t="shared" si="182"/>
        <v/>
      </c>
      <c r="AC1039" s="4" t="str">
        <f t="shared" si="183"/>
        <v>Unknown</v>
      </c>
      <c r="AD1039" s="4" t="s">
        <v>3566</v>
      </c>
      <c r="AG1039" s="4" t="str">
        <f t="shared" si="184"/>
        <v>Not Applicable</v>
      </c>
      <c r="AK1039" s="4" t="s">
        <v>3573</v>
      </c>
      <c r="AL1039" s="4" t="str">
        <f t="shared" si="185"/>
        <v>Found</v>
      </c>
      <c r="AN1039" s="6">
        <v>7.2291999999999996</v>
      </c>
      <c r="AO1039" s="4" t="str">
        <f t="shared" si="186"/>
        <v>Low</v>
      </c>
    </row>
    <row r="1040" spans="1:41">
      <c r="A1040">
        <v>3</v>
      </c>
      <c r="B1040" t="str">
        <f t="shared" si="176"/>
        <v>Third Class</v>
      </c>
      <c r="C1040">
        <v>0</v>
      </c>
      <c r="E1040" t="str">
        <f t="shared" si="177"/>
        <v>Died</v>
      </c>
      <c r="F1040" t="s">
        <v>1988</v>
      </c>
      <c r="G1040" t="s">
        <v>848</v>
      </c>
      <c r="H1040" t="s">
        <v>1989</v>
      </c>
      <c r="I1040" t="str">
        <f t="shared" si="178"/>
        <v>Mr. Moutal Rahamin</v>
      </c>
      <c r="J1040" t="s">
        <v>20</v>
      </c>
      <c r="K1040" t="str">
        <f t="shared" si="179"/>
        <v>Male</v>
      </c>
      <c r="L1040">
        <v>28</v>
      </c>
      <c r="O1040">
        <f t="shared" si="180"/>
        <v>28</v>
      </c>
      <c r="P1040">
        <v>0</v>
      </c>
      <c r="R1040" s="4">
        <v>0</v>
      </c>
      <c r="T1040" s="5">
        <v>8.0500000000000007</v>
      </c>
      <c r="W1040" s="4">
        <v>28</v>
      </c>
      <c r="X1040" s="4" t="str">
        <f t="shared" si="181"/>
        <v>Young Adult</v>
      </c>
      <c r="Y1040" s="4" t="s">
        <v>3561</v>
      </c>
      <c r="AB1040" s="4" t="str">
        <f t="shared" si="182"/>
        <v/>
      </c>
      <c r="AC1040" s="4" t="str">
        <f t="shared" si="183"/>
        <v>Unknown</v>
      </c>
      <c r="AD1040" s="4" t="s">
        <v>457</v>
      </c>
      <c r="AG1040" s="4" t="str">
        <f t="shared" si="184"/>
        <v>Not Applicable</v>
      </c>
      <c r="AK1040" s="4" t="s">
        <v>3573</v>
      </c>
      <c r="AL1040" s="4" t="str">
        <f t="shared" si="185"/>
        <v>Found</v>
      </c>
      <c r="AN1040" s="6">
        <v>8.0500000000000007</v>
      </c>
      <c r="AO1040" s="4" t="str">
        <f t="shared" si="186"/>
        <v>Low</v>
      </c>
    </row>
    <row r="1041" spans="1:41">
      <c r="A1041">
        <v>3</v>
      </c>
      <c r="B1041" t="str">
        <f t="shared" si="176"/>
        <v>Third Class</v>
      </c>
      <c r="C1041">
        <v>1</v>
      </c>
      <c r="E1041" t="str">
        <f t="shared" si="177"/>
        <v>Survived</v>
      </c>
      <c r="F1041" t="s">
        <v>1990</v>
      </c>
      <c r="G1041" t="s">
        <v>842</v>
      </c>
      <c r="H1041" t="s">
        <v>1637</v>
      </c>
      <c r="I1041" t="str">
        <f t="shared" si="178"/>
        <v>Miss. Mullens Katherine</v>
      </c>
      <c r="J1041" t="s">
        <v>47</v>
      </c>
      <c r="K1041" t="str">
        <f t="shared" si="179"/>
        <v>Female</v>
      </c>
      <c r="L1041">
        <v>28</v>
      </c>
      <c r="O1041">
        <f t="shared" si="180"/>
        <v>28</v>
      </c>
      <c r="P1041">
        <v>0</v>
      </c>
      <c r="R1041" s="4">
        <v>0</v>
      </c>
      <c r="T1041" s="5">
        <v>7.7332999999999998</v>
      </c>
      <c r="W1041" s="4">
        <v>28</v>
      </c>
      <c r="X1041" s="4" t="str">
        <f t="shared" si="181"/>
        <v>Young Adult</v>
      </c>
      <c r="Y1041" s="4" t="s">
        <v>3561</v>
      </c>
      <c r="AB1041" s="4" t="str">
        <f t="shared" si="182"/>
        <v/>
      </c>
      <c r="AC1041" s="4" t="str">
        <f t="shared" si="183"/>
        <v>Unknown</v>
      </c>
      <c r="AD1041" s="4" t="s">
        <v>3567</v>
      </c>
      <c r="AF1041" s="4">
        <v>16</v>
      </c>
      <c r="AG1041" s="4">
        <f t="shared" si="184"/>
        <v>16</v>
      </c>
      <c r="AK1041" s="4" t="s">
        <v>3573</v>
      </c>
      <c r="AL1041" s="4" t="str">
        <f t="shared" si="185"/>
        <v>Found</v>
      </c>
      <c r="AN1041" s="6">
        <v>7.7332999999999998</v>
      </c>
      <c r="AO1041" s="4" t="str">
        <f t="shared" si="186"/>
        <v>Low</v>
      </c>
    </row>
    <row r="1042" spans="1:41">
      <c r="A1042">
        <v>3</v>
      </c>
      <c r="B1042" t="str">
        <f t="shared" si="176"/>
        <v>Third Class</v>
      </c>
      <c r="C1042">
        <v>1</v>
      </c>
      <c r="E1042" t="str">
        <f t="shared" si="177"/>
        <v>Survived</v>
      </c>
      <c r="F1042" t="s">
        <v>1991</v>
      </c>
      <c r="G1042" t="s">
        <v>842</v>
      </c>
      <c r="H1042" t="s">
        <v>1095</v>
      </c>
      <c r="I1042" t="str">
        <f t="shared" si="178"/>
        <v>Miss. Mulvihill Bertha</v>
      </c>
      <c r="J1042" t="s">
        <v>47</v>
      </c>
      <c r="K1042" t="str">
        <f t="shared" si="179"/>
        <v>Female</v>
      </c>
      <c r="L1042">
        <v>24</v>
      </c>
      <c r="O1042">
        <f t="shared" si="180"/>
        <v>24</v>
      </c>
      <c r="P1042">
        <v>0</v>
      </c>
      <c r="R1042" s="4">
        <v>0</v>
      </c>
      <c r="T1042" s="5">
        <v>7.75</v>
      </c>
      <c r="W1042" s="4">
        <v>24</v>
      </c>
      <c r="X1042" s="4" t="str">
        <f t="shared" si="181"/>
        <v>Young Adult</v>
      </c>
      <c r="Y1042" s="4" t="s">
        <v>3561</v>
      </c>
      <c r="AB1042" s="4" t="str">
        <f t="shared" si="182"/>
        <v/>
      </c>
      <c r="AC1042" s="4" t="str">
        <f t="shared" si="183"/>
        <v>Unknown</v>
      </c>
      <c r="AD1042" s="4" t="s">
        <v>3567</v>
      </c>
      <c r="AF1042" s="4">
        <v>15</v>
      </c>
      <c r="AG1042" s="4">
        <f t="shared" si="184"/>
        <v>15</v>
      </c>
      <c r="AK1042" s="4" t="s">
        <v>3573</v>
      </c>
      <c r="AL1042" s="4" t="str">
        <f t="shared" si="185"/>
        <v>Found</v>
      </c>
      <c r="AN1042" s="6">
        <v>7.75</v>
      </c>
      <c r="AO1042" s="4" t="str">
        <f t="shared" si="186"/>
        <v>Low</v>
      </c>
    </row>
    <row r="1043" spans="1:41">
      <c r="A1043">
        <v>3</v>
      </c>
      <c r="B1043" t="str">
        <f t="shared" si="176"/>
        <v>Third Class</v>
      </c>
      <c r="C1043">
        <v>0</v>
      </c>
      <c r="E1043" t="str">
        <f t="shared" si="177"/>
        <v>Died</v>
      </c>
      <c r="F1043" t="s">
        <v>1992</v>
      </c>
      <c r="G1043" t="s">
        <v>848</v>
      </c>
      <c r="H1043" t="s">
        <v>921</v>
      </c>
      <c r="I1043" t="str">
        <f t="shared" si="178"/>
        <v>Mr. Murdlin Joseph</v>
      </c>
      <c r="J1043" t="s">
        <v>20</v>
      </c>
      <c r="K1043" t="str">
        <f t="shared" si="179"/>
        <v>Male</v>
      </c>
      <c r="L1043">
        <v>28</v>
      </c>
      <c r="O1043">
        <f t="shared" si="180"/>
        <v>28</v>
      </c>
      <c r="P1043">
        <v>0</v>
      </c>
      <c r="R1043" s="4">
        <v>0</v>
      </c>
      <c r="T1043" s="5">
        <v>8.0500000000000007</v>
      </c>
      <c r="W1043" s="4">
        <v>28</v>
      </c>
      <c r="X1043" s="4" t="str">
        <f t="shared" si="181"/>
        <v>Young Adult</v>
      </c>
      <c r="Y1043" s="4" t="s">
        <v>3561</v>
      </c>
      <c r="AB1043" s="4" t="str">
        <f t="shared" si="182"/>
        <v/>
      </c>
      <c r="AC1043" s="4" t="str">
        <f t="shared" si="183"/>
        <v>Unknown</v>
      </c>
      <c r="AD1043" s="4" t="s">
        <v>457</v>
      </c>
      <c r="AG1043" s="4" t="str">
        <f t="shared" si="184"/>
        <v>Not Applicable</v>
      </c>
      <c r="AK1043" s="4" t="s">
        <v>3573</v>
      </c>
      <c r="AL1043" s="4" t="str">
        <f t="shared" si="185"/>
        <v>Found</v>
      </c>
      <c r="AN1043" s="6">
        <v>8.0500000000000007</v>
      </c>
      <c r="AO1043" s="4" t="str">
        <f t="shared" si="186"/>
        <v>Low</v>
      </c>
    </row>
    <row r="1044" spans="1:41">
      <c r="A1044">
        <v>3</v>
      </c>
      <c r="B1044" t="str">
        <f t="shared" si="176"/>
        <v>Third Class</v>
      </c>
      <c r="C1044">
        <v>1</v>
      </c>
      <c r="E1044" t="str">
        <f t="shared" si="177"/>
        <v>Survived</v>
      </c>
      <c r="F1044" t="s">
        <v>1993</v>
      </c>
      <c r="G1044" t="s">
        <v>842</v>
      </c>
      <c r="H1044" t="s">
        <v>1637</v>
      </c>
      <c r="I1044" t="str">
        <f t="shared" si="178"/>
        <v>Miss. Murphy Katherine</v>
      </c>
      <c r="J1044" t="s">
        <v>47</v>
      </c>
      <c r="K1044" t="str">
        <f t="shared" si="179"/>
        <v>Female</v>
      </c>
      <c r="L1044">
        <v>28</v>
      </c>
      <c r="O1044">
        <f t="shared" si="180"/>
        <v>28</v>
      </c>
      <c r="P1044">
        <v>1</v>
      </c>
      <c r="R1044" s="4">
        <v>0</v>
      </c>
      <c r="T1044" s="5">
        <v>15.5</v>
      </c>
      <c r="W1044" s="4">
        <v>28</v>
      </c>
      <c r="X1044" s="4" t="str">
        <f t="shared" si="181"/>
        <v>Young Adult</v>
      </c>
      <c r="Y1044" s="4" t="s">
        <v>3561</v>
      </c>
      <c r="AB1044" s="4" t="str">
        <f t="shared" si="182"/>
        <v/>
      </c>
      <c r="AC1044" s="4" t="str">
        <f t="shared" si="183"/>
        <v>Unknown</v>
      </c>
      <c r="AD1044" s="4" t="s">
        <v>3567</v>
      </c>
      <c r="AF1044" s="4">
        <v>16</v>
      </c>
      <c r="AG1044" s="4">
        <f t="shared" si="184"/>
        <v>16</v>
      </c>
      <c r="AK1044" s="4" t="s">
        <v>3573</v>
      </c>
      <c r="AL1044" s="4" t="str">
        <f t="shared" si="185"/>
        <v>Found</v>
      </c>
      <c r="AN1044" s="6">
        <v>15.5</v>
      </c>
      <c r="AO1044" s="4" t="str">
        <f t="shared" si="186"/>
        <v>Mid</v>
      </c>
    </row>
    <row r="1045" spans="1:41">
      <c r="A1045">
        <v>3</v>
      </c>
      <c r="B1045" t="str">
        <f t="shared" si="176"/>
        <v>Third Class</v>
      </c>
      <c r="C1045">
        <v>1</v>
      </c>
      <c r="E1045" t="str">
        <f t="shared" si="177"/>
        <v>Survived</v>
      </c>
      <c r="F1045" t="s">
        <v>1993</v>
      </c>
      <c r="G1045" t="s">
        <v>842</v>
      </c>
      <c r="H1045" t="s">
        <v>927</v>
      </c>
      <c r="I1045" t="str">
        <f t="shared" si="178"/>
        <v>Miss. Murphy Margaret</v>
      </c>
      <c r="J1045" t="s">
        <v>47</v>
      </c>
      <c r="K1045" t="str">
        <f t="shared" si="179"/>
        <v>Female</v>
      </c>
      <c r="L1045">
        <v>28</v>
      </c>
      <c r="O1045">
        <f t="shared" si="180"/>
        <v>28</v>
      </c>
      <c r="P1045">
        <v>1</v>
      </c>
      <c r="R1045" s="4">
        <v>0</v>
      </c>
      <c r="T1045" s="5">
        <v>15.5</v>
      </c>
      <c r="W1045" s="4">
        <v>28</v>
      </c>
      <c r="X1045" s="4" t="str">
        <f t="shared" si="181"/>
        <v>Young Adult</v>
      </c>
      <c r="Y1045" s="4" t="s">
        <v>3561</v>
      </c>
      <c r="AB1045" s="4" t="str">
        <f t="shared" si="182"/>
        <v/>
      </c>
      <c r="AC1045" s="4" t="str">
        <f t="shared" si="183"/>
        <v>Unknown</v>
      </c>
      <c r="AD1045" s="4" t="s">
        <v>3567</v>
      </c>
      <c r="AF1045" s="4">
        <v>16</v>
      </c>
      <c r="AG1045" s="4">
        <f t="shared" si="184"/>
        <v>16</v>
      </c>
      <c r="AK1045" s="4" t="s">
        <v>3573</v>
      </c>
      <c r="AL1045" s="4" t="str">
        <f t="shared" si="185"/>
        <v>Found</v>
      </c>
      <c r="AN1045" s="6">
        <v>15.5</v>
      </c>
      <c r="AO1045" s="4" t="str">
        <f t="shared" si="186"/>
        <v>Mid</v>
      </c>
    </row>
    <row r="1046" spans="1:41">
      <c r="A1046">
        <v>3</v>
      </c>
      <c r="B1046" t="str">
        <f t="shared" si="176"/>
        <v>Third Class</v>
      </c>
      <c r="C1046">
        <v>1</v>
      </c>
      <c r="E1046" t="str">
        <f t="shared" si="177"/>
        <v>Survived</v>
      </c>
      <c r="F1046" t="s">
        <v>1993</v>
      </c>
      <c r="G1046" t="s">
        <v>842</v>
      </c>
      <c r="H1046" t="s">
        <v>1399</v>
      </c>
      <c r="I1046" t="str">
        <f t="shared" si="178"/>
        <v>Miss. Murphy Nora</v>
      </c>
      <c r="J1046" t="s">
        <v>47</v>
      </c>
      <c r="K1046" t="str">
        <f t="shared" si="179"/>
        <v>Female</v>
      </c>
      <c r="L1046">
        <v>28</v>
      </c>
      <c r="O1046">
        <f t="shared" si="180"/>
        <v>28</v>
      </c>
      <c r="P1046">
        <v>0</v>
      </c>
      <c r="R1046" s="4">
        <v>0</v>
      </c>
      <c r="T1046" s="5">
        <v>15.5</v>
      </c>
      <c r="W1046" s="4">
        <v>28</v>
      </c>
      <c r="X1046" s="4" t="str">
        <f t="shared" si="181"/>
        <v>Young Adult</v>
      </c>
      <c r="Y1046" s="4" t="s">
        <v>3561</v>
      </c>
      <c r="AB1046" s="4" t="str">
        <f t="shared" si="182"/>
        <v/>
      </c>
      <c r="AC1046" s="4" t="str">
        <f t="shared" si="183"/>
        <v>Unknown</v>
      </c>
      <c r="AD1046" s="4" t="s">
        <v>3567</v>
      </c>
      <c r="AF1046" s="4">
        <v>16</v>
      </c>
      <c r="AG1046" s="4">
        <f t="shared" si="184"/>
        <v>16</v>
      </c>
      <c r="AK1046" s="4" t="s">
        <v>3573</v>
      </c>
      <c r="AL1046" s="4" t="str">
        <f t="shared" si="185"/>
        <v>Found</v>
      </c>
      <c r="AN1046" s="6">
        <v>15.5</v>
      </c>
      <c r="AO1046" s="4" t="str">
        <f t="shared" si="186"/>
        <v>Mid</v>
      </c>
    </row>
    <row r="1047" spans="1:41">
      <c r="A1047">
        <v>3</v>
      </c>
      <c r="B1047" t="str">
        <f t="shared" si="176"/>
        <v>Third Class</v>
      </c>
      <c r="C1047">
        <v>0</v>
      </c>
      <c r="E1047" t="str">
        <f t="shared" si="177"/>
        <v>Died</v>
      </c>
      <c r="F1047" t="s">
        <v>1994</v>
      </c>
      <c r="G1047" t="s">
        <v>848</v>
      </c>
      <c r="H1047" t="s">
        <v>1995</v>
      </c>
      <c r="I1047" t="str">
        <f t="shared" si="178"/>
        <v>Mr. Myhrman Pehr</v>
      </c>
      <c r="J1047" t="s">
        <v>20</v>
      </c>
      <c r="K1047" t="str">
        <f t="shared" si="179"/>
        <v>Male</v>
      </c>
      <c r="L1047">
        <v>18</v>
      </c>
      <c r="O1047">
        <f t="shared" si="180"/>
        <v>18</v>
      </c>
      <c r="P1047">
        <v>0</v>
      </c>
      <c r="R1047" s="4">
        <v>0</v>
      </c>
      <c r="T1047" s="5">
        <v>7.75</v>
      </c>
      <c r="W1047" s="4">
        <v>18</v>
      </c>
      <c r="X1047" s="4" t="str">
        <f t="shared" si="181"/>
        <v>Young Adult</v>
      </c>
      <c r="Y1047" s="4" t="s">
        <v>3561</v>
      </c>
      <c r="AB1047" s="4" t="str">
        <f t="shared" si="182"/>
        <v/>
      </c>
      <c r="AC1047" s="4" t="str">
        <f t="shared" si="183"/>
        <v>Unknown</v>
      </c>
      <c r="AD1047" s="4" t="s">
        <v>457</v>
      </c>
      <c r="AG1047" s="4" t="str">
        <f t="shared" si="184"/>
        <v>Not Applicable</v>
      </c>
      <c r="AK1047" s="4" t="s">
        <v>3573</v>
      </c>
      <c r="AL1047" s="4" t="str">
        <f t="shared" si="185"/>
        <v>Found</v>
      </c>
      <c r="AN1047" s="6">
        <v>7.75</v>
      </c>
      <c r="AO1047" s="4" t="str">
        <f t="shared" si="186"/>
        <v>Low</v>
      </c>
    </row>
    <row r="1048" spans="1:41">
      <c r="A1048">
        <v>3</v>
      </c>
      <c r="B1048" t="str">
        <f t="shared" si="176"/>
        <v>Third Class</v>
      </c>
      <c r="C1048">
        <v>0</v>
      </c>
      <c r="E1048" t="str">
        <f t="shared" si="177"/>
        <v>Died</v>
      </c>
      <c r="F1048" t="s">
        <v>1996</v>
      </c>
      <c r="G1048" t="s">
        <v>848</v>
      </c>
      <c r="H1048" t="s">
        <v>1997</v>
      </c>
      <c r="I1048" t="str">
        <f t="shared" si="178"/>
        <v>Mr. Naidenoff Penko</v>
      </c>
      <c r="J1048" t="s">
        <v>20</v>
      </c>
      <c r="K1048" t="str">
        <f t="shared" si="179"/>
        <v>Male</v>
      </c>
      <c r="L1048">
        <v>22</v>
      </c>
      <c r="O1048">
        <f t="shared" si="180"/>
        <v>22</v>
      </c>
      <c r="P1048">
        <v>0</v>
      </c>
      <c r="R1048" s="4">
        <v>0</v>
      </c>
      <c r="T1048" s="5">
        <v>7.8958000000000004</v>
      </c>
      <c r="W1048" s="4">
        <v>22</v>
      </c>
      <c r="X1048" s="4" t="str">
        <f t="shared" si="181"/>
        <v>Young Adult</v>
      </c>
      <c r="Y1048" s="4" t="s">
        <v>3561</v>
      </c>
      <c r="AB1048" s="4" t="str">
        <f t="shared" si="182"/>
        <v/>
      </c>
      <c r="AC1048" s="4" t="str">
        <f t="shared" si="183"/>
        <v>Unknown</v>
      </c>
      <c r="AD1048" s="4" t="s">
        <v>457</v>
      </c>
      <c r="AG1048" s="4" t="str">
        <f t="shared" si="184"/>
        <v>Not Applicable</v>
      </c>
      <c r="AK1048" s="4" t="s">
        <v>3573</v>
      </c>
      <c r="AL1048" s="4" t="str">
        <f t="shared" si="185"/>
        <v>Found</v>
      </c>
      <c r="AN1048" s="6">
        <v>7.8958000000000004</v>
      </c>
      <c r="AO1048" s="4" t="str">
        <f t="shared" si="186"/>
        <v>Low</v>
      </c>
    </row>
    <row r="1049" spans="1:41">
      <c r="A1049">
        <v>3</v>
      </c>
      <c r="B1049" t="str">
        <f t="shared" si="176"/>
        <v>Third Class</v>
      </c>
      <c r="C1049">
        <v>1</v>
      </c>
      <c r="E1049" t="str">
        <f t="shared" si="177"/>
        <v>Survived</v>
      </c>
      <c r="F1049" t="s">
        <v>1998</v>
      </c>
      <c r="G1049" t="s">
        <v>842</v>
      </c>
      <c r="H1049" t="s">
        <v>1999</v>
      </c>
      <c r="I1049" t="str">
        <f t="shared" si="178"/>
        <v>Miss. Najib Adele</v>
      </c>
      <c r="J1049" t="s">
        <v>47</v>
      </c>
      <c r="K1049" t="str">
        <f t="shared" si="179"/>
        <v>Female</v>
      </c>
      <c r="L1049">
        <v>15</v>
      </c>
      <c r="O1049">
        <f t="shared" si="180"/>
        <v>15</v>
      </c>
      <c r="P1049">
        <v>0</v>
      </c>
      <c r="R1049" s="4">
        <v>0</v>
      </c>
      <c r="T1049" s="5">
        <v>7.2249999999999996</v>
      </c>
      <c r="W1049" s="4">
        <v>15</v>
      </c>
      <c r="X1049" s="4" t="str">
        <f t="shared" si="181"/>
        <v>Teenager</v>
      </c>
      <c r="Y1049" s="4" t="s">
        <v>3561</v>
      </c>
      <c r="AB1049" s="4" t="str">
        <f t="shared" si="182"/>
        <v/>
      </c>
      <c r="AC1049" s="4" t="str">
        <f t="shared" si="183"/>
        <v>Unknown</v>
      </c>
      <c r="AD1049" s="4" t="s">
        <v>3566</v>
      </c>
      <c r="AF1049" s="4" t="s">
        <v>62</v>
      </c>
      <c r="AG1049" s="4" t="str">
        <f t="shared" si="184"/>
        <v>C</v>
      </c>
      <c r="AK1049" s="4" t="s">
        <v>3573</v>
      </c>
      <c r="AL1049" s="4" t="str">
        <f t="shared" si="185"/>
        <v>Found</v>
      </c>
      <c r="AN1049" s="6">
        <v>7.2249999999999996</v>
      </c>
      <c r="AO1049" s="4" t="str">
        <f t="shared" si="186"/>
        <v>Low</v>
      </c>
    </row>
    <row r="1050" spans="1:41">
      <c r="A1050">
        <v>3</v>
      </c>
      <c r="B1050" t="str">
        <f t="shared" si="176"/>
        <v>Third Class</v>
      </c>
      <c r="C1050">
        <v>1</v>
      </c>
      <c r="E1050" t="str">
        <f t="shared" si="177"/>
        <v>Survived</v>
      </c>
      <c r="F1050" t="s">
        <v>2000</v>
      </c>
      <c r="G1050" t="s">
        <v>842</v>
      </c>
      <c r="H1050" t="s">
        <v>1195</v>
      </c>
      <c r="I1050" t="str">
        <f t="shared" si="178"/>
        <v>Miss. Nakid Maria</v>
      </c>
      <c r="J1050" t="s">
        <v>47</v>
      </c>
      <c r="K1050" t="str">
        <f t="shared" si="179"/>
        <v>Female</v>
      </c>
      <c r="L1050">
        <v>1</v>
      </c>
      <c r="O1050">
        <f t="shared" si="180"/>
        <v>1</v>
      </c>
      <c r="P1050">
        <v>0</v>
      </c>
      <c r="R1050" s="4">
        <v>2</v>
      </c>
      <c r="T1050" s="5">
        <v>15.7417</v>
      </c>
      <c r="W1050" s="4">
        <v>1</v>
      </c>
      <c r="X1050" s="4" t="str">
        <f t="shared" si="181"/>
        <v>Child</v>
      </c>
      <c r="Y1050" s="4" t="s">
        <v>3561</v>
      </c>
      <c r="AB1050" s="4" t="str">
        <f t="shared" si="182"/>
        <v/>
      </c>
      <c r="AC1050" s="4" t="str">
        <f t="shared" si="183"/>
        <v>Unknown</v>
      </c>
      <c r="AD1050" s="4" t="s">
        <v>3566</v>
      </c>
      <c r="AF1050" s="4" t="s">
        <v>62</v>
      </c>
      <c r="AG1050" s="4" t="str">
        <f t="shared" si="184"/>
        <v>C</v>
      </c>
      <c r="AK1050" s="4" t="s">
        <v>3573</v>
      </c>
      <c r="AL1050" s="4" t="str">
        <f t="shared" si="185"/>
        <v>Found</v>
      </c>
      <c r="AN1050" s="6">
        <v>15.7417</v>
      </c>
      <c r="AO1050" s="4" t="str">
        <f t="shared" si="186"/>
        <v>Mid</v>
      </c>
    </row>
    <row r="1051" spans="1:41">
      <c r="A1051">
        <v>3</v>
      </c>
      <c r="B1051" t="str">
        <f t="shared" si="176"/>
        <v>Third Class</v>
      </c>
      <c r="C1051">
        <v>1</v>
      </c>
      <c r="E1051" t="str">
        <f t="shared" si="177"/>
        <v>Survived</v>
      </c>
      <c r="F1051" t="s">
        <v>2000</v>
      </c>
      <c r="G1051" t="s">
        <v>848</v>
      </c>
      <c r="H1051" t="s">
        <v>2001</v>
      </c>
      <c r="I1051" t="str">
        <f t="shared" si="178"/>
        <v>Mr. Nakid Sahid</v>
      </c>
      <c r="J1051" t="s">
        <v>20</v>
      </c>
      <c r="K1051" t="str">
        <f t="shared" si="179"/>
        <v>Male</v>
      </c>
      <c r="L1051">
        <v>20</v>
      </c>
      <c r="O1051">
        <f t="shared" si="180"/>
        <v>20</v>
      </c>
      <c r="P1051">
        <v>1</v>
      </c>
      <c r="R1051" s="4">
        <v>1</v>
      </c>
      <c r="T1051" s="5">
        <v>15.7417</v>
      </c>
      <c r="W1051" s="4">
        <v>20</v>
      </c>
      <c r="X1051" s="4" t="str">
        <f t="shared" si="181"/>
        <v>Young Adult</v>
      </c>
      <c r="Y1051" s="4" t="s">
        <v>3561</v>
      </c>
      <c r="AB1051" s="4" t="str">
        <f t="shared" si="182"/>
        <v/>
      </c>
      <c r="AC1051" s="4" t="str">
        <f t="shared" si="183"/>
        <v>Unknown</v>
      </c>
      <c r="AD1051" s="4" t="s">
        <v>3566</v>
      </c>
      <c r="AF1051" s="4" t="s">
        <v>62</v>
      </c>
      <c r="AG1051" s="4" t="str">
        <f t="shared" si="184"/>
        <v>C</v>
      </c>
      <c r="AK1051" s="4" t="s">
        <v>3573</v>
      </c>
      <c r="AL1051" s="4" t="str">
        <f t="shared" si="185"/>
        <v>Found</v>
      </c>
      <c r="AN1051" s="6">
        <v>15.7417</v>
      </c>
      <c r="AO1051" s="4" t="str">
        <f t="shared" si="186"/>
        <v>Mid</v>
      </c>
    </row>
    <row r="1052" spans="1:41">
      <c r="A1052">
        <v>3</v>
      </c>
      <c r="B1052" t="str">
        <f t="shared" si="176"/>
        <v>Third Class</v>
      </c>
      <c r="C1052">
        <v>1</v>
      </c>
      <c r="E1052" t="str">
        <f t="shared" si="177"/>
        <v>Survived</v>
      </c>
      <c r="F1052" t="s">
        <v>2000</v>
      </c>
      <c r="G1052" t="s">
        <v>849</v>
      </c>
      <c r="H1052" t="s">
        <v>2002</v>
      </c>
      <c r="I1052" t="str">
        <f t="shared" si="178"/>
        <v>Mrs. Nakid Said</v>
      </c>
      <c r="J1052" t="s">
        <v>47</v>
      </c>
      <c r="K1052" t="str">
        <f t="shared" si="179"/>
        <v>Female</v>
      </c>
      <c r="L1052">
        <v>19</v>
      </c>
      <c r="O1052">
        <f t="shared" si="180"/>
        <v>19</v>
      </c>
      <c r="P1052">
        <v>1</v>
      </c>
      <c r="R1052" s="4">
        <v>1</v>
      </c>
      <c r="T1052" s="5">
        <v>15.7417</v>
      </c>
      <c r="W1052" s="4">
        <v>19</v>
      </c>
      <c r="X1052" s="4" t="str">
        <f t="shared" si="181"/>
        <v>Young Adult</v>
      </c>
      <c r="Y1052" s="4" t="s">
        <v>3561</v>
      </c>
      <c r="AB1052" s="4" t="str">
        <f t="shared" si="182"/>
        <v/>
      </c>
      <c r="AC1052" s="4" t="str">
        <f t="shared" si="183"/>
        <v>Unknown</v>
      </c>
      <c r="AD1052" s="4" t="s">
        <v>3566</v>
      </c>
      <c r="AF1052" s="4" t="s">
        <v>62</v>
      </c>
      <c r="AG1052" s="4" t="str">
        <f t="shared" si="184"/>
        <v>C</v>
      </c>
      <c r="AK1052" s="4" t="s">
        <v>3573</v>
      </c>
      <c r="AL1052" s="4" t="str">
        <f t="shared" si="185"/>
        <v>Found</v>
      </c>
      <c r="AN1052" s="6">
        <v>15.7417</v>
      </c>
      <c r="AO1052" s="4" t="str">
        <f t="shared" si="186"/>
        <v>Mid</v>
      </c>
    </row>
    <row r="1053" spans="1:41">
      <c r="A1053">
        <v>3</v>
      </c>
      <c r="B1053" t="str">
        <f t="shared" si="176"/>
        <v>Third Class</v>
      </c>
      <c r="C1053">
        <v>0</v>
      </c>
      <c r="E1053" t="str">
        <f t="shared" si="177"/>
        <v>Died</v>
      </c>
      <c r="F1053" t="s">
        <v>2003</v>
      </c>
      <c r="G1053" t="s">
        <v>848</v>
      </c>
      <c r="H1053" t="s">
        <v>924</v>
      </c>
      <c r="I1053" t="str">
        <f t="shared" si="178"/>
        <v>Mr. Nancarrow William</v>
      </c>
      <c r="J1053" t="s">
        <v>20</v>
      </c>
      <c r="K1053" t="str">
        <f t="shared" si="179"/>
        <v>Male</v>
      </c>
      <c r="L1053">
        <v>33</v>
      </c>
      <c r="O1053">
        <f t="shared" si="180"/>
        <v>33</v>
      </c>
      <c r="P1053">
        <v>0</v>
      </c>
      <c r="R1053" s="4">
        <v>0</v>
      </c>
      <c r="T1053" s="5">
        <v>8.0500000000000007</v>
      </c>
      <c r="W1053" s="4">
        <v>33</v>
      </c>
      <c r="X1053" s="4" t="str">
        <f t="shared" si="181"/>
        <v>Adult</v>
      </c>
      <c r="Y1053" s="4" t="s">
        <v>3561</v>
      </c>
      <c r="AB1053" s="4" t="str">
        <f t="shared" si="182"/>
        <v/>
      </c>
      <c r="AC1053" s="4" t="str">
        <f t="shared" si="183"/>
        <v>Unknown</v>
      </c>
      <c r="AD1053" s="4" t="s">
        <v>457</v>
      </c>
      <c r="AG1053" s="4" t="str">
        <f t="shared" si="184"/>
        <v>Not Applicable</v>
      </c>
      <c r="AK1053" s="4" t="s">
        <v>3573</v>
      </c>
      <c r="AL1053" s="4" t="str">
        <f t="shared" si="185"/>
        <v>Found</v>
      </c>
      <c r="AN1053" s="6">
        <v>8.0500000000000007</v>
      </c>
      <c r="AO1053" s="4" t="str">
        <f t="shared" si="186"/>
        <v>Low</v>
      </c>
    </row>
    <row r="1054" spans="1:41">
      <c r="A1054">
        <v>3</v>
      </c>
      <c r="B1054" t="str">
        <f t="shared" si="176"/>
        <v>Third Class</v>
      </c>
      <c r="C1054">
        <v>0</v>
      </c>
      <c r="E1054" t="str">
        <f t="shared" si="177"/>
        <v>Died</v>
      </c>
      <c r="F1054" t="s">
        <v>2004</v>
      </c>
      <c r="G1054" t="s">
        <v>848</v>
      </c>
      <c r="H1054" t="s">
        <v>1575</v>
      </c>
      <c r="I1054" t="str">
        <f t="shared" si="178"/>
        <v>Mr. Nankoff Minko</v>
      </c>
      <c r="J1054" t="s">
        <v>20</v>
      </c>
      <c r="K1054" t="str">
        <f t="shared" si="179"/>
        <v>Male</v>
      </c>
      <c r="L1054">
        <v>28</v>
      </c>
      <c r="O1054">
        <f t="shared" si="180"/>
        <v>28</v>
      </c>
      <c r="P1054">
        <v>0</v>
      </c>
      <c r="R1054" s="4">
        <v>0</v>
      </c>
      <c r="T1054" s="5">
        <v>7.8958000000000004</v>
      </c>
      <c r="W1054" s="4">
        <v>28</v>
      </c>
      <c r="X1054" s="4" t="str">
        <f t="shared" si="181"/>
        <v>Young Adult</v>
      </c>
      <c r="Y1054" s="4" t="s">
        <v>3561</v>
      </c>
      <c r="AB1054" s="4" t="str">
        <f t="shared" si="182"/>
        <v/>
      </c>
      <c r="AC1054" s="4" t="str">
        <f t="shared" si="183"/>
        <v>Unknown</v>
      </c>
      <c r="AD1054" s="4" t="s">
        <v>457</v>
      </c>
      <c r="AG1054" s="4" t="str">
        <f t="shared" si="184"/>
        <v>Not Applicable</v>
      </c>
      <c r="AK1054" s="4" t="s">
        <v>3573</v>
      </c>
      <c r="AL1054" s="4" t="str">
        <f t="shared" si="185"/>
        <v>Found</v>
      </c>
      <c r="AN1054" s="6">
        <v>7.8958000000000004</v>
      </c>
      <c r="AO1054" s="4" t="str">
        <f t="shared" si="186"/>
        <v>Low</v>
      </c>
    </row>
    <row r="1055" spans="1:41">
      <c r="A1055">
        <v>3</v>
      </c>
      <c r="B1055" t="str">
        <f t="shared" si="176"/>
        <v>Third Class</v>
      </c>
      <c r="C1055">
        <v>0</v>
      </c>
      <c r="E1055" t="str">
        <f t="shared" si="177"/>
        <v>Died</v>
      </c>
      <c r="F1055" t="s">
        <v>2005</v>
      </c>
      <c r="G1055" t="s">
        <v>848</v>
      </c>
      <c r="H1055" t="s">
        <v>2006</v>
      </c>
      <c r="I1055" t="str">
        <f t="shared" si="178"/>
        <v>Mr. Nasr Mustafa</v>
      </c>
      <c r="J1055" t="s">
        <v>20</v>
      </c>
      <c r="K1055" t="str">
        <f t="shared" si="179"/>
        <v>Male</v>
      </c>
      <c r="L1055">
        <v>28</v>
      </c>
      <c r="O1055">
        <f t="shared" si="180"/>
        <v>28</v>
      </c>
      <c r="P1055">
        <v>0</v>
      </c>
      <c r="R1055" s="4">
        <v>0</v>
      </c>
      <c r="T1055" s="5">
        <v>7.2291999999999996</v>
      </c>
      <c r="W1055" s="4">
        <v>28</v>
      </c>
      <c r="X1055" s="4" t="str">
        <f t="shared" si="181"/>
        <v>Young Adult</v>
      </c>
      <c r="Y1055" s="4" t="s">
        <v>3561</v>
      </c>
      <c r="AB1055" s="4" t="str">
        <f t="shared" si="182"/>
        <v/>
      </c>
      <c r="AC1055" s="4" t="str">
        <f t="shared" si="183"/>
        <v>Unknown</v>
      </c>
      <c r="AD1055" s="4" t="s">
        <v>3566</v>
      </c>
      <c r="AG1055" s="4" t="str">
        <f t="shared" si="184"/>
        <v>Not Applicable</v>
      </c>
      <c r="AK1055" s="4" t="s">
        <v>3573</v>
      </c>
      <c r="AL1055" s="4" t="str">
        <f t="shared" si="185"/>
        <v>Found</v>
      </c>
      <c r="AN1055" s="6">
        <v>7.2291999999999996</v>
      </c>
      <c r="AO1055" s="4" t="str">
        <f t="shared" si="186"/>
        <v>Low</v>
      </c>
    </row>
    <row r="1056" spans="1:41">
      <c r="A1056">
        <v>3</v>
      </c>
      <c r="B1056" t="str">
        <f t="shared" si="176"/>
        <v>Third Class</v>
      </c>
      <c r="C1056">
        <v>0</v>
      </c>
      <c r="E1056" t="str">
        <f t="shared" si="177"/>
        <v>Died</v>
      </c>
      <c r="F1056" t="s">
        <v>2007</v>
      </c>
      <c r="G1056" t="s">
        <v>842</v>
      </c>
      <c r="H1056" t="s">
        <v>2008</v>
      </c>
      <c r="I1056" t="str">
        <f t="shared" si="178"/>
        <v>Miss. Naughton Hannah</v>
      </c>
      <c r="J1056" t="s">
        <v>47</v>
      </c>
      <c r="K1056" t="str">
        <f t="shared" si="179"/>
        <v>Female</v>
      </c>
      <c r="L1056">
        <v>28</v>
      </c>
      <c r="O1056">
        <f t="shared" si="180"/>
        <v>28</v>
      </c>
      <c r="P1056">
        <v>0</v>
      </c>
      <c r="R1056" s="4">
        <v>0</v>
      </c>
      <c r="T1056" s="5">
        <v>7.75</v>
      </c>
      <c r="W1056" s="4">
        <v>28</v>
      </c>
      <c r="X1056" s="4" t="str">
        <f t="shared" si="181"/>
        <v>Young Adult</v>
      </c>
      <c r="Y1056" s="4" t="s">
        <v>3561</v>
      </c>
      <c r="AB1056" s="4" t="str">
        <f t="shared" si="182"/>
        <v/>
      </c>
      <c r="AC1056" s="4" t="str">
        <f t="shared" si="183"/>
        <v>Unknown</v>
      </c>
      <c r="AD1056" s="4" t="s">
        <v>3567</v>
      </c>
      <c r="AG1056" s="4" t="str">
        <f t="shared" si="184"/>
        <v>Not Applicable</v>
      </c>
      <c r="AK1056" s="4" t="s">
        <v>3573</v>
      </c>
      <c r="AL1056" s="4" t="str">
        <f t="shared" si="185"/>
        <v>Found</v>
      </c>
      <c r="AN1056" s="6">
        <v>7.75</v>
      </c>
      <c r="AO1056" s="4" t="str">
        <f t="shared" si="186"/>
        <v>Low</v>
      </c>
    </row>
    <row r="1057" spans="1:41">
      <c r="A1057">
        <v>3</v>
      </c>
      <c r="B1057" t="str">
        <f t="shared" si="176"/>
        <v>Third Class</v>
      </c>
      <c r="C1057">
        <v>0</v>
      </c>
      <c r="E1057" t="str">
        <f t="shared" si="177"/>
        <v>Died</v>
      </c>
      <c r="F1057" t="s">
        <v>2009</v>
      </c>
      <c r="G1057" t="s">
        <v>848</v>
      </c>
      <c r="H1057" t="s">
        <v>2010</v>
      </c>
      <c r="I1057" t="str">
        <f t="shared" si="178"/>
        <v>Mr. Nenkoff Christo</v>
      </c>
      <c r="J1057" t="s">
        <v>20</v>
      </c>
      <c r="K1057" t="str">
        <f t="shared" si="179"/>
        <v>Male</v>
      </c>
      <c r="L1057">
        <v>28</v>
      </c>
      <c r="O1057">
        <f t="shared" si="180"/>
        <v>28</v>
      </c>
      <c r="P1057">
        <v>0</v>
      </c>
      <c r="R1057" s="4">
        <v>0</v>
      </c>
      <c r="T1057" s="5">
        <v>7.8958000000000004</v>
      </c>
      <c r="W1057" s="4">
        <v>28</v>
      </c>
      <c r="X1057" s="4" t="str">
        <f t="shared" si="181"/>
        <v>Young Adult</v>
      </c>
      <c r="Y1057" s="4" t="s">
        <v>3561</v>
      </c>
      <c r="AB1057" s="4" t="str">
        <f t="shared" si="182"/>
        <v/>
      </c>
      <c r="AC1057" s="4" t="str">
        <f t="shared" si="183"/>
        <v>Unknown</v>
      </c>
      <c r="AD1057" s="4" t="s">
        <v>457</v>
      </c>
      <c r="AG1057" s="4" t="str">
        <f t="shared" si="184"/>
        <v>Not Applicable</v>
      </c>
      <c r="AK1057" s="4" t="s">
        <v>3573</v>
      </c>
      <c r="AL1057" s="4" t="str">
        <f t="shared" si="185"/>
        <v>Found</v>
      </c>
      <c r="AN1057" s="6">
        <v>7.8958000000000004</v>
      </c>
      <c r="AO1057" s="4" t="str">
        <f t="shared" si="186"/>
        <v>Low</v>
      </c>
    </row>
    <row r="1058" spans="1:41">
      <c r="A1058">
        <v>3</v>
      </c>
      <c r="B1058" t="str">
        <f t="shared" si="176"/>
        <v>Third Class</v>
      </c>
      <c r="C1058">
        <v>1</v>
      </c>
      <c r="E1058" t="str">
        <f t="shared" si="177"/>
        <v>Survived</v>
      </c>
      <c r="F1058" t="s">
        <v>2011</v>
      </c>
      <c r="G1058" t="s">
        <v>845</v>
      </c>
      <c r="H1058" t="s">
        <v>1565</v>
      </c>
      <c r="I1058" t="str">
        <f t="shared" si="178"/>
        <v>Master. Nicola-Yarred Elias</v>
      </c>
      <c r="J1058" t="s">
        <v>20</v>
      </c>
      <c r="K1058" t="str">
        <f t="shared" si="179"/>
        <v>Male</v>
      </c>
      <c r="L1058">
        <v>12</v>
      </c>
      <c r="O1058">
        <f t="shared" si="180"/>
        <v>12</v>
      </c>
      <c r="P1058">
        <v>1</v>
      </c>
      <c r="R1058" s="4">
        <v>0</v>
      </c>
      <c r="T1058" s="5">
        <v>11.2417</v>
      </c>
      <c r="W1058" s="4">
        <v>12</v>
      </c>
      <c r="X1058" s="4" t="str">
        <f t="shared" si="181"/>
        <v>Teenager</v>
      </c>
      <c r="Y1058" s="4" t="s">
        <v>3561</v>
      </c>
      <c r="AB1058" s="4" t="str">
        <f t="shared" si="182"/>
        <v/>
      </c>
      <c r="AC1058" s="4" t="str">
        <f t="shared" si="183"/>
        <v>Unknown</v>
      </c>
      <c r="AD1058" s="4" t="s">
        <v>3566</v>
      </c>
      <c r="AF1058" s="4" t="s">
        <v>62</v>
      </c>
      <c r="AG1058" s="4" t="str">
        <f t="shared" si="184"/>
        <v>C</v>
      </c>
      <c r="AK1058" s="4" t="s">
        <v>3573</v>
      </c>
      <c r="AL1058" s="4" t="str">
        <f t="shared" si="185"/>
        <v>Found</v>
      </c>
      <c r="AN1058" s="6">
        <v>11.2417</v>
      </c>
      <c r="AO1058" s="4" t="str">
        <f t="shared" si="186"/>
        <v>Mid</v>
      </c>
    </row>
    <row r="1059" spans="1:41">
      <c r="A1059">
        <v>3</v>
      </c>
      <c r="B1059" t="str">
        <f t="shared" si="176"/>
        <v>Third Class</v>
      </c>
      <c r="C1059">
        <v>1</v>
      </c>
      <c r="E1059" t="str">
        <f t="shared" si="177"/>
        <v>Survived</v>
      </c>
      <c r="F1059" t="s">
        <v>2011</v>
      </c>
      <c r="G1059" t="s">
        <v>842</v>
      </c>
      <c r="H1059" t="s">
        <v>2012</v>
      </c>
      <c r="I1059" t="str">
        <f t="shared" si="178"/>
        <v>Miss. Nicola-Yarred Jamila</v>
      </c>
      <c r="J1059" t="s">
        <v>47</v>
      </c>
      <c r="K1059" t="str">
        <f t="shared" si="179"/>
        <v>Female</v>
      </c>
      <c r="L1059">
        <v>14</v>
      </c>
      <c r="O1059">
        <f t="shared" si="180"/>
        <v>14</v>
      </c>
      <c r="P1059">
        <v>1</v>
      </c>
      <c r="R1059" s="4">
        <v>0</v>
      </c>
      <c r="T1059" s="5">
        <v>11.2417</v>
      </c>
      <c r="W1059" s="4">
        <v>14</v>
      </c>
      <c r="X1059" s="4" t="str">
        <f t="shared" si="181"/>
        <v>Teenager</v>
      </c>
      <c r="Y1059" s="4" t="s">
        <v>3561</v>
      </c>
      <c r="AB1059" s="4" t="str">
        <f t="shared" si="182"/>
        <v/>
      </c>
      <c r="AC1059" s="4" t="str">
        <f t="shared" si="183"/>
        <v>Unknown</v>
      </c>
      <c r="AD1059" s="4" t="s">
        <v>3566</v>
      </c>
      <c r="AF1059" s="4" t="s">
        <v>62</v>
      </c>
      <c r="AG1059" s="4" t="str">
        <f t="shared" si="184"/>
        <v>C</v>
      </c>
      <c r="AK1059" s="4" t="s">
        <v>3573</v>
      </c>
      <c r="AL1059" s="4" t="str">
        <f t="shared" si="185"/>
        <v>Found</v>
      </c>
      <c r="AN1059" s="6">
        <v>11.2417</v>
      </c>
      <c r="AO1059" s="4" t="str">
        <f t="shared" si="186"/>
        <v>Mid</v>
      </c>
    </row>
    <row r="1060" spans="1:41">
      <c r="A1060">
        <v>3</v>
      </c>
      <c r="B1060" t="str">
        <f t="shared" si="176"/>
        <v>Third Class</v>
      </c>
      <c r="C1060">
        <v>0</v>
      </c>
      <c r="E1060" t="str">
        <f t="shared" si="177"/>
        <v>Died</v>
      </c>
      <c r="F1060" t="s">
        <v>2013</v>
      </c>
      <c r="G1060" t="s">
        <v>842</v>
      </c>
      <c r="H1060" t="s">
        <v>2014</v>
      </c>
      <c r="I1060" t="str">
        <f t="shared" si="178"/>
        <v>Miss. Nieminen Manta</v>
      </c>
      <c r="J1060" t="s">
        <v>47</v>
      </c>
      <c r="K1060" t="str">
        <f t="shared" si="179"/>
        <v>Female</v>
      </c>
      <c r="L1060">
        <v>29</v>
      </c>
      <c r="O1060">
        <f t="shared" si="180"/>
        <v>29</v>
      </c>
      <c r="P1060">
        <v>0</v>
      </c>
      <c r="R1060" s="4">
        <v>0</v>
      </c>
      <c r="T1060" s="5">
        <v>7.9249999999999998</v>
      </c>
      <c r="W1060" s="4">
        <v>29</v>
      </c>
      <c r="X1060" s="4" t="str">
        <f t="shared" si="181"/>
        <v>Young Adult</v>
      </c>
      <c r="Y1060" s="4" t="s">
        <v>3561</v>
      </c>
      <c r="AB1060" s="4" t="str">
        <f t="shared" si="182"/>
        <v/>
      </c>
      <c r="AC1060" s="4" t="str">
        <f t="shared" si="183"/>
        <v>Unknown</v>
      </c>
      <c r="AD1060" s="4" t="s">
        <v>457</v>
      </c>
      <c r="AG1060" s="4" t="str">
        <f t="shared" si="184"/>
        <v>Not Applicable</v>
      </c>
      <c r="AK1060" s="4" t="s">
        <v>3573</v>
      </c>
      <c r="AL1060" s="4" t="str">
        <f t="shared" si="185"/>
        <v>Found</v>
      </c>
      <c r="AN1060" s="6">
        <v>7.9249999999999998</v>
      </c>
      <c r="AO1060" s="4" t="str">
        <f t="shared" si="186"/>
        <v>Low</v>
      </c>
    </row>
    <row r="1061" spans="1:41">
      <c r="A1061">
        <v>3</v>
      </c>
      <c r="B1061" t="str">
        <f t="shared" si="176"/>
        <v>Third Class</v>
      </c>
      <c r="C1061">
        <v>0</v>
      </c>
      <c r="E1061" t="str">
        <f t="shared" si="177"/>
        <v>Died</v>
      </c>
      <c r="F1061" t="s">
        <v>2015</v>
      </c>
      <c r="G1061" t="s">
        <v>848</v>
      </c>
      <c r="H1061" t="s">
        <v>1046</v>
      </c>
      <c r="I1061" t="str">
        <f t="shared" si="178"/>
        <v>Mr. Niklasson Samuel</v>
      </c>
      <c r="J1061" t="s">
        <v>20</v>
      </c>
      <c r="K1061" t="str">
        <f t="shared" si="179"/>
        <v>Male</v>
      </c>
      <c r="L1061">
        <v>28</v>
      </c>
      <c r="O1061">
        <f t="shared" si="180"/>
        <v>28</v>
      </c>
      <c r="P1061">
        <v>0</v>
      </c>
      <c r="R1061" s="4">
        <v>0</v>
      </c>
      <c r="T1061" s="5">
        <v>8.0500000000000007</v>
      </c>
      <c r="W1061" s="4">
        <v>28</v>
      </c>
      <c r="X1061" s="4" t="str">
        <f t="shared" si="181"/>
        <v>Young Adult</v>
      </c>
      <c r="Y1061" s="4" t="s">
        <v>3561</v>
      </c>
      <c r="AB1061" s="4" t="str">
        <f t="shared" si="182"/>
        <v/>
      </c>
      <c r="AC1061" s="4" t="str">
        <f t="shared" si="183"/>
        <v>Unknown</v>
      </c>
      <c r="AD1061" s="4" t="s">
        <v>457</v>
      </c>
      <c r="AG1061" s="4" t="str">
        <f t="shared" si="184"/>
        <v>Not Applicable</v>
      </c>
      <c r="AK1061" s="4" t="s">
        <v>3573</v>
      </c>
      <c r="AL1061" s="4" t="str">
        <f t="shared" si="185"/>
        <v>Found</v>
      </c>
      <c r="AN1061" s="6">
        <v>8.0500000000000007</v>
      </c>
      <c r="AO1061" s="4" t="str">
        <f t="shared" si="186"/>
        <v>Low</v>
      </c>
    </row>
    <row r="1062" spans="1:41">
      <c r="A1062">
        <v>3</v>
      </c>
      <c r="B1062" t="str">
        <f t="shared" si="176"/>
        <v>Third Class</v>
      </c>
      <c r="C1062">
        <v>1</v>
      </c>
      <c r="E1062" t="str">
        <f t="shared" si="177"/>
        <v>Survived</v>
      </c>
      <c r="F1062" t="s">
        <v>2016</v>
      </c>
      <c r="G1062" t="s">
        <v>842</v>
      </c>
      <c r="H1062" t="s">
        <v>2017</v>
      </c>
      <c r="I1062" t="str">
        <f t="shared" si="178"/>
        <v>Miss. Nilsson Berta</v>
      </c>
      <c r="J1062" t="s">
        <v>47</v>
      </c>
      <c r="K1062" t="str">
        <f t="shared" si="179"/>
        <v>Female</v>
      </c>
      <c r="L1062">
        <v>18</v>
      </c>
      <c r="O1062">
        <f t="shared" si="180"/>
        <v>18</v>
      </c>
      <c r="P1062">
        <v>0</v>
      </c>
      <c r="R1062" s="4">
        <v>0</v>
      </c>
      <c r="T1062" s="5">
        <v>7.7750000000000004</v>
      </c>
      <c r="W1062" s="4">
        <v>18</v>
      </c>
      <c r="X1062" s="4" t="str">
        <f t="shared" si="181"/>
        <v>Young Adult</v>
      </c>
      <c r="Y1062" s="4" t="s">
        <v>3561</v>
      </c>
      <c r="AB1062" s="4" t="str">
        <f t="shared" si="182"/>
        <v/>
      </c>
      <c r="AC1062" s="4" t="str">
        <f t="shared" si="183"/>
        <v>Unknown</v>
      </c>
      <c r="AD1062" s="4" t="s">
        <v>457</v>
      </c>
      <c r="AF1062" s="4" t="s">
        <v>59</v>
      </c>
      <c r="AG1062" s="4" t="str">
        <f t="shared" si="184"/>
        <v>D</v>
      </c>
      <c r="AK1062" s="4" t="s">
        <v>3573</v>
      </c>
      <c r="AL1062" s="4" t="str">
        <f t="shared" si="185"/>
        <v>Found</v>
      </c>
      <c r="AN1062" s="6">
        <v>7.7750000000000004</v>
      </c>
      <c r="AO1062" s="4" t="str">
        <f t="shared" si="186"/>
        <v>Low</v>
      </c>
    </row>
    <row r="1063" spans="1:41">
      <c r="A1063">
        <v>3</v>
      </c>
      <c r="B1063" t="str">
        <f t="shared" si="176"/>
        <v>Third Class</v>
      </c>
      <c r="C1063">
        <v>1</v>
      </c>
      <c r="E1063" t="str">
        <f t="shared" si="177"/>
        <v>Survived</v>
      </c>
      <c r="F1063" t="s">
        <v>2016</v>
      </c>
      <c r="G1063" t="s">
        <v>842</v>
      </c>
      <c r="H1063" t="s">
        <v>2018</v>
      </c>
      <c r="I1063" t="str">
        <f t="shared" si="178"/>
        <v>Miss. Nilsson Helmina</v>
      </c>
      <c r="J1063" t="s">
        <v>47</v>
      </c>
      <c r="K1063" t="str">
        <f t="shared" si="179"/>
        <v>Female</v>
      </c>
      <c r="L1063">
        <v>26</v>
      </c>
      <c r="O1063">
        <f t="shared" si="180"/>
        <v>26</v>
      </c>
      <c r="P1063">
        <v>0</v>
      </c>
      <c r="R1063" s="4">
        <v>0</v>
      </c>
      <c r="T1063" s="5">
        <v>7.8541999999999996</v>
      </c>
      <c r="W1063" s="4">
        <v>26</v>
      </c>
      <c r="X1063" s="4" t="str">
        <f t="shared" si="181"/>
        <v>Young Adult</v>
      </c>
      <c r="Y1063" s="4" t="s">
        <v>3561</v>
      </c>
      <c r="AB1063" s="4" t="str">
        <f t="shared" si="182"/>
        <v/>
      </c>
      <c r="AC1063" s="4" t="str">
        <f t="shared" si="183"/>
        <v>Unknown</v>
      </c>
      <c r="AD1063" s="4" t="s">
        <v>457</v>
      </c>
      <c r="AF1063" s="4">
        <v>13</v>
      </c>
      <c r="AG1063" s="4">
        <f t="shared" si="184"/>
        <v>13</v>
      </c>
      <c r="AK1063" s="4" t="s">
        <v>3573</v>
      </c>
      <c r="AL1063" s="4" t="str">
        <f t="shared" si="185"/>
        <v>Found</v>
      </c>
      <c r="AN1063" s="6">
        <v>7.8541999999999996</v>
      </c>
      <c r="AO1063" s="4" t="str">
        <f t="shared" si="186"/>
        <v>Low</v>
      </c>
    </row>
    <row r="1064" spans="1:41">
      <c r="A1064">
        <v>3</v>
      </c>
      <c r="B1064" t="str">
        <f t="shared" si="176"/>
        <v>Third Class</v>
      </c>
      <c r="C1064">
        <v>0</v>
      </c>
      <c r="E1064" t="str">
        <f t="shared" si="177"/>
        <v>Died</v>
      </c>
      <c r="F1064" t="s">
        <v>2016</v>
      </c>
      <c r="G1064" t="s">
        <v>848</v>
      </c>
      <c r="H1064" t="s">
        <v>1434</v>
      </c>
      <c r="I1064" t="str">
        <f t="shared" si="178"/>
        <v>Mr. Nilsson August</v>
      </c>
      <c r="J1064" t="s">
        <v>20</v>
      </c>
      <c r="K1064" t="str">
        <f t="shared" si="179"/>
        <v>Male</v>
      </c>
      <c r="L1064">
        <v>21</v>
      </c>
      <c r="O1064">
        <f t="shared" si="180"/>
        <v>21</v>
      </c>
      <c r="P1064">
        <v>0</v>
      </c>
      <c r="R1064" s="4">
        <v>0</v>
      </c>
      <c r="T1064" s="5">
        <v>7.8541999999999996</v>
      </c>
      <c r="W1064" s="4">
        <v>21</v>
      </c>
      <c r="X1064" s="4" t="str">
        <f t="shared" si="181"/>
        <v>Young Adult</v>
      </c>
      <c r="Y1064" s="4" t="s">
        <v>3561</v>
      </c>
      <c r="AB1064" s="4" t="str">
        <f t="shared" si="182"/>
        <v/>
      </c>
      <c r="AC1064" s="4" t="str">
        <f t="shared" si="183"/>
        <v>Unknown</v>
      </c>
      <c r="AD1064" s="4" t="s">
        <v>457</v>
      </c>
      <c r="AG1064" s="4" t="str">
        <f t="shared" si="184"/>
        <v>Not Applicable</v>
      </c>
      <c r="AK1064" s="4" t="s">
        <v>3573</v>
      </c>
      <c r="AL1064" s="4" t="str">
        <f t="shared" si="185"/>
        <v>Found</v>
      </c>
      <c r="AN1064" s="6">
        <v>7.8541999999999996</v>
      </c>
      <c r="AO1064" s="4" t="str">
        <f t="shared" si="186"/>
        <v>Low</v>
      </c>
    </row>
    <row r="1065" spans="1:41">
      <c r="A1065">
        <v>3</v>
      </c>
      <c r="B1065" t="str">
        <f t="shared" si="176"/>
        <v>Third Class</v>
      </c>
      <c r="C1065">
        <v>0</v>
      </c>
      <c r="E1065" t="str">
        <f t="shared" si="177"/>
        <v>Died</v>
      </c>
      <c r="F1065" t="s">
        <v>2019</v>
      </c>
      <c r="G1065" t="s">
        <v>848</v>
      </c>
      <c r="H1065" t="s">
        <v>2020</v>
      </c>
      <c r="I1065" t="str">
        <f t="shared" si="178"/>
        <v>Mr. Nirva Iisakki</v>
      </c>
      <c r="J1065" t="s">
        <v>20</v>
      </c>
      <c r="K1065" t="str">
        <f t="shared" si="179"/>
        <v>Male</v>
      </c>
      <c r="L1065">
        <v>41</v>
      </c>
      <c r="O1065">
        <f t="shared" si="180"/>
        <v>41</v>
      </c>
      <c r="P1065">
        <v>0</v>
      </c>
      <c r="R1065" s="4">
        <v>0</v>
      </c>
      <c r="T1065" s="5">
        <v>7.125</v>
      </c>
      <c r="W1065" s="4">
        <v>41</v>
      </c>
      <c r="X1065" s="4" t="str">
        <f t="shared" si="181"/>
        <v>Adult</v>
      </c>
      <c r="Y1065" s="4" t="s">
        <v>3561</v>
      </c>
      <c r="AB1065" s="4" t="str">
        <f t="shared" si="182"/>
        <v/>
      </c>
      <c r="AC1065" s="4" t="str">
        <f t="shared" si="183"/>
        <v>Unknown</v>
      </c>
      <c r="AD1065" s="4" t="s">
        <v>457</v>
      </c>
      <c r="AG1065" s="4" t="str">
        <f t="shared" si="184"/>
        <v>Not Applicable</v>
      </c>
      <c r="AK1065" s="4" t="s">
        <v>3573</v>
      </c>
      <c r="AL1065" s="4" t="str">
        <f t="shared" si="185"/>
        <v>Found</v>
      </c>
      <c r="AN1065" s="6">
        <v>7.125</v>
      </c>
      <c r="AO1065" s="4" t="str">
        <f t="shared" si="186"/>
        <v>Low</v>
      </c>
    </row>
    <row r="1066" spans="1:41">
      <c r="A1066">
        <v>3</v>
      </c>
      <c r="B1066" t="str">
        <f t="shared" si="176"/>
        <v>Third Class</v>
      </c>
      <c r="C1066">
        <v>1</v>
      </c>
      <c r="E1066" t="str">
        <f t="shared" si="177"/>
        <v>Survived</v>
      </c>
      <c r="F1066" t="s">
        <v>2021</v>
      </c>
      <c r="G1066" t="s">
        <v>848</v>
      </c>
      <c r="H1066" t="s">
        <v>2022</v>
      </c>
      <c r="I1066" t="str">
        <f t="shared" si="178"/>
        <v>Mr. Niskanen Juha</v>
      </c>
      <c r="J1066" t="s">
        <v>20</v>
      </c>
      <c r="K1066" t="str">
        <f t="shared" si="179"/>
        <v>Male</v>
      </c>
      <c r="L1066">
        <v>39</v>
      </c>
      <c r="O1066">
        <f t="shared" si="180"/>
        <v>39</v>
      </c>
      <c r="P1066">
        <v>0</v>
      </c>
      <c r="R1066" s="4">
        <v>0</v>
      </c>
      <c r="T1066" s="5">
        <v>7.9249999999999998</v>
      </c>
      <c r="W1066" s="4">
        <v>39</v>
      </c>
      <c r="X1066" s="4" t="str">
        <f t="shared" si="181"/>
        <v>Adult</v>
      </c>
      <c r="Y1066" s="4" t="s">
        <v>3561</v>
      </c>
      <c r="AB1066" s="4" t="str">
        <f t="shared" si="182"/>
        <v/>
      </c>
      <c r="AC1066" s="4" t="str">
        <f t="shared" si="183"/>
        <v>Unknown</v>
      </c>
      <c r="AD1066" s="4" t="s">
        <v>457</v>
      </c>
      <c r="AF1066" s="4">
        <v>9</v>
      </c>
      <c r="AG1066" s="4">
        <f t="shared" si="184"/>
        <v>9</v>
      </c>
      <c r="AK1066" s="4" t="s">
        <v>3573</v>
      </c>
      <c r="AL1066" s="4" t="str">
        <f t="shared" si="185"/>
        <v>Found</v>
      </c>
      <c r="AN1066" s="6">
        <v>7.9249999999999998</v>
      </c>
      <c r="AO1066" s="4" t="str">
        <f t="shared" si="186"/>
        <v>Low</v>
      </c>
    </row>
    <row r="1067" spans="1:41">
      <c r="A1067">
        <v>3</v>
      </c>
      <c r="B1067" t="str">
        <f t="shared" si="176"/>
        <v>Third Class</v>
      </c>
      <c r="C1067">
        <v>0</v>
      </c>
      <c r="E1067" t="str">
        <f t="shared" si="177"/>
        <v>Died</v>
      </c>
      <c r="F1067" t="s">
        <v>2023</v>
      </c>
      <c r="G1067" t="s">
        <v>848</v>
      </c>
      <c r="H1067" t="s">
        <v>884</v>
      </c>
      <c r="I1067" t="str">
        <f t="shared" si="178"/>
        <v>Mr. Nosworthy Richard</v>
      </c>
      <c r="J1067" t="s">
        <v>20</v>
      </c>
      <c r="K1067" t="str">
        <f t="shared" si="179"/>
        <v>Male</v>
      </c>
      <c r="L1067">
        <v>21</v>
      </c>
      <c r="O1067">
        <f t="shared" si="180"/>
        <v>21</v>
      </c>
      <c r="P1067">
        <v>0</v>
      </c>
      <c r="R1067" s="4">
        <v>0</v>
      </c>
      <c r="T1067" s="5">
        <v>7.8</v>
      </c>
      <c r="W1067" s="4">
        <v>21</v>
      </c>
      <c r="X1067" s="4" t="str">
        <f t="shared" si="181"/>
        <v>Young Adult</v>
      </c>
      <c r="Y1067" s="4" t="s">
        <v>3561</v>
      </c>
      <c r="AB1067" s="4" t="str">
        <f t="shared" si="182"/>
        <v/>
      </c>
      <c r="AC1067" s="4" t="str">
        <f t="shared" si="183"/>
        <v>Unknown</v>
      </c>
      <c r="AD1067" s="4" t="s">
        <v>457</v>
      </c>
      <c r="AG1067" s="4" t="str">
        <f t="shared" si="184"/>
        <v>Not Applicable</v>
      </c>
      <c r="AK1067" s="4" t="s">
        <v>3573</v>
      </c>
      <c r="AL1067" s="4" t="str">
        <f t="shared" si="185"/>
        <v>Found</v>
      </c>
      <c r="AN1067" s="6">
        <v>7.8</v>
      </c>
      <c r="AO1067" s="4" t="str">
        <f t="shared" si="186"/>
        <v>Low</v>
      </c>
    </row>
    <row r="1068" spans="1:41">
      <c r="A1068">
        <v>3</v>
      </c>
      <c r="B1068" t="str">
        <f t="shared" si="176"/>
        <v>Third Class</v>
      </c>
      <c r="C1068">
        <v>0</v>
      </c>
      <c r="E1068" t="str">
        <f t="shared" si="177"/>
        <v>Died</v>
      </c>
      <c r="F1068" t="s">
        <v>2024</v>
      </c>
      <c r="G1068" t="s">
        <v>848</v>
      </c>
      <c r="H1068" t="s">
        <v>2025</v>
      </c>
      <c r="I1068" t="str">
        <f t="shared" si="178"/>
        <v>Mr. Novel Mansouer</v>
      </c>
      <c r="J1068" t="s">
        <v>20</v>
      </c>
      <c r="K1068" t="str">
        <f t="shared" si="179"/>
        <v>Male</v>
      </c>
      <c r="L1068">
        <v>28.5</v>
      </c>
      <c r="O1068">
        <f t="shared" si="180"/>
        <v>29</v>
      </c>
      <c r="P1068">
        <v>0</v>
      </c>
      <c r="R1068" s="4">
        <v>0</v>
      </c>
      <c r="T1068" s="5">
        <v>7.2291999999999996</v>
      </c>
      <c r="W1068" s="4">
        <v>29</v>
      </c>
      <c r="X1068" s="4" t="str">
        <f t="shared" si="181"/>
        <v>Young Adult</v>
      </c>
      <c r="Y1068" s="4" t="s">
        <v>3561</v>
      </c>
      <c r="AB1068" s="4" t="str">
        <f t="shared" si="182"/>
        <v/>
      </c>
      <c r="AC1068" s="4" t="str">
        <f t="shared" si="183"/>
        <v>Unknown</v>
      </c>
      <c r="AD1068" s="4" t="s">
        <v>3566</v>
      </c>
      <c r="AG1068" s="4" t="str">
        <f t="shared" si="184"/>
        <v>Not Applicable</v>
      </c>
      <c r="AH1068" s="4">
        <v>181</v>
      </c>
      <c r="AK1068" s="4">
        <v>181</v>
      </c>
      <c r="AL1068" s="4" t="str">
        <f t="shared" si="185"/>
        <v>Found</v>
      </c>
      <c r="AN1068" s="6">
        <v>7.2291999999999996</v>
      </c>
      <c r="AO1068" s="4" t="str">
        <f t="shared" si="186"/>
        <v>Low</v>
      </c>
    </row>
    <row r="1069" spans="1:41">
      <c r="A1069">
        <v>3</v>
      </c>
      <c r="B1069" t="str">
        <f t="shared" si="176"/>
        <v>Third Class</v>
      </c>
      <c r="C1069">
        <v>1</v>
      </c>
      <c r="E1069" t="str">
        <f t="shared" si="177"/>
        <v>Survived</v>
      </c>
      <c r="F1069" t="s">
        <v>2026</v>
      </c>
      <c r="G1069" t="s">
        <v>842</v>
      </c>
      <c r="H1069" t="s">
        <v>1247</v>
      </c>
      <c r="I1069" t="str">
        <f t="shared" si="178"/>
        <v>Miss. Nysten Anna</v>
      </c>
      <c r="J1069" t="s">
        <v>47</v>
      </c>
      <c r="K1069" t="str">
        <f t="shared" si="179"/>
        <v>Female</v>
      </c>
      <c r="L1069">
        <v>22</v>
      </c>
      <c r="O1069">
        <f t="shared" si="180"/>
        <v>22</v>
      </c>
      <c r="P1069">
        <v>0</v>
      </c>
      <c r="R1069" s="4">
        <v>0</v>
      </c>
      <c r="T1069" s="5">
        <v>7.75</v>
      </c>
      <c r="W1069" s="4">
        <v>22</v>
      </c>
      <c r="X1069" s="4" t="str">
        <f t="shared" si="181"/>
        <v>Young Adult</v>
      </c>
      <c r="Y1069" s="4" t="s">
        <v>3561</v>
      </c>
      <c r="AB1069" s="4" t="str">
        <f t="shared" si="182"/>
        <v/>
      </c>
      <c r="AC1069" s="4" t="str">
        <f t="shared" si="183"/>
        <v>Unknown</v>
      </c>
      <c r="AD1069" s="4" t="s">
        <v>457</v>
      </c>
      <c r="AF1069" s="4">
        <v>13</v>
      </c>
      <c r="AG1069" s="4">
        <f t="shared" si="184"/>
        <v>13</v>
      </c>
      <c r="AK1069" s="4" t="s">
        <v>3573</v>
      </c>
      <c r="AL1069" s="4" t="str">
        <f t="shared" si="185"/>
        <v>Found</v>
      </c>
      <c r="AN1069" s="6">
        <v>7.75</v>
      </c>
      <c r="AO1069" s="4" t="str">
        <f t="shared" si="186"/>
        <v>Low</v>
      </c>
    </row>
    <row r="1070" spans="1:41">
      <c r="A1070">
        <v>3</v>
      </c>
      <c r="B1070" t="str">
        <f t="shared" si="176"/>
        <v>Third Class</v>
      </c>
      <c r="C1070">
        <v>0</v>
      </c>
      <c r="E1070" t="str">
        <f t="shared" si="177"/>
        <v>Died</v>
      </c>
      <c r="F1070" t="s">
        <v>2027</v>
      </c>
      <c r="G1070" t="s">
        <v>848</v>
      </c>
      <c r="H1070" t="s">
        <v>1105</v>
      </c>
      <c r="I1070" t="str">
        <f t="shared" si="178"/>
        <v>Mr. Nysveen Johan</v>
      </c>
      <c r="J1070" t="s">
        <v>20</v>
      </c>
      <c r="K1070" t="str">
        <f t="shared" si="179"/>
        <v>Male</v>
      </c>
      <c r="L1070">
        <v>61</v>
      </c>
      <c r="O1070">
        <f t="shared" si="180"/>
        <v>61</v>
      </c>
      <c r="P1070">
        <v>0</v>
      </c>
      <c r="R1070" s="4">
        <v>0</v>
      </c>
      <c r="T1070" s="5">
        <v>6.2374999999999998</v>
      </c>
      <c r="W1070" s="4">
        <v>61</v>
      </c>
      <c r="X1070" s="4" t="str">
        <f t="shared" si="181"/>
        <v>Old Adult</v>
      </c>
      <c r="Y1070" s="4" t="s">
        <v>3561</v>
      </c>
      <c r="AB1070" s="4" t="str">
        <f t="shared" si="182"/>
        <v/>
      </c>
      <c r="AC1070" s="4" t="str">
        <f t="shared" si="183"/>
        <v>Unknown</v>
      </c>
      <c r="AD1070" s="4" t="s">
        <v>457</v>
      </c>
      <c r="AG1070" s="4" t="str">
        <f t="shared" si="184"/>
        <v>Not Applicable</v>
      </c>
      <c r="AK1070" s="4" t="s">
        <v>3573</v>
      </c>
      <c r="AL1070" s="4" t="str">
        <f t="shared" si="185"/>
        <v>Found</v>
      </c>
      <c r="AN1070" s="6">
        <v>6.2374999999999998</v>
      </c>
      <c r="AO1070" s="4" t="str">
        <f t="shared" si="186"/>
        <v>Low</v>
      </c>
    </row>
    <row r="1071" spans="1:41">
      <c r="A1071">
        <v>3</v>
      </c>
      <c r="B1071" t="str">
        <f t="shared" si="176"/>
        <v>Third Class</v>
      </c>
      <c r="C1071">
        <v>0</v>
      </c>
      <c r="E1071" t="str">
        <f t="shared" si="177"/>
        <v>Died</v>
      </c>
      <c r="F1071" t="s">
        <v>2028</v>
      </c>
      <c r="G1071" t="s">
        <v>848</v>
      </c>
      <c r="H1071" t="s">
        <v>855</v>
      </c>
      <c r="I1071" t="str">
        <f t="shared" si="178"/>
        <v>Mr. O'Brien Thomas</v>
      </c>
      <c r="J1071" t="s">
        <v>20</v>
      </c>
      <c r="K1071" t="str">
        <f t="shared" si="179"/>
        <v>Male</v>
      </c>
      <c r="L1071">
        <v>28</v>
      </c>
      <c r="O1071">
        <f t="shared" si="180"/>
        <v>28</v>
      </c>
      <c r="P1071">
        <v>1</v>
      </c>
      <c r="R1071" s="4">
        <v>0</v>
      </c>
      <c r="T1071" s="5">
        <v>15.5</v>
      </c>
      <c r="W1071" s="4">
        <v>28</v>
      </c>
      <c r="X1071" s="4" t="str">
        <f t="shared" si="181"/>
        <v>Young Adult</v>
      </c>
      <c r="Y1071" s="4" t="s">
        <v>3561</v>
      </c>
      <c r="AB1071" s="4" t="str">
        <f t="shared" si="182"/>
        <v/>
      </c>
      <c r="AC1071" s="4" t="str">
        <f t="shared" si="183"/>
        <v>Unknown</v>
      </c>
      <c r="AD1071" s="4" t="s">
        <v>3567</v>
      </c>
      <c r="AG1071" s="4" t="str">
        <f t="shared" si="184"/>
        <v>Not Applicable</v>
      </c>
      <c r="AK1071" s="4" t="s">
        <v>3573</v>
      </c>
      <c r="AL1071" s="4" t="str">
        <f t="shared" si="185"/>
        <v>Found</v>
      </c>
      <c r="AN1071" s="6">
        <v>15.5</v>
      </c>
      <c r="AO1071" s="4" t="str">
        <f t="shared" si="186"/>
        <v>Mid</v>
      </c>
    </row>
    <row r="1072" spans="1:41">
      <c r="A1072">
        <v>3</v>
      </c>
      <c r="B1072" t="str">
        <f t="shared" si="176"/>
        <v>Third Class</v>
      </c>
      <c r="C1072">
        <v>0</v>
      </c>
      <c r="E1072" t="str">
        <f t="shared" si="177"/>
        <v>Died</v>
      </c>
      <c r="F1072" t="s">
        <v>2028</v>
      </c>
      <c r="G1072" t="s">
        <v>848</v>
      </c>
      <c r="H1072" t="s">
        <v>1131</v>
      </c>
      <c r="I1072" t="str">
        <f t="shared" si="178"/>
        <v>Mr. O'Brien Timothy</v>
      </c>
      <c r="J1072" t="s">
        <v>20</v>
      </c>
      <c r="K1072" t="str">
        <f t="shared" si="179"/>
        <v>Male</v>
      </c>
      <c r="L1072">
        <v>28</v>
      </c>
      <c r="O1072">
        <f t="shared" si="180"/>
        <v>28</v>
      </c>
      <c r="P1072">
        <v>0</v>
      </c>
      <c r="R1072" s="4">
        <v>0</v>
      </c>
      <c r="T1072" s="5">
        <v>7.8292000000000002</v>
      </c>
      <c r="W1072" s="4">
        <v>28</v>
      </c>
      <c r="X1072" s="4" t="str">
        <f t="shared" si="181"/>
        <v>Young Adult</v>
      </c>
      <c r="Y1072" s="4" t="s">
        <v>3561</v>
      </c>
      <c r="AB1072" s="4" t="str">
        <f t="shared" si="182"/>
        <v/>
      </c>
      <c r="AC1072" s="4" t="str">
        <f t="shared" si="183"/>
        <v>Unknown</v>
      </c>
      <c r="AD1072" s="4" t="s">
        <v>3567</v>
      </c>
      <c r="AG1072" s="4" t="str">
        <f t="shared" si="184"/>
        <v>Not Applicable</v>
      </c>
      <c r="AK1072" s="4" t="s">
        <v>3573</v>
      </c>
      <c r="AL1072" s="4" t="str">
        <f t="shared" si="185"/>
        <v>Found</v>
      </c>
      <c r="AN1072" s="6">
        <v>7.8292000000000002</v>
      </c>
      <c r="AO1072" s="4" t="str">
        <f t="shared" si="186"/>
        <v>Low</v>
      </c>
    </row>
    <row r="1073" spans="1:41">
      <c r="A1073">
        <v>3</v>
      </c>
      <c r="B1073" t="str">
        <f t="shared" si="176"/>
        <v>Third Class</v>
      </c>
      <c r="C1073">
        <v>1</v>
      </c>
      <c r="E1073" t="str">
        <f t="shared" si="177"/>
        <v>Survived</v>
      </c>
      <c r="F1073" t="s">
        <v>2028</v>
      </c>
      <c r="G1073" t="s">
        <v>849</v>
      </c>
      <c r="H1073" t="s">
        <v>855</v>
      </c>
      <c r="I1073" t="str">
        <f t="shared" si="178"/>
        <v>Mrs. O'Brien Thomas</v>
      </c>
      <c r="J1073" t="s">
        <v>47</v>
      </c>
      <c r="K1073" t="str">
        <f t="shared" si="179"/>
        <v>Female</v>
      </c>
      <c r="L1073">
        <v>28</v>
      </c>
      <c r="O1073">
        <f t="shared" si="180"/>
        <v>28</v>
      </c>
      <c r="P1073">
        <v>1</v>
      </c>
      <c r="R1073" s="4">
        <v>0</v>
      </c>
      <c r="T1073" s="5">
        <v>15.5</v>
      </c>
      <c r="W1073" s="4">
        <v>28</v>
      </c>
      <c r="X1073" s="4" t="str">
        <f t="shared" si="181"/>
        <v>Young Adult</v>
      </c>
      <c r="Y1073" s="4" t="s">
        <v>3561</v>
      </c>
      <c r="AB1073" s="4" t="str">
        <f t="shared" si="182"/>
        <v/>
      </c>
      <c r="AC1073" s="4" t="str">
        <f t="shared" si="183"/>
        <v>Unknown</v>
      </c>
      <c r="AD1073" s="4" t="s">
        <v>3567</v>
      </c>
      <c r="AG1073" s="4" t="str">
        <f t="shared" si="184"/>
        <v>Not Applicable</v>
      </c>
      <c r="AK1073" s="4" t="s">
        <v>3573</v>
      </c>
      <c r="AL1073" s="4" t="str">
        <f t="shared" si="185"/>
        <v>Found</v>
      </c>
      <c r="AN1073" s="6">
        <v>15.5</v>
      </c>
      <c r="AO1073" s="4" t="str">
        <f t="shared" si="186"/>
        <v>Mid</v>
      </c>
    </row>
    <row r="1074" spans="1:41">
      <c r="A1074">
        <v>3</v>
      </c>
      <c r="B1074" t="str">
        <f t="shared" si="176"/>
        <v>Third Class</v>
      </c>
      <c r="C1074">
        <v>0</v>
      </c>
      <c r="E1074" t="str">
        <f t="shared" si="177"/>
        <v>Died</v>
      </c>
      <c r="F1074" t="s">
        <v>2029</v>
      </c>
      <c r="G1074" t="s">
        <v>848</v>
      </c>
      <c r="H1074" t="s">
        <v>1649</v>
      </c>
      <c r="I1074" t="str">
        <f t="shared" si="178"/>
        <v>Mr. O'Connell Patrick</v>
      </c>
      <c r="J1074" t="s">
        <v>20</v>
      </c>
      <c r="K1074" t="str">
        <f t="shared" si="179"/>
        <v>Male</v>
      </c>
      <c r="L1074">
        <v>28</v>
      </c>
      <c r="O1074">
        <f t="shared" si="180"/>
        <v>28</v>
      </c>
      <c r="P1074">
        <v>0</v>
      </c>
      <c r="R1074" s="4">
        <v>0</v>
      </c>
      <c r="T1074" s="5">
        <v>7.7332999999999998</v>
      </c>
      <c r="W1074" s="4">
        <v>28</v>
      </c>
      <c r="X1074" s="4" t="str">
        <f t="shared" si="181"/>
        <v>Young Adult</v>
      </c>
      <c r="Y1074" s="4" t="s">
        <v>3561</v>
      </c>
      <c r="AB1074" s="4" t="str">
        <f t="shared" si="182"/>
        <v/>
      </c>
      <c r="AC1074" s="4" t="str">
        <f t="shared" si="183"/>
        <v>Unknown</v>
      </c>
      <c r="AD1074" s="4" t="s">
        <v>3567</v>
      </c>
      <c r="AG1074" s="4" t="str">
        <f t="shared" si="184"/>
        <v>Not Applicable</v>
      </c>
      <c r="AK1074" s="4" t="s">
        <v>3573</v>
      </c>
      <c r="AL1074" s="4" t="str">
        <f t="shared" si="185"/>
        <v>Found</v>
      </c>
      <c r="AN1074" s="6">
        <v>7.7332999999999998</v>
      </c>
      <c r="AO1074" s="4" t="str">
        <f t="shared" si="186"/>
        <v>Low</v>
      </c>
    </row>
    <row r="1075" spans="1:41">
      <c r="A1075">
        <v>3</v>
      </c>
      <c r="B1075" t="str">
        <f t="shared" si="176"/>
        <v>Third Class</v>
      </c>
      <c r="C1075">
        <v>0</v>
      </c>
      <c r="E1075" t="str">
        <f t="shared" si="177"/>
        <v>Died</v>
      </c>
      <c r="F1075" t="s">
        <v>2030</v>
      </c>
      <c r="G1075" t="s">
        <v>848</v>
      </c>
      <c r="H1075" t="s">
        <v>2031</v>
      </c>
      <c r="I1075" t="str">
        <f t="shared" si="178"/>
        <v>Mr. O'Connor Maurice</v>
      </c>
      <c r="J1075" t="s">
        <v>20</v>
      </c>
      <c r="K1075" t="str">
        <f t="shared" si="179"/>
        <v>Male</v>
      </c>
      <c r="L1075">
        <v>28</v>
      </c>
      <c r="O1075">
        <f t="shared" si="180"/>
        <v>28</v>
      </c>
      <c r="P1075">
        <v>0</v>
      </c>
      <c r="R1075" s="4">
        <v>0</v>
      </c>
      <c r="T1075" s="5">
        <v>7.75</v>
      </c>
      <c r="W1075" s="4">
        <v>28</v>
      </c>
      <c r="X1075" s="4" t="str">
        <f t="shared" si="181"/>
        <v>Young Adult</v>
      </c>
      <c r="Y1075" s="4" t="s">
        <v>3561</v>
      </c>
      <c r="AB1075" s="4" t="str">
        <f t="shared" si="182"/>
        <v/>
      </c>
      <c r="AC1075" s="4" t="str">
        <f t="shared" si="183"/>
        <v>Unknown</v>
      </c>
      <c r="AD1075" s="4" t="s">
        <v>3567</v>
      </c>
      <c r="AG1075" s="4" t="str">
        <f t="shared" si="184"/>
        <v>Not Applicable</v>
      </c>
      <c r="AK1075" s="4" t="s">
        <v>3573</v>
      </c>
      <c r="AL1075" s="4" t="str">
        <f t="shared" si="185"/>
        <v>Found</v>
      </c>
      <c r="AN1075" s="6">
        <v>7.75</v>
      </c>
      <c r="AO1075" s="4" t="str">
        <f t="shared" si="186"/>
        <v>Low</v>
      </c>
    </row>
    <row r="1076" spans="1:41">
      <c r="A1076">
        <v>3</v>
      </c>
      <c r="B1076" t="str">
        <f t="shared" si="176"/>
        <v>Third Class</v>
      </c>
      <c r="C1076">
        <v>0</v>
      </c>
      <c r="E1076" t="str">
        <f t="shared" si="177"/>
        <v>Died</v>
      </c>
      <c r="F1076" t="s">
        <v>2030</v>
      </c>
      <c r="G1076" t="s">
        <v>848</v>
      </c>
      <c r="H1076" t="s">
        <v>1649</v>
      </c>
      <c r="I1076" t="str">
        <f t="shared" si="178"/>
        <v>Mr. O'Connor Patrick</v>
      </c>
      <c r="J1076" t="s">
        <v>20</v>
      </c>
      <c r="K1076" t="str">
        <f t="shared" si="179"/>
        <v>Male</v>
      </c>
      <c r="L1076">
        <v>28</v>
      </c>
      <c r="O1076">
        <f t="shared" si="180"/>
        <v>28</v>
      </c>
      <c r="P1076">
        <v>0</v>
      </c>
      <c r="R1076" s="4">
        <v>0</v>
      </c>
      <c r="T1076" s="5">
        <v>7.75</v>
      </c>
      <c r="W1076" s="4">
        <v>28</v>
      </c>
      <c r="X1076" s="4" t="str">
        <f t="shared" si="181"/>
        <v>Young Adult</v>
      </c>
      <c r="Y1076" s="4" t="s">
        <v>3561</v>
      </c>
      <c r="AB1076" s="4" t="str">
        <f t="shared" si="182"/>
        <v/>
      </c>
      <c r="AC1076" s="4" t="str">
        <f t="shared" si="183"/>
        <v>Unknown</v>
      </c>
      <c r="AD1076" s="4" t="s">
        <v>3567</v>
      </c>
      <c r="AG1076" s="4" t="str">
        <f t="shared" si="184"/>
        <v>Not Applicable</v>
      </c>
      <c r="AK1076" s="4" t="s">
        <v>3573</v>
      </c>
      <c r="AL1076" s="4" t="str">
        <f t="shared" si="185"/>
        <v>Found</v>
      </c>
      <c r="AN1076" s="6">
        <v>7.75</v>
      </c>
      <c r="AO1076" s="4" t="str">
        <f t="shared" si="186"/>
        <v>Low</v>
      </c>
    </row>
    <row r="1077" spans="1:41">
      <c r="A1077">
        <v>3</v>
      </c>
      <c r="B1077" t="str">
        <f t="shared" si="176"/>
        <v>Third Class</v>
      </c>
      <c r="C1077">
        <v>0</v>
      </c>
      <c r="E1077" t="str">
        <f t="shared" si="177"/>
        <v>Died</v>
      </c>
      <c r="F1077" t="s">
        <v>2032</v>
      </c>
      <c r="G1077" t="s">
        <v>848</v>
      </c>
      <c r="H1077" t="s">
        <v>1546</v>
      </c>
      <c r="I1077" t="str">
        <f t="shared" si="178"/>
        <v>Mr. Odahl Nils</v>
      </c>
      <c r="J1077" t="s">
        <v>20</v>
      </c>
      <c r="K1077" t="str">
        <f t="shared" si="179"/>
        <v>Male</v>
      </c>
      <c r="L1077">
        <v>23</v>
      </c>
      <c r="O1077">
        <f t="shared" si="180"/>
        <v>23</v>
      </c>
      <c r="P1077">
        <v>0</v>
      </c>
      <c r="R1077" s="4">
        <v>0</v>
      </c>
      <c r="T1077" s="5">
        <v>9.2249999999999996</v>
      </c>
      <c r="W1077" s="4">
        <v>23</v>
      </c>
      <c r="X1077" s="4" t="str">
        <f t="shared" si="181"/>
        <v>Young Adult</v>
      </c>
      <c r="Y1077" s="4" t="s">
        <v>3561</v>
      </c>
      <c r="AB1077" s="4" t="str">
        <f t="shared" si="182"/>
        <v/>
      </c>
      <c r="AC1077" s="4" t="str">
        <f t="shared" si="183"/>
        <v>Unknown</v>
      </c>
      <c r="AD1077" s="4" t="s">
        <v>457</v>
      </c>
      <c r="AG1077" s="4" t="str">
        <f t="shared" si="184"/>
        <v>Not Applicable</v>
      </c>
      <c r="AK1077" s="4" t="s">
        <v>3573</v>
      </c>
      <c r="AL1077" s="4" t="str">
        <f t="shared" si="185"/>
        <v>Found</v>
      </c>
      <c r="AN1077" s="6">
        <v>9.2249999999999996</v>
      </c>
      <c r="AO1077" s="4" t="str">
        <f t="shared" si="186"/>
        <v>Low</v>
      </c>
    </row>
    <row r="1078" spans="1:41">
      <c r="A1078">
        <v>3</v>
      </c>
      <c r="B1078" t="str">
        <f t="shared" si="176"/>
        <v>Third Class</v>
      </c>
      <c r="C1078">
        <v>0</v>
      </c>
      <c r="E1078" t="str">
        <f t="shared" si="177"/>
        <v>Died</v>
      </c>
      <c r="F1078" t="s">
        <v>2033</v>
      </c>
      <c r="G1078" t="s">
        <v>1479</v>
      </c>
      <c r="H1078" t="s">
        <v>1629</v>
      </c>
      <c r="I1078" t="str">
        <f t="shared" si="178"/>
        <v>Ms. O'Donoghue Bridget</v>
      </c>
      <c r="J1078" t="s">
        <v>47</v>
      </c>
      <c r="K1078" t="str">
        <f t="shared" si="179"/>
        <v>Female</v>
      </c>
      <c r="L1078">
        <v>28</v>
      </c>
      <c r="O1078">
        <f t="shared" si="180"/>
        <v>28</v>
      </c>
      <c r="P1078">
        <v>0</v>
      </c>
      <c r="R1078" s="4">
        <v>0</v>
      </c>
      <c r="T1078" s="5">
        <v>7.75</v>
      </c>
      <c r="W1078" s="4">
        <v>28</v>
      </c>
      <c r="X1078" s="4" t="str">
        <f t="shared" si="181"/>
        <v>Young Adult</v>
      </c>
      <c r="Y1078" s="4" t="s">
        <v>3561</v>
      </c>
      <c r="AB1078" s="4" t="str">
        <f t="shared" si="182"/>
        <v/>
      </c>
      <c r="AC1078" s="4" t="str">
        <f t="shared" si="183"/>
        <v>Unknown</v>
      </c>
      <c r="AD1078" s="4" t="s">
        <v>3567</v>
      </c>
      <c r="AG1078" s="4" t="str">
        <f t="shared" si="184"/>
        <v>Not Applicable</v>
      </c>
      <c r="AK1078" s="4" t="s">
        <v>3573</v>
      </c>
      <c r="AL1078" s="4" t="str">
        <f t="shared" si="185"/>
        <v>Found</v>
      </c>
      <c r="AN1078" s="6">
        <v>7.75</v>
      </c>
      <c r="AO1078" s="4" t="str">
        <f t="shared" si="186"/>
        <v>Low</v>
      </c>
    </row>
    <row r="1079" spans="1:41">
      <c r="A1079">
        <v>3</v>
      </c>
      <c r="B1079" t="str">
        <f t="shared" si="176"/>
        <v>Third Class</v>
      </c>
      <c r="C1079">
        <v>1</v>
      </c>
      <c r="E1079" t="str">
        <f t="shared" si="177"/>
        <v>Survived</v>
      </c>
      <c r="F1079" t="s">
        <v>2034</v>
      </c>
      <c r="G1079" t="s">
        <v>842</v>
      </c>
      <c r="H1079" t="s">
        <v>1629</v>
      </c>
      <c r="I1079" t="str">
        <f t="shared" si="178"/>
        <v>Miss. O'Driscoll Bridget</v>
      </c>
      <c r="J1079" t="s">
        <v>47</v>
      </c>
      <c r="K1079" t="str">
        <f t="shared" si="179"/>
        <v>Female</v>
      </c>
      <c r="L1079">
        <v>28</v>
      </c>
      <c r="O1079">
        <f t="shared" si="180"/>
        <v>28</v>
      </c>
      <c r="P1079">
        <v>0</v>
      </c>
      <c r="R1079" s="4">
        <v>0</v>
      </c>
      <c r="T1079" s="5">
        <v>7.75</v>
      </c>
      <c r="W1079" s="4">
        <v>28</v>
      </c>
      <c r="X1079" s="4" t="str">
        <f t="shared" si="181"/>
        <v>Young Adult</v>
      </c>
      <c r="Y1079" s="4" t="s">
        <v>3561</v>
      </c>
      <c r="AB1079" s="4" t="str">
        <f t="shared" si="182"/>
        <v/>
      </c>
      <c r="AC1079" s="4" t="str">
        <f t="shared" si="183"/>
        <v>Unknown</v>
      </c>
      <c r="AD1079" s="4" t="s">
        <v>3567</v>
      </c>
      <c r="AF1079" s="4" t="s">
        <v>59</v>
      </c>
      <c r="AG1079" s="4" t="str">
        <f t="shared" si="184"/>
        <v>D</v>
      </c>
      <c r="AK1079" s="4" t="s">
        <v>3573</v>
      </c>
      <c r="AL1079" s="4" t="str">
        <f t="shared" si="185"/>
        <v>Found</v>
      </c>
      <c r="AN1079" s="6">
        <v>7.75</v>
      </c>
      <c r="AO1079" s="4" t="str">
        <f t="shared" si="186"/>
        <v>Low</v>
      </c>
    </row>
    <row r="1080" spans="1:41">
      <c r="A1080">
        <v>3</v>
      </c>
      <c r="B1080" t="str">
        <f t="shared" si="176"/>
        <v>Third Class</v>
      </c>
      <c r="C1080">
        <v>1</v>
      </c>
      <c r="E1080" t="str">
        <f t="shared" si="177"/>
        <v>Survived</v>
      </c>
      <c r="F1080" t="s">
        <v>2035</v>
      </c>
      <c r="G1080" t="s">
        <v>842</v>
      </c>
      <c r="H1080" t="s">
        <v>868</v>
      </c>
      <c r="I1080" t="str">
        <f t="shared" si="178"/>
        <v>Miss. O'Dwyer Ellen</v>
      </c>
      <c r="J1080" t="s">
        <v>47</v>
      </c>
      <c r="K1080" t="str">
        <f t="shared" si="179"/>
        <v>Female</v>
      </c>
      <c r="L1080">
        <v>28</v>
      </c>
      <c r="O1080">
        <f t="shared" si="180"/>
        <v>28</v>
      </c>
      <c r="P1080">
        <v>0</v>
      </c>
      <c r="R1080" s="4">
        <v>0</v>
      </c>
      <c r="T1080" s="5">
        <v>7.8792</v>
      </c>
      <c r="W1080" s="4">
        <v>28</v>
      </c>
      <c r="X1080" s="4" t="str">
        <f t="shared" si="181"/>
        <v>Young Adult</v>
      </c>
      <c r="Y1080" s="4" t="s">
        <v>3561</v>
      </c>
      <c r="AB1080" s="4" t="str">
        <f t="shared" si="182"/>
        <v/>
      </c>
      <c r="AC1080" s="4" t="str">
        <f t="shared" si="183"/>
        <v>Unknown</v>
      </c>
      <c r="AD1080" s="4" t="s">
        <v>3567</v>
      </c>
      <c r="AG1080" s="4" t="str">
        <f t="shared" si="184"/>
        <v>Not Applicable</v>
      </c>
      <c r="AK1080" s="4" t="s">
        <v>3573</v>
      </c>
      <c r="AL1080" s="4" t="str">
        <f t="shared" si="185"/>
        <v>Found</v>
      </c>
      <c r="AN1080" s="6">
        <v>7.8792</v>
      </c>
      <c r="AO1080" s="4" t="str">
        <f t="shared" si="186"/>
        <v>Low</v>
      </c>
    </row>
    <row r="1081" spans="1:41">
      <c r="A1081">
        <v>3</v>
      </c>
      <c r="B1081" t="str">
        <f t="shared" si="176"/>
        <v>Third Class</v>
      </c>
      <c r="C1081">
        <v>1</v>
      </c>
      <c r="E1081" t="str">
        <f t="shared" si="177"/>
        <v>Survived</v>
      </c>
      <c r="F1081" t="s">
        <v>2036</v>
      </c>
      <c r="G1081" t="s">
        <v>842</v>
      </c>
      <c r="H1081" t="s">
        <v>2037</v>
      </c>
      <c r="I1081" t="str">
        <f t="shared" si="178"/>
        <v>Miss. Ohman Velin</v>
      </c>
      <c r="J1081" t="s">
        <v>47</v>
      </c>
      <c r="K1081" t="str">
        <f t="shared" si="179"/>
        <v>Female</v>
      </c>
      <c r="L1081">
        <v>22</v>
      </c>
      <c r="O1081">
        <f t="shared" si="180"/>
        <v>22</v>
      </c>
      <c r="P1081">
        <v>0</v>
      </c>
      <c r="R1081" s="4">
        <v>0</v>
      </c>
      <c r="T1081" s="5">
        <v>7.7750000000000004</v>
      </c>
      <c r="W1081" s="4">
        <v>22</v>
      </c>
      <c r="X1081" s="4" t="str">
        <f t="shared" si="181"/>
        <v>Young Adult</v>
      </c>
      <c r="Y1081" s="4" t="s">
        <v>3561</v>
      </c>
      <c r="AB1081" s="4" t="str">
        <f t="shared" si="182"/>
        <v/>
      </c>
      <c r="AC1081" s="4" t="str">
        <f t="shared" si="183"/>
        <v>Unknown</v>
      </c>
      <c r="AD1081" s="4" t="s">
        <v>457</v>
      </c>
      <c r="AF1081" s="4" t="s">
        <v>62</v>
      </c>
      <c r="AG1081" s="4" t="str">
        <f t="shared" si="184"/>
        <v>C</v>
      </c>
      <c r="AK1081" s="4" t="s">
        <v>3573</v>
      </c>
      <c r="AL1081" s="4" t="str">
        <f t="shared" si="185"/>
        <v>Found</v>
      </c>
      <c r="AN1081" s="6">
        <v>7.7750000000000004</v>
      </c>
      <c r="AO1081" s="4" t="str">
        <f t="shared" si="186"/>
        <v>Low</v>
      </c>
    </row>
    <row r="1082" spans="1:41">
      <c r="A1082">
        <v>3</v>
      </c>
      <c r="B1082" t="str">
        <f t="shared" si="176"/>
        <v>Third Class</v>
      </c>
      <c r="C1082">
        <v>1</v>
      </c>
      <c r="E1082" t="str">
        <f t="shared" si="177"/>
        <v>Survived</v>
      </c>
      <c r="F1082" t="s">
        <v>2038</v>
      </c>
      <c r="G1082" t="s">
        <v>848</v>
      </c>
      <c r="H1082" t="s">
        <v>1649</v>
      </c>
      <c r="I1082" t="str">
        <f t="shared" si="178"/>
        <v>Mr. O'Keefe Patrick</v>
      </c>
      <c r="J1082" t="s">
        <v>20</v>
      </c>
      <c r="K1082" t="str">
        <f t="shared" si="179"/>
        <v>Male</v>
      </c>
      <c r="L1082">
        <v>28</v>
      </c>
      <c r="O1082">
        <f t="shared" si="180"/>
        <v>28</v>
      </c>
      <c r="P1082">
        <v>0</v>
      </c>
      <c r="R1082" s="4">
        <v>0</v>
      </c>
      <c r="T1082" s="5">
        <v>7.75</v>
      </c>
      <c r="W1082" s="4">
        <v>28</v>
      </c>
      <c r="X1082" s="4" t="str">
        <f t="shared" si="181"/>
        <v>Young Adult</v>
      </c>
      <c r="Y1082" s="4" t="s">
        <v>3561</v>
      </c>
      <c r="AB1082" s="4" t="str">
        <f t="shared" si="182"/>
        <v/>
      </c>
      <c r="AC1082" s="4" t="str">
        <f t="shared" si="183"/>
        <v>Unknown</v>
      </c>
      <c r="AD1082" s="4" t="s">
        <v>3567</v>
      </c>
      <c r="AF1082" s="4" t="s">
        <v>70</v>
      </c>
      <c r="AG1082" s="4" t="str">
        <f t="shared" si="184"/>
        <v>B</v>
      </c>
      <c r="AK1082" s="4" t="s">
        <v>3573</v>
      </c>
      <c r="AL1082" s="4" t="str">
        <f t="shared" si="185"/>
        <v>Found</v>
      </c>
      <c r="AN1082" s="6">
        <v>7.75</v>
      </c>
      <c r="AO1082" s="4" t="str">
        <f t="shared" si="186"/>
        <v>Low</v>
      </c>
    </row>
    <row r="1083" spans="1:41">
      <c r="A1083">
        <v>3</v>
      </c>
      <c r="B1083" t="str">
        <f t="shared" si="176"/>
        <v>Third Class</v>
      </c>
      <c r="C1083">
        <v>1</v>
      </c>
      <c r="E1083" t="str">
        <f t="shared" si="177"/>
        <v>Survived</v>
      </c>
      <c r="F1083" t="s">
        <v>2039</v>
      </c>
      <c r="G1083" t="s">
        <v>842</v>
      </c>
      <c r="H1083" t="s">
        <v>1794</v>
      </c>
      <c r="I1083" t="str">
        <f t="shared" si="178"/>
        <v>Miss. O'Leary Hanora</v>
      </c>
      <c r="J1083" t="s">
        <v>47</v>
      </c>
      <c r="K1083" t="str">
        <f t="shared" si="179"/>
        <v>Female</v>
      </c>
      <c r="L1083">
        <v>28</v>
      </c>
      <c r="O1083">
        <f t="shared" si="180"/>
        <v>28</v>
      </c>
      <c r="P1083">
        <v>0</v>
      </c>
      <c r="R1083" s="4">
        <v>0</v>
      </c>
      <c r="T1083" s="5">
        <v>7.8292000000000002</v>
      </c>
      <c r="W1083" s="4">
        <v>28</v>
      </c>
      <c r="X1083" s="4" t="str">
        <f t="shared" si="181"/>
        <v>Young Adult</v>
      </c>
      <c r="Y1083" s="4" t="s">
        <v>3561</v>
      </c>
      <c r="AB1083" s="4" t="str">
        <f t="shared" si="182"/>
        <v/>
      </c>
      <c r="AC1083" s="4" t="str">
        <f t="shared" si="183"/>
        <v>Unknown</v>
      </c>
      <c r="AD1083" s="4" t="s">
        <v>3567</v>
      </c>
      <c r="AF1083" s="4">
        <v>13</v>
      </c>
      <c r="AG1083" s="4">
        <f t="shared" si="184"/>
        <v>13</v>
      </c>
      <c r="AK1083" s="4" t="s">
        <v>3573</v>
      </c>
      <c r="AL1083" s="4" t="str">
        <f t="shared" si="185"/>
        <v>Found</v>
      </c>
      <c r="AN1083" s="6">
        <v>7.8292000000000002</v>
      </c>
      <c r="AO1083" s="4" t="str">
        <f t="shared" si="186"/>
        <v>Low</v>
      </c>
    </row>
    <row r="1084" spans="1:41">
      <c r="A1084">
        <v>3</v>
      </c>
      <c r="B1084" t="str">
        <f t="shared" si="176"/>
        <v>Third Class</v>
      </c>
      <c r="C1084">
        <v>1</v>
      </c>
      <c r="E1084" t="str">
        <f t="shared" si="177"/>
        <v>Survived</v>
      </c>
      <c r="F1084" t="s">
        <v>1779</v>
      </c>
      <c r="G1084" t="s">
        <v>845</v>
      </c>
      <c r="H1084" t="s">
        <v>2040</v>
      </c>
      <c r="I1084" t="str">
        <f t="shared" si="178"/>
        <v>Master. Olsen Artur</v>
      </c>
      <c r="J1084" t="s">
        <v>20</v>
      </c>
      <c r="K1084" t="str">
        <f t="shared" si="179"/>
        <v>Male</v>
      </c>
      <c r="L1084">
        <v>9</v>
      </c>
      <c r="O1084">
        <f t="shared" si="180"/>
        <v>9</v>
      </c>
      <c r="P1084">
        <v>0</v>
      </c>
      <c r="R1084" s="4">
        <v>1</v>
      </c>
      <c r="T1084" s="5">
        <v>3.1707999999999998</v>
      </c>
      <c r="W1084" s="4">
        <v>9</v>
      </c>
      <c r="X1084" s="4" t="str">
        <f t="shared" si="181"/>
        <v>Child</v>
      </c>
      <c r="Y1084" s="4" t="s">
        <v>3561</v>
      </c>
      <c r="AB1084" s="4" t="str">
        <f t="shared" si="182"/>
        <v/>
      </c>
      <c r="AC1084" s="4" t="str">
        <f t="shared" si="183"/>
        <v>Unknown</v>
      </c>
      <c r="AD1084" s="4" t="s">
        <v>457</v>
      </c>
      <c r="AF1084" s="4">
        <v>13</v>
      </c>
      <c r="AG1084" s="4">
        <f t="shared" si="184"/>
        <v>13</v>
      </c>
      <c r="AK1084" s="4" t="s">
        <v>3573</v>
      </c>
      <c r="AL1084" s="4" t="str">
        <f t="shared" si="185"/>
        <v>Found</v>
      </c>
      <c r="AN1084" s="6">
        <v>3.1707999999999998</v>
      </c>
      <c r="AO1084" s="4" t="str">
        <f t="shared" si="186"/>
        <v>Low</v>
      </c>
    </row>
    <row r="1085" spans="1:41">
      <c r="A1085">
        <v>3</v>
      </c>
      <c r="B1085" t="str">
        <f t="shared" si="176"/>
        <v>Third Class</v>
      </c>
      <c r="C1085">
        <v>0</v>
      </c>
      <c r="E1085" t="str">
        <f t="shared" si="177"/>
        <v>Died</v>
      </c>
      <c r="F1085" t="s">
        <v>1779</v>
      </c>
      <c r="G1085" t="s">
        <v>848</v>
      </c>
      <c r="H1085" t="s">
        <v>872</v>
      </c>
      <c r="I1085" t="str">
        <f t="shared" si="178"/>
        <v>Mr. Olsen Henry</v>
      </c>
      <c r="J1085" t="s">
        <v>20</v>
      </c>
      <c r="K1085" t="str">
        <f t="shared" si="179"/>
        <v>Male</v>
      </c>
      <c r="L1085">
        <v>28</v>
      </c>
      <c r="O1085">
        <f t="shared" si="180"/>
        <v>28</v>
      </c>
      <c r="P1085">
        <v>0</v>
      </c>
      <c r="R1085" s="4">
        <v>0</v>
      </c>
      <c r="T1085" s="5">
        <v>22.524999999999999</v>
      </c>
      <c r="W1085" s="4">
        <v>28</v>
      </c>
      <c r="X1085" s="4" t="str">
        <f t="shared" si="181"/>
        <v>Young Adult</v>
      </c>
      <c r="Y1085" s="4" t="s">
        <v>3561</v>
      </c>
      <c r="AB1085" s="4" t="str">
        <f t="shared" si="182"/>
        <v/>
      </c>
      <c r="AC1085" s="4" t="str">
        <f t="shared" si="183"/>
        <v>Unknown</v>
      </c>
      <c r="AD1085" s="4" t="s">
        <v>457</v>
      </c>
      <c r="AG1085" s="4" t="str">
        <f t="shared" si="184"/>
        <v>Not Applicable</v>
      </c>
      <c r="AH1085" s="4">
        <v>173</v>
      </c>
      <c r="AK1085" s="4">
        <v>173</v>
      </c>
      <c r="AL1085" s="4" t="str">
        <f t="shared" si="185"/>
        <v>Found</v>
      </c>
      <c r="AN1085" s="6">
        <v>22.524999999999999</v>
      </c>
      <c r="AO1085" s="4" t="str">
        <f t="shared" si="186"/>
        <v>Mid</v>
      </c>
    </row>
    <row r="1086" spans="1:41">
      <c r="A1086">
        <v>3</v>
      </c>
      <c r="B1086" t="str">
        <f t="shared" si="176"/>
        <v>Third Class</v>
      </c>
      <c r="C1086">
        <v>0</v>
      </c>
      <c r="E1086" t="str">
        <f t="shared" si="177"/>
        <v>Died</v>
      </c>
      <c r="F1086" t="s">
        <v>1779</v>
      </c>
      <c r="G1086" t="s">
        <v>848</v>
      </c>
      <c r="H1086" t="s">
        <v>887</v>
      </c>
      <c r="I1086" t="str">
        <f t="shared" si="178"/>
        <v>Mr. Olsen Karl</v>
      </c>
      <c r="J1086" t="s">
        <v>20</v>
      </c>
      <c r="K1086" t="str">
        <f t="shared" si="179"/>
        <v>Male</v>
      </c>
      <c r="L1086">
        <v>42</v>
      </c>
      <c r="O1086">
        <f t="shared" si="180"/>
        <v>42</v>
      </c>
      <c r="P1086">
        <v>0</v>
      </c>
      <c r="R1086" s="4">
        <v>1</v>
      </c>
      <c r="T1086" s="5">
        <v>8.4041999999999994</v>
      </c>
      <c r="W1086" s="4">
        <v>42</v>
      </c>
      <c r="X1086" s="4" t="str">
        <f t="shared" si="181"/>
        <v>Adult</v>
      </c>
      <c r="Y1086" s="4" t="s">
        <v>3561</v>
      </c>
      <c r="AB1086" s="4" t="str">
        <f t="shared" si="182"/>
        <v/>
      </c>
      <c r="AC1086" s="4" t="str">
        <f t="shared" si="183"/>
        <v>Unknown</v>
      </c>
      <c r="AD1086" s="4" t="s">
        <v>457</v>
      </c>
      <c r="AG1086" s="4" t="str">
        <f t="shared" si="184"/>
        <v>Not Applicable</v>
      </c>
      <c r="AK1086" s="4" t="s">
        <v>3573</v>
      </c>
      <c r="AL1086" s="4" t="str">
        <f t="shared" si="185"/>
        <v>Found</v>
      </c>
      <c r="AN1086" s="6">
        <v>8.4041999999999994</v>
      </c>
      <c r="AO1086" s="4" t="str">
        <f t="shared" si="186"/>
        <v>Low</v>
      </c>
    </row>
    <row r="1087" spans="1:41">
      <c r="A1087">
        <v>3</v>
      </c>
      <c r="B1087" t="str">
        <f t="shared" si="176"/>
        <v>Third Class</v>
      </c>
      <c r="C1087">
        <v>0</v>
      </c>
      <c r="E1087" t="str">
        <f t="shared" si="177"/>
        <v>Died</v>
      </c>
      <c r="F1087" t="s">
        <v>1779</v>
      </c>
      <c r="G1087" t="s">
        <v>848</v>
      </c>
      <c r="H1087" t="s">
        <v>2041</v>
      </c>
      <c r="I1087" t="str">
        <f t="shared" si="178"/>
        <v>Mr. Olsen Ole</v>
      </c>
      <c r="J1087" t="s">
        <v>20</v>
      </c>
      <c r="K1087" t="str">
        <f t="shared" si="179"/>
        <v>Male</v>
      </c>
      <c r="L1087">
        <v>28</v>
      </c>
      <c r="O1087">
        <f t="shared" si="180"/>
        <v>28</v>
      </c>
      <c r="P1087">
        <v>0</v>
      </c>
      <c r="R1087" s="4">
        <v>0</v>
      </c>
      <c r="T1087" s="5">
        <v>7.3125</v>
      </c>
      <c r="W1087" s="4">
        <v>28</v>
      </c>
      <c r="X1087" s="4" t="str">
        <f t="shared" si="181"/>
        <v>Young Adult</v>
      </c>
      <c r="Y1087" s="4" t="s">
        <v>3561</v>
      </c>
      <c r="AB1087" s="4" t="str">
        <f t="shared" si="182"/>
        <v/>
      </c>
      <c r="AC1087" s="4" t="str">
        <f t="shared" si="183"/>
        <v>Unknown</v>
      </c>
      <c r="AD1087" s="4" t="s">
        <v>457</v>
      </c>
      <c r="AG1087" s="4" t="str">
        <f t="shared" si="184"/>
        <v>Not Applicable</v>
      </c>
      <c r="AK1087" s="4" t="s">
        <v>3573</v>
      </c>
      <c r="AL1087" s="4" t="str">
        <f t="shared" si="185"/>
        <v>Found</v>
      </c>
      <c r="AN1087" s="6">
        <v>7.3125</v>
      </c>
      <c r="AO1087" s="4" t="str">
        <f t="shared" si="186"/>
        <v>Low</v>
      </c>
    </row>
    <row r="1088" spans="1:41">
      <c r="A1088">
        <v>3</v>
      </c>
      <c r="B1088" t="str">
        <f t="shared" si="176"/>
        <v>Third Class</v>
      </c>
      <c r="C1088">
        <v>0</v>
      </c>
      <c r="E1088" t="str">
        <f t="shared" si="177"/>
        <v>Died</v>
      </c>
      <c r="F1088" t="s">
        <v>2042</v>
      </c>
      <c r="G1088" t="s">
        <v>842</v>
      </c>
      <c r="H1088" t="s">
        <v>2043</v>
      </c>
      <c r="I1088" t="str">
        <f t="shared" si="178"/>
        <v>Miss. Olsson Elina</v>
      </c>
      <c r="J1088" t="s">
        <v>47</v>
      </c>
      <c r="K1088" t="str">
        <f t="shared" si="179"/>
        <v>Female</v>
      </c>
      <c r="L1088">
        <v>31</v>
      </c>
      <c r="O1088">
        <f t="shared" si="180"/>
        <v>31</v>
      </c>
      <c r="P1088">
        <v>0</v>
      </c>
      <c r="R1088" s="4">
        <v>0</v>
      </c>
      <c r="T1088" s="5">
        <v>7.8541999999999996</v>
      </c>
      <c r="W1088" s="4">
        <v>31</v>
      </c>
      <c r="X1088" s="4" t="str">
        <f t="shared" si="181"/>
        <v>Adult</v>
      </c>
      <c r="Y1088" s="4" t="s">
        <v>3561</v>
      </c>
      <c r="AB1088" s="4" t="str">
        <f t="shared" si="182"/>
        <v/>
      </c>
      <c r="AC1088" s="4" t="str">
        <f t="shared" si="183"/>
        <v>Unknown</v>
      </c>
      <c r="AD1088" s="4" t="s">
        <v>457</v>
      </c>
      <c r="AG1088" s="4" t="str">
        <f t="shared" si="184"/>
        <v>Not Applicable</v>
      </c>
      <c r="AK1088" s="4" t="s">
        <v>3573</v>
      </c>
      <c r="AL1088" s="4" t="str">
        <f t="shared" si="185"/>
        <v>Found</v>
      </c>
      <c r="AN1088" s="6">
        <v>7.8541999999999996</v>
      </c>
      <c r="AO1088" s="4" t="str">
        <f t="shared" si="186"/>
        <v>Low</v>
      </c>
    </row>
    <row r="1089" spans="1:41">
      <c r="A1089">
        <v>3</v>
      </c>
      <c r="B1089" t="str">
        <f t="shared" si="176"/>
        <v>Third Class</v>
      </c>
      <c r="C1089">
        <v>0</v>
      </c>
      <c r="E1089" t="str">
        <f t="shared" si="177"/>
        <v>Died</v>
      </c>
      <c r="F1089" t="s">
        <v>2042</v>
      </c>
      <c r="G1089" t="s">
        <v>848</v>
      </c>
      <c r="H1089" t="s">
        <v>1546</v>
      </c>
      <c r="I1089" t="str">
        <f t="shared" si="178"/>
        <v>Mr. Olsson Nils</v>
      </c>
      <c r="J1089" t="s">
        <v>20</v>
      </c>
      <c r="K1089" t="str">
        <f t="shared" si="179"/>
        <v>Male</v>
      </c>
      <c r="L1089">
        <v>28</v>
      </c>
      <c r="O1089">
        <f t="shared" si="180"/>
        <v>28</v>
      </c>
      <c r="P1089">
        <v>0</v>
      </c>
      <c r="R1089" s="4">
        <v>0</v>
      </c>
      <c r="T1089" s="5">
        <v>7.8541999999999996</v>
      </c>
      <c r="W1089" s="4">
        <v>28</v>
      </c>
      <c r="X1089" s="4" t="str">
        <f t="shared" si="181"/>
        <v>Young Adult</v>
      </c>
      <c r="Y1089" s="4" t="s">
        <v>3561</v>
      </c>
      <c r="AB1089" s="4" t="str">
        <f t="shared" si="182"/>
        <v/>
      </c>
      <c r="AC1089" s="4" t="str">
        <f t="shared" si="183"/>
        <v>Unknown</v>
      </c>
      <c r="AD1089" s="4" t="s">
        <v>457</v>
      </c>
      <c r="AG1089" s="4" t="str">
        <f t="shared" si="184"/>
        <v>Not Applicable</v>
      </c>
      <c r="AK1089" s="4" t="s">
        <v>3573</v>
      </c>
      <c r="AL1089" s="4" t="str">
        <f t="shared" si="185"/>
        <v>Found</v>
      </c>
      <c r="AN1089" s="6">
        <v>7.8541999999999996</v>
      </c>
      <c r="AO1089" s="4" t="str">
        <f t="shared" si="186"/>
        <v>Low</v>
      </c>
    </row>
    <row r="1090" spans="1:41">
      <c r="A1090">
        <v>3</v>
      </c>
      <c r="B1090" t="str">
        <f t="shared" si="176"/>
        <v>Third Class</v>
      </c>
      <c r="C1090">
        <v>1</v>
      </c>
      <c r="E1090" t="str">
        <f t="shared" si="177"/>
        <v>Survived</v>
      </c>
      <c r="F1090" t="s">
        <v>2042</v>
      </c>
      <c r="G1090" t="s">
        <v>848</v>
      </c>
      <c r="H1090" t="s">
        <v>1583</v>
      </c>
      <c r="I1090" t="str">
        <f t="shared" si="178"/>
        <v>Mr. Olsson Oscar</v>
      </c>
      <c r="J1090" t="s">
        <v>20</v>
      </c>
      <c r="K1090" t="str">
        <f t="shared" si="179"/>
        <v>Male</v>
      </c>
      <c r="L1090">
        <v>32</v>
      </c>
      <c r="O1090">
        <f t="shared" si="180"/>
        <v>32</v>
      </c>
      <c r="P1090">
        <v>0</v>
      </c>
      <c r="R1090" s="4">
        <v>0</v>
      </c>
      <c r="T1090" s="5">
        <v>7.7750000000000004</v>
      </c>
      <c r="W1090" s="4">
        <v>32</v>
      </c>
      <c r="X1090" s="4" t="str">
        <f t="shared" si="181"/>
        <v>Adult</v>
      </c>
      <c r="Y1090" s="4" t="s">
        <v>3561</v>
      </c>
      <c r="AB1090" s="4" t="str">
        <f t="shared" si="182"/>
        <v/>
      </c>
      <c r="AC1090" s="4" t="str">
        <f t="shared" si="183"/>
        <v>Unknown</v>
      </c>
      <c r="AD1090" s="4" t="s">
        <v>457</v>
      </c>
      <c r="AF1090" s="4" t="s">
        <v>78</v>
      </c>
      <c r="AG1090" s="4" t="str">
        <f t="shared" si="184"/>
        <v>A</v>
      </c>
      <c r="AK1090" s="4" t="s">
        <v>3573</v>
      </c>
      <c r="AL1090" s="4" t="str">
        <f t="shared" si="185"/>
        <v>Found</v>
      </c>
      <c r="AN1090" s="6">
        <v>7.7750000000000004</v>
      </c>
      <c r="AO1090" s="4" t="str">
        <f t="shared" si="186"/>
        <v>Low</v>
      </c>
    </row>
    <row r="1091" spans="1:41">
      <c r="A1091">
        <v>3</v>
      </c>
      <c r="B1091" t="str">
        <f t="shared" ref="B1091:B1154" si="187">IF(A1091=1,"First Class",IF(A1091=2,"Second Class",IF(A1091=3,"Third Class"," ")))</f>
        <v>Third Class</v>
      </c>
      <c r="C1091">
        <v>0</v>
      </c>
      <c r="E1091" t="str">
        <f t="shared" ref="E1091:E1154" si="188">IF(C1091=1,"Survived",IF(C1091=0,"Died"))</f>
        <v>Died</v>
      </c>
      <c r="F1091" t="s">
        <v>2045</v>
      </c>
      <c r="G1091" t="s">
        <v>848</v>
      </c>
      <c r="H1091" t="s">
        <v>2046</v>
      </c>
      <c r="I1091" t="str">
        <f t="shared" ref="I1091:I1154" si="189">_xlfn.CONCAT(G1091," ",F1091," ",H1091)</f>
        <v>Mr. Olsvigen Thor</v>
      </c>
      <c r="J1091" t="s">
        <v>20</v>
      </c>
      <c r="K1091" t="str">
        <f t="shared" ref="K1091:K1154" si="190">PROPER(J1091)</f>
        <v>Male</v>
      </c>
      <c r="L1091">
        <v>20</v>
      </c>
      <c r="O1091">
        <f t="shared" ref="O1091:O1154" si="191">IF(L1091&lt;1,1,ROUND(L1091,0))</f>
        <v>20</v>
      </c>
      <c r="P1091">
        <v>0</v>
      </c>
      <c r="R1091" s="4">
        <v>0</v>
      </c>
      <c r="T1091" s="5">
        <v>9.2249999999999996</v>
      </c>
      <c r="W1091" s="4">
        <v>20</v>
      </c>
      <c r="X1091" s="4" t="str">
        <f t="shared" ref="X1091:X1154" si="192">IF(W1091&lt;10,"Child",IF(W1091&lt;18,"Teenager",IF(W1091&lt;30,"Young Adult",IF(W1091&lt;60,"Adult","Old Adult"))))</f>
        <v>Young Adult</v>
      </c>
      <c r="Y1091" s="4" t="s">
        <v>3561</v>
      </c>
      <c r="AB1091" s="4" t="str">
        <f t="shared" ref="AB1091:AB1154" si="193">LEFT(AA1091,1)</f>
        <v/>
      </c>
      <c r="AC1091" s="4" t="str">
        <f t="shared" ref="AC1091:AC1154" si="194">IF(AB1091="","Unknown",LEFT(AB1091,1))</f>
        <v>Unknown</v>
      </c>
      <c r="AD1091" s="4" t="s">
        <v>457</v>
      </c>
      <c r="AG1091" s="4" t="str">
        <f t="shared" ref="AG1091:AG1154" si="195">IF(AF1091="",IF(E1091=1,"Unknown","Not Applicable"),AF1091)</f>
        <v>Not Applicable</v>
      </c>
      <c r="AH1091" s="4">
        <v>89</v>
      </c>
      <c r="AK1091" s="4">
        <v>89</v>
      </c>
      <c r="AL1091" s="4" t="str">
        <f t="shared" ref="AL1091:AL1154" si="196">IF(AK1091="","Not Found","Found")</f>
        <v>Found</v>
      </c>
      <c r="AN1091" s="6">
        <v>9.2249999999999996</v>
      </c>
      <c r="AO1091" s="4" t="str">
        <f t="shared" ref="AO1091:AO1154" si="197">IF(AN1091&lt;=10,"Low",IF(AN1091&lt;=50,"Mid","High"))</f>
        <v>Low</v>
      </c>
    </row>
    <row r="1092" spans="1:41">
      <c r="A1092">
        <v>3</v>
      </c>
      <c r="B1092" t="str">
        <f t="shared" si="187"/>
        <v>Third Class</v>
      </c>
      <c r="C1092">
        <v>0</v>
      </c>
      <c r="E1092" t="str">
        <f t="shared" si="188"/>
        <v>Died</v>
      </c>
      <c r="F1092" t="s">
        <v>2047</v>
      </c>
      <c r="G1092" t="s">
        <v>842</v>
      </c>
      <c r="H1092" t="s">
        <v>2048</v>
      </c>
      <c r="I1092" t="str">
        <f t="shared" si="189"/>
        <v>Miss. Oreskovic Jelka</v>
      </c>
      <c r="J1092" t="s">
        <v>47</v>
      </c>
      <c r="K1092" t="str">
        <f t="shared" si="190"/>
        <v>Female</v>
      </c>
      <c r="L1092">
        <v>23</v>
      </c>
      <c r="O1092">
        <f t="shared" si="191"/>
        <v>23</v>
      </c>
      <c r="P1092">
        <v>0</v>
      </c>
      <c r="R1092" s="4">
        <v>0</v>
      </c>
      <c r="T1092" s="5">
        <v>8.6624999999999996</v>
      </c>
      <c r="W1092" s="4">
        <v>23</v>
      </c>
      <c r="X1092" s="4" t="str">
        <f t="shared" si="192"/>
        <v>Young Adult</v>
      </c>
      <c r="Y1092" s="4" t="s">
        <v>3561</v>
      </c>
      <c r="AB1092" s="4" t="str">
        <f t="shared" si="193"/>
        <v/>
      </c>
      <c r="AC1092" s="4" t="str">
        <f t="shared" si="194"/>
        <v>Unknown</v>
      </c>
      <c r="AD1092" s="4" t="s">
        <v>457</v>
      </c>
      <c r="AG1092" s="4" t="str">
        <f t="shared" si="195"/>
        <v>Not Applicable</v>
      </c>
      <c r="AK1092" s="4" t="s">
        <v>3573</v>
      </c>
      <c r="AL1092" s="4" t="str">
        <f t="shared" si="196"/>
        <v>Found</v>
      </c>
      <c r="AN1092" s="6">
        <v>8.6624999999999996</v>
      </c>
      <c r="AO1092" s="4" t="str">
        <f t="shared" si="197"/>
        <v>Low</v>
      </c>
    </row>
    <row r="1093" spans="1:41">
      <c r="A1093">
        <v>3</v>
      </c>
      <c r="B1093" t="str">
        <f t="shared" si="187"/>
        <v>Third Class</v>
      </c>
      <c r="C1093">
        <v>0</v>
      </c>
      <c r="E1093" t="str">
        <f t="shared" si="188"/>
        <v>Died</v>
      </c>
      <c r="F1093" t="s">
        <v>2047</v>
      </c>
      <c r="G1093" t="s">
        <v>842</v>
      </c>
      <c r="H1093" t="s">
        <v>1642</v>
      </c>
      <c r="I1093" t="str">
        <f t="shared" si="189"/>
        <v>Miss. Oreskovic Marija</v>
      </c>
      <c r="J1093" t="s">
        <v>47</v>
      </c>
      <c r="K1093" t="str">
        <f t="shared" si="190"/>
        <v>Female</v>
      </c>
      <c r="L1093">
        <v>20</v>
      </c>
      <c r="O1093">
        <f t="shared" si="191"/>
        <v>20</v>
      </c>
      <c r="P1093">
        <v>0</v>
      </c>
      <c r="R1093" s="4">
        <v>0</v>
      </c>
      <c r="T1093" s="5">
        <v>8.6624999999999996</v>
      </c>
      <c r="W1093" s="4">
        <v>20</v>
      </c>
      <c r="X1093" s="4" t="str">
        <f t="shared" si="192"/>
        <v>Young Adult</v>
      </c>
      <c r="Y1093" s="4" t="s">
        <v>3561</v>
      </c>
      <c r="AB1093" s="4" t="str">
        <f t="shared" si="193"/>
        <v/>
      </c>
      <c r="AC1093" s="4" t="str">
        <f t="shared" si="194"/>
        <v>Unknown</v>
      </c>
      <c r="AD1093" s="4" t="s">
        <v>457</v>
      </c>
      <c r="AG1093" s="4" t="str">
        <f t="shared" si="195"/>
        <v>Not Applicable</v>
      </c>
      <c r="AK1093" s="4" t="s">
        <v>3573</v>
      </c>
      <c r="AL1093" s="4" t="str">
        <f t="shared" si="196"/>
        <v>Found</v>
      </c>
      <c r="AN1093" s="6">
        <v>8.6624999999999996</v>
      </c>
      <c r="AO1093" s="4" t="str">
        <f t="shared" si="197"/>
        <v>Low</v>
      </c>
    </row>
    <row r="1094" spans="1:41">
      <c r="A1094">
        <v>3</v>
      </c>
      <c r="B1094" t="str">
        <f t="shared" si="187"/>
        <v>Third Class</v>
      </c>
      <c r="C1094">
        <v>0</v>
      </c>
      <c r="E1094" t="str">
        <f t="shared" si="188"/>
        <v>Died</v>
      </c>
      <c r="F1094" t="s">
        <v>2047</v>
      </c>
      <c r="G1094" t="s">
        <v>848</v>
      </c>
      <c r="H1094" t="s">
        <v>1644</v>
      </c>
      <c r="I1094" t="str">
        <f t="shared" si="189"/>
        <v>Mr. Oreskovic Luka</v>
      </c>
      <c r="J1094" t="s">
        <v>20</v>
      </c>
      <c r="K1094" t="str">
        <f t="shared" si="190"/>
        <v>Male</v>
      </c>
      <c r="L1094">
        <v>20</v>
      </c>
      <c r="O1094">
        <f t="shared" si="191"/>
        <v>20</v>
      </c>
      <c r="P1094">
        <v>0</v>
      </c>
      <c r="R1094" s="4">
        <v>0</v>
      </c>
      <c r="T1094" s="5">
        <v>8.6624999999999996</v>
      </c>
      <c r="W1094" s="4">
        <v>20</v>
      </c>
      <c r="X1094" s="4" t="str">
        <f t="shared" si="192"/>
        <v>Young Adult</v>
      </c>
      <c r="Y1094" s="4" t="s">
        <v>3561</v>
      </c>
      <c r="AB1094" s="4" t="str">
        <f t="shared" si="193"/>
        <v/>
      </c>
      <c r="AC1094" s="4" t="str">
        <f t="shared" si="194"/>
        <v>Unknown</v>
      </c>
      <c r="AD1094" s="4" t="s">
        <v>457</v>
      </c>
      <c r="AG1094" s="4" t="str">
        <f t="shared" si="195"/>
        <v>Not Applicable</v>
      </c>
      <c r="AK1094" s="4" t="s">
        <v>3573</v>
      </c>
      <c r="AL1094" s="4" t="str">
        <f t="shared" si="196"/>
        <v>Found</v>
      </c>
      <c r="AN1094" s="6">
        <v>8.6624999999999996</v>
      </c>
      <c r="AO1094" s="4" t="str">
        <f t="shared" si="197"/>
        <v>Low</v>
      </c>
    </row>
    <row r="1095" spans="1:41">
      <c r="A1095">
        <v>3</v>
      </c>
      <c r="B1095" t="str">
        <f t="shared" si="187"/>
        <v>Third Class</v>
      </c>
      <c r="C1095">
        <v>0</v>
      </c>
      <c r="E1095" t="str">
        <f t="shared" si="188"/>
        <v>Died</v>
      </c>
      <c r="F1095" t="s">
        <v>2049</v>
      </c>
      <c r="G1095" t="s">
        <v>848</v>
      </c>
      <c r="H1095" t="s">
        <v>2050</v>
      </c>
      <c r="I1095" t="str">
        <f t="shared" si="189"/>
        <v>Mr. Osen Olaf</v>
      </c>
      <c r="J1095" t="s">
        <v>20</v>
      </c>
      <c r="K1095" t="str">
        <f t="shared" si="190"/>
        <v>Male</v>
      </c>
      <c r="L1095">
        <v>16</v>
      </c>
      <c r="O1095">
        <f t="shared" si="191"/>
        <v>16</v>
      </c>
      <c r="P1095">
        <v>0</v>
      </c>
      <c r="R1095" s="4">
        <v>0</v>
      </c>
      <c r="T1095" s="5">
        <v>9.2166999999999994</v>
      </c>
      <c r="W1095" s="4">
        <v>16</v>
      </c>
      <c r="X1095" s="4" t="str">
        <f t="shared" si="192"/>
        <v>Teenager</v>
      </c>
      <c r="Y1095" s="4" t="s">
        <v>3561</v>
      </c>
      <c r="AB1095" s="4" t="str">
        <f t="shared" si="193"/>
        <v/>
      </c>
      <c r="AC1095" s="4" t="str">
        <f t="shared" si="194"/>
        <v>Unknown</v>
      </c>
      <c r="AD1095" s="4" t="s">
        <v>457</v>
      </c>
      <c r="AG1095" s="4" t="str">
        <f t="shared" si="195"/>
        <v>Not Applicable</v>
      </c>
      <c r="AK1095" s="4" t="s">
        <v>3573</v>
      </c>
      <c r="AL1095" s="4" t="str">
        <f t="shared" si="196"/>
        <v>Found</v>
      </c>
      <c r="AN1095" s="6">
        <v>9.2166999999999994</v>
      </c>
      <c r="AO1095" s="4" t="str">
        <f t="shared" si="197"/>
        <v>Low</v>
      </c>
    </row>
    <row r="1096" spans="1:41">
      <c r="A1096">
        <v>3</v>
      </c>
      <c r="B1096" t="str">
        <f t="shared" si="187"/>
        <v>Third Class</v>
      </c>
      <c r="C1096">
        <v>1</v>
      </c>
      <c r="E1096" t="str">
        <f t="shared" si="188"/>
        <v>Survived</v>
      </c>
      <c r="F1096" t="s">
        <v>2051</v>
      </c>
      <c r="G1096" t="s">
        <v>849</v>
      </c>
      <c r="H1096" t="s">
        <v>2052</v>
      </c>
      <c r="I1096" t="str">
        <f t="shared" si="189"/>
        <v>Mrs. Osman Mara</v>
      </c>
      <c r="J1096" t="s">
        <v>47</v>
      </c>
      <c r="K1096" t="str">
        <f t="shared" si="190"/>
        <v>Female</v>
      </c>
      <c r="L1096">
        <v>31</v>
      </c>
      <c r="O1096">
        <f t="shared" si="191"/>
        <v>31</v>
      </c>
      <c r="P1096">
        <v>0</v>
      </c>
      <c r="R1096" s="4">
        <v>0</v>
      </c>
      <c r="T1096" s="5">
        <v>8.6832999999999991</v>
      </c>
      <c r="W1096" s="4">
        <v>31</v>
      </c>
      <c r="X1096" s="4" t="str">
        <f t="shared" si="192"/>
        <v>Adult</v>
      </c>
      <c r="Y1096" s="4" t="s">
        <v>3561</v>
      </c>
      <c r="AB1096" s="4" t="str">
        <f t="shared" si="193"/>
        <v/>
      </c>
      <c r="AC1096" s="4" t="str">
        <f t="shared" si="194"/>
        <v>Unknown</v>
      </c>
      <c r="AD1096" s="4" t="s">
        <v>457</v>
      </c>
      <c r="AG1096" s="4" t="str">
        <f t="shared" si="195"/>
        <v>Not Applicable</v>
      </c>
      <c r="AK1096" s="4" t="s">
        <v>3573</v>
      </c>
      <c r="AL1096" s="4" t="str">
        <f t="shared" si="196"/>
        <v>Found</v>
      </c>
      <c r="AN1096" s="6">
        <v>8.6832999999999991</v>
      </c>
      <c r="AO1096" s="4" t="str">
        <f t="shared" si="197"/>
        <v>Low</v>
      </c>
    </row>
    <row r="1097" spans="1:41">
      <c r="A1097">
        <v>3</v>
      </c>
      <c r="B1097" t="str">
        <f t="shared" si="187"/>
        <v>Third Class</v>
      </c>
      <c r="C1097">
        <v>0</v>
      </c>
      <c r="E1097" t="str">
        <f t="shared" si="188"/>
        <v>Died</v>
      </c>
      <c r="F1097" t="s">
        <v>2053</v>
      </c>
      <c r="G1097" t="s">
        <v>842</v>
      </c>
      <c r="H1097" t="s">
        <v>1629</v>
      </c>
      <c r="I1097" t="str">
        <f t="shared" si="189"/>
        <v>Miss. O'Sullivan Bridget</v>
      </c>
      <c r="J1097" t="s">
        <v>47</v>
      </c>
      <c r="K1097" t="str">
        <f t="shared" si="190"/>
        <v>Female</v>
      </c>
      <c r="L1097">
        <v>28</v>
      </c>
      <c r="O1097">
        <f t="shared" si="191"/>
        <v>28</v>
      </c>
      <c r="P1097">
        <v>0</v>
      </c>
      <c r="R1097" s="4">
        <v>0</v>
      </c>
      <c r="T1097" s="5">
        <v>7.6292</v>
      </c>
      <c r="W1097" s="4">
        <v>28</v>
      </c>
      <c r="X1097" s="4" t="str">
        <f t="shared" si="192"/>
        <v>Young Adult</v>
      </c>
      <c r="Y1097" s="4" t="s">
        <v>3561</v>
      </c>
      <c r="AB1097" s="4" t="str">
        <f t="shared" si="193"/>
        <v/>
      </c>
      <c r="AC1097" s="4" t="str">
        <f t="shared" si="194"/>
        <v>Unknown</v>
      </c>
      <c r="AD1097" s="4" t="s">
        <v>3567</v>
      </c>
      <c r="AG1097" s="4" t="str">
        <f t="shared" si="195"/>
        <v>Not Applicable</v>
      </c>
      <c r="AK1097" s="4" t="s">
        <v>3573</v>
      </c>
      <c r="AL1097" s="4" t="str">
        <f t="shared" si="196"/>
        <v>Found</v>
      </c>
      <c r="AN1097" s="6">
        <v>7.6292</v>
      </c>
      <c r="AO1097" s="4" t="str">
        <f t="shared" si="197"/>
        <v>Low</v>
      </c>
    </row>
    <row r="1098" spans="1:41">
      <c r="A1098">
        <v>3</v>
      </c>
      <c r="B1098" t="str">
        <f t="shared" si="187"/>
        <v>Third Class</v>
      </c>
      <c r="C1098">
        <v>0</v>
      </c>
      <c r="E1098" t="str">
        <f t="shared" si="188"/>
        <v>Died</v>
      </c>
      <c r="F1098" t="s">
        <v>2054</v>
      </c>
      <c r="G1098" t="s">
        <v>845</v>
      </c>
      <c r="H1098" t="s">
        <v>2055</v>
      </c>
      <c r="I1098" t="str">
        <f t="shared" si="189"/>
        <v>Master. Palsson Gosta</v>
      </c>
      <c r="J1098" t="s">
        <v>20</v>
      </c>
      <c r="K1098" t="str">
        <f t="shared" si="190"/>
        <v>Male</v>
      </c>
      <c r="L1098">
        <v>2</v>
      </c>
      <c r="O1098">
        <f t="shared" si="191"/>
        <v>2</v>
      </c>
      <c r="P1098">
        <v>3</v>
      </c>
      <c r="R1098" s="4">
        <v>1</v>
      </c>
      <c r="T1098" s="5">
        <v>21.074999999999999</v>
      </c>
      <c r="W1098" s="4">
        <v>2</v>
      </c>
      <c r="X1098" s="4" t="str">
        <f t="shared" si="192"/>
        <v>Child</v>
      </c>
      <c r="Y1098" s="4" t="s">
        <v>3561</v>
      </c>
      <c r="AB1098" s="4" t="str">
        <f t="shared" si="193"/>
        <v/>
      </c>
      <c r="AC1098" s="4" t="str">
        <f t="shared" si="194"/>
        <v>Unknown</v>
      </c>
      <c r="AD1098" s="4" t="s">
        <v>457</v>
      </c>
      <c r="AG1098" s="4" t="str">
        <f t="shared" si="195"/>
        <v>Not Applicable</v>
      </c>
      <c r="AH1098" s="4">
        <v>4</v>
      </c>
      <c r="AK1098" s="4">
        <v>4</v>
      </c>
      <c r="AL1098" s="4" t="str">
        <f t="shared" si="196"/>
        <v>Found</v>
      </c>
      <c r="AN1098" s="6">
        <v>21.074999999999999</v>
      </c>
      <c r="AO1098" s="4" t="str">
        <f t="shared" si="197"/>
        <v>Mid</v>
      </c>
    </row>
    <row r="1099" spans="1:41">
      <c r="A1099">
        <v>3</v>
      </c>
      <c r="B1099" t="str">
        <f t="shared" si="187"/>
        <v>Third Class</v>
      </c>
      <c r="C1099">
        <v>0</v>
      </c>
      <c r="E1099" t="str">
        <f t="shared" si="188"/>
        <v>Died</v>
      </c>
      <c r="F1099" t="s">
        <v>2054</v>
      </c>
      <c r="G1099" t="s">
        <v>845</v>
      </c>
      <c r="H1099" t="s">
        <v>963</v>
      </c>
      <c r="I1099" t="str">
        <f t="shared" si="189"/>
        <v>Master. Palsson Paul</v>
      </c>
      <c r="J1099" t="s">
        <v>20</v>
      </c>
      <c r="K1099" t="str">
        <f t="shared" si="190"/>
        <v>Male</v>
      </c>
      <c r="L1099">
        <v>6</v>
      </c>
      <c r="O1099">
        <f t="shared" si="191"/>
        <v>6</v>
      </c>
      <c r="P1099">
        <v>3</v>
      </c>
      <c r="R1099" s="4">
        <v>1</v>
      </c>
      <c r="T1099" s="5">
        <v>21.074999999999999</v>
      </c>
      <c r="W1099" s="4">
        <v>6</v>
      </c>
      <c r="X1099" s="4" t="str">
        <f t="shared" si="192"/>
        <v>Child</v>
      </c>
      <c r="Y1099" s="4" t="s">
        <v>3561</v>
      </c>
      <c r="AB1099" s="4" t="str">
        <f t="shared" si="193"/>
        <v/>
      </c>
      <c r="AC1099" s="4" t="str">
        <f t="shared" si="194"/>
        <v>Unknown</v>
      </c>
      <c r="AD1099" s="4" t="s">
        <v>457</v>
      </c>
      <c r="AG1099" s="4" t="str">
        <f t="shared" si="195"/>
        <v>Not Applicable</v>
      </c>
      <c r="AK1099" s="4" t="s">
        <v>3573</v>
      </c>
      <c r="AL1099" s="4" t="str">
        <f t="shared" si="196"/>
        <v>Found</v>
      </c>
      <c r="AN1099" s="6">
        <v>21.074999999999999</v>
      </c>
      <c r="AO1099" s="4" t="str">
        <f t="shared" si="197"/>
        <v>Mid</v>
      </c>
    </row>
    <row r="1100" spans="1:41">
      <c r="A1100">
        <v>3</v>
      </c>
      <c r="B1100" t="str">
        <f t="shared" si="187"/>
        <v>Third Class</v>
      </c>
      <c r="C1100">
        <v>0</v>
      </c>
      <c r="E1100" t="str">
        <f t="shared" si="188"/>
        <v>Died</v>
      </c>
      <c r="F1100" t="s">
        <v>2054</v>
      </c>
      <c r="G1100" t="s">
        <v>842</v>
      </c>
      <c r="H1100" t="s">
        <v>2056</v>
      </c>
      <c r="I1100" t="str">
        <f t="shared" si="189"/>
        <v>Miss. Palsson Stina</v>
      </c>
      <c r="J1100" t="s">
        <v>47</v>
      </c>
      <c r="K1100" t="str">
        <f t="shared" si="190"/>
        <v>Female</v>
      </c>
      <c r="L1100">
        <v>3</v>
      </c>
      <c r="O1100">
        <f t="shared" si="191"/>
        <v>3</v>
      </c>
      <c r="P1100">
        <v>3</v>
      </c>
      <c r="R1100" s="4">
        <v>1</v>
      </c>
      <c r="T1100" s="5">
        <v>21.074999999999999</v>
      </c>
      <c r="W1100" s="4">
        <v>3</v>
      </c>
      <c r="X1100" s="4" t="str">
        <f t="shared" si="192"/>
        <v>Child</v>
      </c>
      <c r="Y1100" s="4" t="s">
        <v>3561</v>
      </c>
      <c r="AB1100" s="4" t="str">
        <f t="shared" si="193"/>
        <v/>
      </c>
      <c r="AC1100" s="4" t="str">
        <f t="shared" si="194"/>
        <v>Unknown</v>
      </c>
      <c r="AD1100" s="4" t="s">
        <v>457</v>
      </c>
      <c r="AG1100" s="4" t="str">
        <f t="shared" si="195"/>
        <v>Not Applicable</v>
      </c>
      <c r="AK1100" s="4" t="s">
        <v>3573</v>
      </c>
      <c r="AL1100" s="4" t="str">
        <f t="shared" si="196"/>
        <v>Found</v>
      </c>
      <c r="AN1100" s="6">
        <v>21.074999999999999</v>
      </c>
      <c r="AO1100" s="4" t="str">
        <f t="shared" si="197"/>
        <v>Mid</v>
      </c>
    </row>
    <row r="1101" spans="1:41">
      <c r="A1101">
        <v>3</v>
      </c>
      <c r="B1101" t="str">
        <f t="shared" si="187"/>
        <v>Third Class</v>
      </c>
      <c r="C1101">
        <v>0</v>
      </c>
      <c r="E1101" t="str">
        <f t="shared" si="188"/>
        <v>Died</v>
      </c>
      <c r="F1101" t="s">
        <v>2054</v>
      </c>
      <c r="G1101" t="s">
        <v>842</v>
      </c>
      <c r="H1101" t="s">
        <v>2057</v>
      </c>
      <c r="I1101" t="str">
        <f t="shared" si="189"/>
        <v>Miss. Palsson Torborg</v>
      </c>
      <c r="J1101" t="s">
        <v>47</v>
      </c>
      <c r="K1101" t="str">
        <f t="shared" si="190"/>
        <v>Female</v>
      </c>
      <c r="L1101">
        <v>8</v>
      </c>
      <c r="O1101">
        <f t="shared" si="191"/>
        <v>8</v>
      </c>
      <c r="P1101">
        <v>3</v>
      </c>
      <c r="R1101" s="4">
        <v>1</v>
      </c>
      <c r="T1101" s="5">
        <v>21.074999999999999</v>
      </c>
      <c r="W1101" s="4">
        <v>8</v>
      </c>
      <c r="X1101" s="4" t="str">
        <f t="shared" si="192"/>
        <v>Child</v>
      </c>
      <c r="Y1101" s="4" t="s">
        <v>3561</v>
      </c>
      <c r="AB1101" s="4" t="str">
        <f t="shared" si="193"/>
        <v/>
      </c>
      <c r="AC1101" s="4" t="str">
        <f t="shared" si="194"/>
        <v>Unknown</v>
      </c>
      <c r="AD1101" s="4" t="s">
        <v>457</v>
      </c>
      <c r="AG1101" s="4" t="str">
        <f t="shared" si="195"/>
        <v>Not Applicable</v>
      </c>
      <c r="AK1101" s="4" t="s">
        <v>3573</v>
      </c>
      <c r="AL1101" s="4" t="str">
        <f t="shared" si="196"/>
        <v>Found</v>
      </c>
      <c r="AN1101" s="6">
        <v>21.074999999999999</v>
      </c>
      <c r="AO1101" s="4" t="str">
        <f t="shared" si="197"/>
        <v>Mid</v>
      </c>
    </row>
    <row r="1102" spans="1:41">
      <c r="A1102">
        <v>3</v>
      </c>
      <c r="B1102" t="str">
        <f t="shared" si="187"/>
        <v>Third Class</v>
      </c>
      <c r="C1102">
        <v>0</v>
      </c>
      <c r="E1102" t="str">
        <f t="shared" si="188"/>
        <v>Died</v>
      </c>
      <c r="F1102" t="s">
        <v>2054</v>
      </c>
      <c r="G1102" t="s">
        <v>849</v>
      </c>
      <c r="H1102" t="s">
        <v>1546</v>
      </c>
      <c r="I1102" t="str">
        <f t="shared" si="189"/>
        <v>Mrs. Palsson Nils</v>
      </c>
      <c r="J1102" t="s">
        <v>47</v>
      </c>
      <c r="K1102" t="str">
        <f t="shared" si="190"/>
        <v>Female</v>
      </c>
      <c r="L1102">
        <v>29</v>
      </c>
      <c r="O1102">
        <f t="shared" si="191"/>
        <v>29</v>
      </c>
      <c r="P1102">
        <v>0</v>
      </c>
      <c r="R1102" s="4">
        <v>4</v>
      </c>
      <c r="T1102" s="5">
        <v>21.074999999999999</v>
      </c>
      <c r="W1102" s="4">
        <v>29</v>
      </c>
      <c r="X1102" s="4" t="str">
        <f t="shared" si="192"/>
        <v>Young Adult</v>
      </c>
      <c r="Y1102" s="4" t="s">
        <v>3561</v>
      </c>
      <c r="AB1102" s="4" t="str">
        <f t="shared" si="193"/>
        <v/>
      </c>
      <c r="AC1102" s="4" t="str">
        <f t="shared" si="194"/>
        <v>Unknown</v>
      </c>
      <c r="AD1102" s="4" t="s">
        <v>457</v>
      </c>
      <c r="AG1102" s="4" t="str">
        <f t="shared" si="195"/>
        <v>Not Applicable</v>
      </c>
      <c r="AH1102" s="4">
        <v>206</v>
      </c>
      <c r="AK1102" s="4">
        <v>206</v>
      </c>
      <c r="AL1102" s="4" t="str">
        <f t="shared" si="196"/>
        <v>Found</v>
      </c>
      <c r="AN1102" s="6">
        <v>21.074999999999999</v>
      </c>
      <c r="AO1102" s="4" t="str">
        <f t="shared" si="197"/>
        <v>Mid</v>
      </c>
    </row>
    <row r="1103" spans="1:41">
      <c r="A1103">
        <v>3</v>
      </c>
      <c r="B1103" t="str">
        <f t="shared" si="187"/>
        <v>Third Class</v>
      </c>
      <c r="C1103">
        <v>0</v>
      </c>
      <c r="E1103" t="str">
        <f t="shared" si="188"/>
        <v>Died</v>
      </c>
      <c r="F1103" t="s">
        <v>2058</v>
      </c>
      <c r="G1103" t="s">
        <v>845</v>
      </c>
      <c r="H1103" t="s">
        <v>1908</v>
      </c>
      <c r="I1103" t="str">
        <f t="shared" si="189"/>
        <v>Master. Panula Eino</v>
      </c>
      <c r="J1103" t="s">
        <v>20</v>
      </c>
      <c r="K1103" t="str">
        <f t="shared" si="190"/>
        <v>Male</v>
      </c>
      <c r="L1103">
        <v>1</v>
      </c>
      <c r="O1103">
        <f t="shared" si="191"/>
        <v>1</v>
      </c>
      <c r="P1103">
        <v>4</v>
      </c>
      <c r="R1103" s="4">
        <v>1</v>
      </c>
      <c r="T1103" s="5">
        <v>39.6875</v>
      </c>
      <c r="W1103" s="4">
        <v>1</v>
      </c>
      <c r="X1103" s="4" t="str">
        <f t="shared" si="192"/>
        <v>Child</v>
      </c>
      <c r="Y1103" s="4" t="s">
        <v>3561</v>
      </c>
      <c r="AB1103" s="4" t="str">
        <f t="shared" si="193"/>
        <v/>
      </c>
      <c r="AC1103" s="4" t="str">
        <f t="shared" si="194"/>
        <v>Unknown</v>
      </c>
      <c r="AD1103" s="4" t="s">
        <v>457</v>
      </c>
      <c r="AG1103" s="4" t="str">
        <f t="shared" si="195"/>
        <v>Not Applicable</v>
      </c>
      <c r="AK1103" s="4" t="s">
        <v>3573</v>
      </c>
      <c r="AL1103" s="4" t="str">
        <f t="shared" si="196"/>
        <v>Found</v>
      </c>
      <c r="AN1103" s="6">
        <v>39.6875</v>
      </c>
      <c r="AO1103" s="4" t="str">
        <f t="shared" si="197"/>
        <v>Mid</v>
      </c>
    </row>
    <row r="1104" spans="1:41">
      <c r="A1104">
        <v>3</v>
      </c>
      <c r="B1104" t="str">
        <f t="shared" si="187"/>
        <v>Third Class</v>
      </c>
      <c r="C1104">
        <v>0</v>
      </c>
      <c r="E1104" t="str">
        <f t="shared" si="188"/>
        <v>Died</v>
      </c>
      <c r="F1104" t="s">
        <v>2058</v>
      </c>
      <c r="G1104" t="s">
        <v>845</v>
      </c>
      <c r="H1104" t="s">
        <v>2022</v>
      </c>
      <c r="I1104" t="str">
        <f t="shared" si="189"/>
        <v>Master. Panula Juha</v>
      </c>
      <c r="J1104" t="s">
        <v>20</v>
      </c>
      <c r="K1104" t="str">
        <f t="shared" si="190"/>
        <v>Male</v>
      </c>
      <c r="L1104">
        <v>7</v>
      </c>
      <c r="O1104">
        <f t="shared" si="191"/>
        <v>7</v>
      </c>
      <c r="P1104">
        <v>4</v>
      </c>
      <c r="R1104" s="4">
        <v>1</v>
      </c>
      <c r="T1104" s="5">
        <v>39.6875</v>
      </c>
      <c r="W1104" s="4">
        <v>7</v>
      </c>
      <c r="X1104" s="4" t="str">
        <f t="shared" si="192"/>
        <v>Child</v>
      </c>
      <c r="Y1104" s="4" t="s">
        <v>3561</v>
      </c>
      <c r="AB1104" s="4" t="str">
        <f t="shared" si="193"/>
        <v/>
      </c>
      <c r="AC1104" s="4" t="str">
        <f t="shared" si="194"/>
        <v>Unknown</v>
      </c>
      <c r="AD1104" s="4" t="s">
        <v>457</v>
      </c>
      <c r="AG1104" s="4" t="str">
        <f t="shared" si="195"/>
        <v>Not Applicable</v>
      </c>
      <c r="AK1104" s="4" t="s">
        <v>3573</v>
      </c>
      <c r="AL1104" s="4" t="str">
        <f t="shared" si="196"/>
        <v>Found</v>
      </c>
      <c r="AN1104" s="6">
        <v>39.6875</v>
      </c>
      <c r="AO1104" s="4" t="str">
        <f t="shared" si="197"/>
        <v>Mid</v>
      </c>
    </row>
    <row r="1105" spans="1:41">
      <c r="A1105">
        <v>3</v>
      </c>
      <c r="B1105" t="str">
        <f t="shared" si="187"/>
        <v>Third Class</v>
      </c>
      <c r="C1105">
        <v>0</v>
      </c>
      <c r="E1105" t="str">
        <f t="shared" si="188"/>
        <v>Died</v>
      </c>
      <c r="F1105" t="s">
        <v>2058</v>
      </c>
      <c r="G1105" t="s">
        <v>845</v>
      </c>
      <c r="H1105" t="s">
        <v>2059</v>
      </c>
      <c r="I1105" t="str">
        <f t="shared" si="189"/>
        <v>Master. Panula Urho</v>
      </c>
      <c r="J1105" t="s">
        <v>20</v>
      </c>
      <c r="K1105" t="str">
        <f t="shared" si="190"/>
        <v>Male</v>
      </c>
      <c r="L1105">
        <v>2</v>
      </c>
      <c r="O1105">
        <f t="shared" si="191"/>
        <v>2</v>
      </c>
      <c r="P1105">
        <v>4</v>
      </c>
      <c r="R1105" s="4">
        <v>1</v>
      </c>
      <c r="T1105" s="5">
        <v>39.6875</v>
      </c>
      <c r="W1105" s="4">
        <v>2</v>
      </c>
      <c r="X1105" s="4" t="str">
        <f t="shared" si="192"/>
        <v>Child</v>
      </c>
      <c r="Y1105" s="4" t="s">
        <v>3561</v>
      </c>
      <c r="AB1105" s="4" t="str">
        <f t="shared" si="193"/>
        <v/>
      </c>
      <c r="AC1105" s="4" t="str">
        <f t="shared" si="194"/>
        <v>Unknown</v>
      </c>
      <c r="AD1105" s="4" t="s">
        <v>457</v>
      </c>
      <c r="AG1105" s="4" t="str">
        <f t="shared" si="195"/>
        <v>Not Applicable</v>
      </c>
      <c r="AK1105" s="4" t="s">
        <v>3573</v>
      </c>
      <c r="AL1105" s="4" t="str">
        <f t="shared" si="196"/>
        <v>Found</v>
      </c>
      <c r="AN1105" s="6">
        <v>39.6875</v>
      </c>
      <c r="AO1105" s="4" t="str">
        <f t="shared" si="197"/>
        <v>Mid</v>
      </c>
    </row>
    <row r="1106" spans="1:41">
      <c r="A1106">
        <v>3</v>
      </c>
      <c r="B1106" t="str">
        <f t="shared" si="187"/>
        <v>Third Class</v>
      </c>
      <c r="C1106">
        <v>0</v>
      </c>
      <c r="E1106" t="str">
        <f t="shared" si="188"/>
        <v>Died</v>
      </c>
      <c r="F1106" t="s">
        <v>2058</v>
      </c>
      <c r="G1106" t="s">
        <v>848</v>
      </c>
      <c r="H1106" t="s">
        <v>2060</v>
      </c>
      <c r="I1106" t="str">
        <f t="shared" si="189"/>
        <v>Mr. Panula Ernesti</v>
      </c>
      <c r="J1106" t="s">
        <v>20</v>
      </c>
      <c r="K1106" t="str">
        <f t="shared" si="190"/>
        <v>Male</v>
      </c>
      <c r="L1106">
        <v>16</v>
      </c>
      <c r="O1106">
        <f t="shared" si="191"/>
        <v>16</v>
      </c>
      <c r="P1106">
        <v>4</v>
      </c>
      <c r="R1106" s="4">
        <v>1</v>
      </c>
      <c r="T1106" s="5">
        <v>39.6875</v>
      </c>
      <c r="W1106" s="4">
        <v>16</v>
      </c>
      <c r="X1106" s="4" t="str">
        <f t="shared" si="192"/>
        <v>Teenager</v>
      </c>
      <c r="Y1106" s="4" t="s">
        <v>3561</v>
      </c>
      <c r="AB1106" s="4" t="str">
        <f t="shared" si="193"/>
        <v/>
      </c>
      <c r="AC1106" s="4" t="str">
        <f t="shared" si="194"/>
        <v>Unknown</v>
      </c>
      <c r="AD1106" s="4" t="s">
        <v>457</v>
      </c>
      <c r="AG1106" s="4" t="str">
        <f t="shared" si="195"/>
        <v>Not Applicable</v>
      </c>
      <c r="AK1106" s="4" t="s">
        <v>3573</v>
      </c>
      <c r="AL1106" s="4" t="str">
        <f t="shared" si="196"/>
        <v>Found</v>
      </c>
      <c r="AN1106" s="6">
        <v>39.6875</v>
      </c>
      <c r="AO1106" s="4" t="str">
        <f t="shared" si="197"/>
        <v>Mid</v>
      </c>
    </row>
    <row r="1107" spans="1:41">
      <c r="A1107">
        <v>3</v>
      </c>
      <c r="B1107" t="str">
        <f t="shared" si="187"/>
        <v>Third Class</v>
      </c>
      <c r="C1107">
        <v>0</v>
      </c>
      <c r="E1107" t="str">
        <f t="shared" si="188"/>
        <v>Died</v>
      </c>
      <c r="F1107" t="s">
        <v>2058</v>
      </c>
      <c r="G1107" t="s">
        <v>848</v>
      </c>
      <c r="H1107" t="s">
        <v>2061</v>
      </c>
      <c r="I1107" t="str">
        <f t="shared" si="189"/>
        <v>Mr. Panula Jaako</v>
      </c>
      <c r="J1107" t="s">
        <v>20</v>
      </c>
      <c r="K1107" t="str">
        <f t="shared" si="190"/>
        <v>Male</v>
      </c>
      <c r="L1107">
        <v>14</v>
      </c>
      <c r="O1107">
        <f t="shared" si="191"/>
        <v>14</v>
      </c>
      <c r="P1107">
        <v>4</v>
      </c>
      <c r="R1107" s="4">
        <v>1</v>
      </c>
      <c r="T1107" s="5">
        <v>39.6875</v>
      </c>
      <c r="W1107" s="4">
        <v>14</v>
      </c>
      <c r="X1107" s="4" t="str">
        <f t="shared" si="192"/>
        <v>Teenager</v>
      </c>
      <c r="Y1107" s="4" t="s">
        <v>3561</v>
      </c>
      <c r="AB1107" s="4" t="str">
        <f t="shared" si="193"/>
        <v/>
      </c>
      <c r="AC1107" s="4" t="str">
        <f t="shared" si="194"/>
        <v>Unknown</v>
      </c>
      <c r="AD1107" s="4" t="s">
        <v>457</v>
      </c>
      <c r="AG1107" s="4" t="str">
        <f t="shared" si="195"/>
        <v>Not Applicable</v>
      </c>
      <c r="AK1107" s="4" t="s">
        <v>3573</v>
      </c>
      <c r="AL1107" s="4" t="str">
        <f t="shared" si="196"/>
        <v>Found</v>
      </c>
      <c r="AN1107" s="6">
        <v>39.6875</v>
      </c>
      <c r="AO1107" s="4" t="str">
        <f t="shared" si="197"/>
        <v>Mid</v>
      </c>
    </row>
    <row r="1108" spans="1:41">
      <c r="A1108">
        <v>3</v>
      </c>
      <c r="B1108" t="str">
        <f t="shared" si="187"/>
        <v>Third Class</v>
      </c>
      <c r="C1108">
        <v>0</v>
      </c>
      <c r="E1108" t="str">
        <f t="shared" si="188"/>
        <v>Died</v>
      </c>
      <c r="F1108" t="s">
        <v>2058</v>
      </c>
      <c r="G1108" t="s">
        <v>849</v>
      </c>
      <c r="H1108" t="s">
        <v>2022</v>
      </c>
      <c r="I1108" t="str">
        <f t="shared" si="189"/>
        <v>Mrs. Panula Juha</v>
      </c>
      <c r="J1108" t="s">
        <v>47</v>
      </c>
      <c r="K1108" t="str">
        <f t="shared" si="190"/>
        <v>Female</v>
      </c>
      <c r="L1108">
        <v>41</v>
      </c>
      <c r="O1108">
        <f t="shared" si="191"/>
        <v>41</v>
      </c>
      <c r="P1108">
        <v>0</v>
      </c>
      <c r="R1108" s="4">
        <v>5</v>
      </c>
      <c r="T1108" s="5">
        <v>39.6875</v>
      </c>
      <c r="W1108" s="4">
        <v>41</v>
      </c>
      <c r="X1108" s="4" t="str">
        <f t="shared" si="192"/>
        <v>Adult</v>
      </c>
      <c r="Y1108" s="4" t="s">
        <v>3561</v>
      </c>
      <c r="AB1108" s="4" t="str">
        <f t="shared" si="193"/>
        <v/>
      </c>
      <c r="AC1108" s="4" t="str">
        <f t="shared" si="194"/>
        <v>Unknown</v>
      </c>
      <c r="AD1108" s="4" t="s">
        <v>457</v>
      </c>
      <c r="AG1108" s="4" t="str">
        <f t="shared" si="195"/>
        <v>Not Applicable</v>
      </c>
      <c r="AK1108" s="4" t="s">
        <v>3573</v>
      </c>
      <c r="AL1108" s="4" t="str">
        <f t="shared" si="196"/>
        <v>Found</v>
      </c>
      <c r="AN1108" s="6">
        <v>39.6875</v>
      </c>
      <c r="AO1108" s="4" t="str">
        <f t="shared" si="197"/>
        <v>Mid</v>
      </c>
    </row>
    <row r="1109" spans="1:41">
      <c r="A1109">
        <v>3</v>
      </c>
      <c r="B1109" t="str">
        <f t="shared" si="187"/>
        <v>Third Class</v>
      </c>
      <c r="C1109">
        <v>0</v>
      </c>
      <c r="E1109" t="str">
        <f t="shared" si="188"/>
        <v>Died</v>
      </c>
      <c r="F1109" t="s">
        <v>2062</v>
      </c>
      <c r="G1109" t="s">
        <v>848</v>
      </c>
      <c r="H1109" t="s">
        <v>892</v>
      </c>
      <c r="I1109" t="str">
        <f t="shared" si="189"/>
        <v>Mr. Pasic Jakob</v>
      </c>
      <c r="J1109" t="s">
        <v>20</v>
      </c>
      <c r="K1109" t="str">
        <f t="shared" si="190"/>
        <v>Male</v>
      </c>
      <c r="L1109">
        <v>21</v>
      </c>
      <c r="O1109">
        <f t="shared" si="191"/>
        <v>21</v>
      </c>
      <c r="P1109">
        <v>0</v>
      </c>
      <c r="R1109" s="4">
        <v>0</v>
      </c>
      <c r="T1109" s="5">
        <v>8.6624999999999996</v>
      </c>
      <c r="W1109" s="4">
        <v>21</v>
      </c>
      <c r="X1109" s="4" t="str">
        <f t="shared" si="192"/>
        <v>Young Adult</v>
      </c>
      <c r="Y1109" s="4" t="s">
        <v>3561</v>
      </c>
      <c r="AB1109" s="4" t="str">
        <f t="shared" si="193"/>
        <v/>
      </c>
      <c r="AC1109" s="4" t="str">
        <f t="shared" si="194"/>
        <v>Unknown</v>
      </c>
      <c r="AD1109" s="4" t="s">
        <v>457</v>
      </c>
      <c r="AG1109" s="4" t="str">
        <f t="shared" si="195"/>
        <v>Not Applicable</v>
      </c>
      <c r="AK1109" s="4" t="s">
        <v>3573</v>
      </c>
      <c r="AL1109" s="4" t="str">
        <f t="shared" si="196"/>
        <v>Found</v>
      </c>
      <c r="AN1109" s="6">
        <v>8.6624999999999996</v>
      </c>
      <c r="AO1109" s="4" t="str">
        <f t="shared" si="197"/>
        <v>Low</v>
      </c>
    </row>
    <row r="1110" spans="1:41">
      <c r="A1110">
        <v>3</v>
      </c>
      <c r="B1110" t="str">
        <f t="shared" si="187"/>
        <v>Third Class</v>
      </c>
      <c r="C1110">
        <v>0</v>
      </c>
      <c r="E1110" t="str">
        <f t="shared" si="188"/>
        <v>Died</v>
      </c>
      <c r="F1110" t="s">
        <v>2063</v>
      </c>
      <c r="G1110" t="s">
        <v>848</v>
      </c>
      <c r="H1110" t="s">
        <v>912</v>
      </c>
      <c r="I1110" t="str">
        <f t="shared" si="189"/>
        <v>Mr. Patchett George</v>
      </c>
      <c r="J1110" t="s">
        <v>20</v>
      </c>
      <c r="K1110" t="str">
        <f t="shared" si="190"/>
        <v>Male</v>
      </c>
      <c r="L1110">
        <v>19</v>
      </c>
      <c r="O1110">
        <f t="shared" si="191"/>
        <v>19</v>
      </c>
      <c r="P1110">
        <v>0</v>
      </c>
      <c r="R1110" s="4">
        <v>0</v>
      </c>
      <c r="T1110" s="5">
        <v>14.5</v>
      </c>
      <c r="W1110" s="4">
        <v>19</v>
      </c>
      <c r="X1110" s="4" t="str">
        <f t="shared" si="192"/>
        <v>Young Adult</v>
      </c>
      <c r="Y1110" s="4" t="s">
        <v>3561</v>
      </c>
      <c r="AB1110" s="4" t="str">
        <f t="shared" si="193"/>
        <v/>
      </c>
      <c r="AC1110" s="4" t="str">
        <f t="shared" si="194"/>
        <v>Unknown</v>
      </c>
      <c r="AD1110" s="4" t="s">
        <v>457</v>
      </c>
      <c r="AG1110" s="4" t="str">
        <f t="shared" si="195"/>
        <v>Not Applicable</v>
      </c>
      <c r="AK1110" s="4" t="s">
        <v>3573</v>
      </c>
      <c r="AL1110" s="4" t="str">
        <f t="shared" si="196"/>
        <v>Found</v>
      </c>
      <c r="AN1110" s="6">
        <v>14.5</v>
      </c>
      <c r="AO1110" s="4" t="str">
        <f t="shared" si="197"/>
        <v>Mid</v>
      </c>
    </row>
    <row r="1111" spans="1:41">
      <c r="A1111">
        <v>3</v>
      </c>
      <c r="B1111" t="str">
        <f t="shared" si="187"/>
        <v>Third Class</v>
      </c>
      <c r="C1111">
        <v>0</v>
      </c>
      <c r="E1111" t="str">
        <f t="shared" si="188"/>
        <v>Died</v>
      </c>
      <c r="F1111" t="s">
        <v>2064</v>
      </c>
      <c r="G1111" t="s">
        <v>848</v>
      </c>
      <c r="H1111" t="s">
        <v>2065</v>
      </c>
      <c r="I1111" t="str">
        <f t="shared" si="189"/>
        <v>Mr. Paulner Uscher</v>
      </c>
      <c r="J1111" t="s">
        <v>20</v>
      </c>
      <c r="K1111" t="str">
        <f t="shared" si="190"/>
        <v>Male</v>
      </c>
      <c r="L1111">
        <v>28</v>
      </c>
      <c r="O1111">
        <f t="shared" si="191"/>
        <v>28</v>
      </c>
      <c r="P1111">
        <v>0</v>
      </c>
      <c r="R1111" s="4">
        <v>0</v>
      </c>
      <c r="T1111" s="5">
        <v>8.7125000000000004</v>
      </c>
      <c r="W1111" s="4">
        <v>28</v>
      </c>
      <c r="X1111" s="4" t="str">
        <f t="shared" si="192"/>
        <v>Young Adult</v>
      </c>
      <c r="Y1111" s="4" t="s">
        <v>3561</v>
      </c>
      <c r="AB1111" s="4" t="str">
        <f t="shared" si="193"/>
        <v/>
      </c>
      <c r="AC1111" s="4" t="str">
        <f t="shared" si="194"/>
        <v>Unknown</v>
      </c>
      <c r="AD1111" s="4" t="s">
        <v>3566</v>
      </c>
      <c r="AG1111" s="4" t="str">
        <f t="shared" si="195"/>
        <v>Not Applicable</v>
      </c>
      <c r="AK1111" s="4" t="s">
        <v>3573</v>
      </c>
      <c r="AL1111" s="4" t="str">
        <f t="shared" si="196"/>
        <v>Found</v>
      </c>
      <c r="AN1111" s="6">
        <v>8.7125000000000004</v>
      </c>
      <c r="AO1111" s="4" t="str">
        <f t="shared" si="197"/>
        <v>Low</v>
      </c>
    </row>
    <row r="1112" spans="1:41">
      <c r="A1112">
        <v>3</v>
      </c>
      <c r="B1112" t="str">
        <f t="shared" si="187"/>
        <v>Third Class</v>
      </c>
      <c r="C1112">
        <v>0</v>
      </c>
      <c r="E1112" t="str">
        <f t="shared" si="188"/>
        <v>Died</v>
      </c>
      <c r="F1112" t="s">
        <v>2066</v>
      </c>
      <c r="G1112" t="s">
        <v>848</v>
      </c>
      <c r="H1112" t="s">
        <v>2067</v>
      </c>
      <c r="I1112" t="str">
        <f t="shared" si="189"/>
        <v>Mr. Pavlovic Stefo</v>
      </c>
      <c r="J1112" t="s">
        <v>20</v>
      </c>
      <c r="K1112" t="str">
        <f t="shared" si="190"/>
        <v>Male</v>
      </c>
      <c r="L1112">
        <v>32</v>
      </c>
      <c r="O1112">
        <f t="shared" si="191"/>
        <v>32</v>
      </c>
      <c r="P1112">
        <v>0</v>
      </c>
      <c r="R1112" s="4">
        <v>0</v>
      </c>
      <c r="T1112" s="5">
        <v>7.8958000000000004</v>
      </c>
      <c r="W1112" s="4">
        <v>32</v>
      </c>
      <c r="X1112" s="4" t="str">
        <f t="shared" si="192"/>
        <v>Adult</v>
      </c>
      <c r="Y1112" s="4" t="s">
        <v>3561</v>
      </c>
      <c r="AB1112" s="4" t="str">
        <f t="shared" si="193"/>
        <v/>
      </c>
      <c r="AC1112" s="4" t="str">
        <f t="shared" si="194"/>
        <v>Unknown</v>
      </c>
      <c r="AD1112" s="4" t="s">
        <v>457</v>
      </c>
      <c r="AG1112" s="4" t="str">
        <f t="shared" si="195"/>
        <v>Not Applicable</v>
      </c>
      <c r="AK1112" s="4" t="s">
        <v>3573</v>
      </c>
      <c r="AL1112" s="4" t="str">
        <f t="shared" si="196"/>
        <v>Found</v>
      </c>
      <c r="AN1112" s="6">
        <v>7.8958000000000004</v>
      </c>
      <c r="AO1112" s="4" t="str">
        <f t="shared" si="197"/>
        <v>Low</v>
      </c>
    </row>
    <row r="1113" spans="1:41">
      <c r="A1113">
        <v>3</v>
      </c>
      <c r="B1113" t="str">
        <f t="shared" si="187"/>
        <v>Third Class</v>
      </c>
      <c r="C1113">
        <v>0</v>
      </c>
      <c r="E1113" t="str">
        <f t="shared" si="188"/>
        <v>Died</v>
      </c>
      <c r="F1113" t="s">
        <v>2068</v>
      </c>
      <c r="G1113" t="s">
        <v>845</v>
      </c>
      <c r="H1113" t="s">
        <v>1015</v>
      </c>
      <c r="I1113" t="str">
        <f t="shared" si="189"/>
        <v>Master. Peacock Alfred</v>
      </c>
      <c r="J1113" t="s">
        <v>20</v>
      </c>
      <c r="K1113" t="str">
        <f t="shared" si="190"/>
        <v>Male</v>
      </c>
      <c r="L1113">
        <v>0.75</v>
      </c>
      <c r="O1113">
        <f t="shared" si="191"/>
        <v>1</v>
      </c>
      <c r="P1113">
        <v>1</v>
      </c>
      <c r="R1113" s="4">
        <v>1</v>
      </c>
      <c r="T1113" s="5">
        <v>13.775</v>
      </c>
      <c r="W1113" s="4">
        <v>1</v>
      </c>
      <c r="X1113" s="4" t="str">
        <f t="shared" si="192"/>
        <v>Child</v>
      </c>
      <c r="Y1113" s="4" t="s">
        <v>3561</v>
      </c>
      <c r="AB1113" s="4" t="str">
        <f t="shared" si="193"/>
        <v/>
      </c>
      <c r="AC1113" s="4" t="str">
        <f t="shared" si="194"/>
        <v>Unknown</v>
      </c>
      <c r="AD1113" s="4" t="s">
        <v>457</v>
      </c>
      <c r="AG1113" s="4" t="str">
        <f t="shared" si="195"/>
        <v>Not Applicable</v>
      </c>
      <c r="AK1113" s="4" t="s">
        <v>3573</v>
      </c>
      <c r="AL1113" s="4" t="str">
        <f t="shared" si="196"/>
        <v>Found</v>
      </c>
      <c r="AN1113" s="6">
        <v>13.775</v>
      </c>
      <c r="AO1113" s="4" t="str">
        <f t="shared" si="197"/>
        <v>Mid</v>
      </c>
    </row>
    <row r="1114" spans="1:41">
      <c r="A1114">
        <v>3</v>
      </c>
      <c r="B1114" t="str">
        <f t="shared" si="187"/>
        <v>Third Class</v>
      </c>
      <c r="C1114">
        <v>0</v>
      </c>
      <c r="E1114" t="str">
        <f t="shared" si="188"/>
        <v>Died</v>
      </c>
      <c r="F1114" t="s">
        <v>2068</v>
      </c>
      <c r="G1114" t="s">
        <v>842</v>
      </c>
      <c r="H1114" t="s">
        <v>2069</v>
      </c>
      <c r="I1114" t="str">
        <f t="shared" si="189"/>
        <v>Miss. Peacock Treasteall</v>
      </c>
      <c r="J1114" t="s">
        <v>47</v>
      </c>
      <c r="K1114" t="str">
        <f t="shared" si="190"/>
        <v>Female</v>
      </c>
      <c r="L1114">
        <v>3</v>
      </c>
      <c r="O1114">
        <f t="shared" si="191"/>
        <v>3</v>
      </c>
      <c r="P1114">
        <v>1</v>
      </c>
      <c r="R1114" s="4">
        <v>1</v>
      </c>
      <c r="T1114" s="5">
        <v>13.775</v>
      </c>
      <c r="W1114" s="4">
        <v>3</v>
      </c>
      <c r="X1114" s="4" t="str">
        <f t="shared" si="192"/>
        <v>Child</v>
      </c>
      <c r="Y1114" s="4" t="s">
        <v>3561</v>
      </c>
      <c r="AB1114" s="4" t="str">
        <f t="shared" si="193"/>
        <v/>
      </c>
      <c r="AC1114" s="4" t="str">
        <f t="shared" si="194"/>
        <v>Unknown</v>
      </c>
      <c r="AD1114" s="4" t="s">
        <v>457</v>
      </c>
      <c r="AG1114" s="4" t="str">
        <f t="shared" si="195"/>
        <v>Not Applicable</v>
      </c>
      <c r="AK1114" s="4" t="s">
        <v>3573</v>
      </c>
      <c r="AL1114" s="4" t="str">
        <f t="shared" si="196"/>
        <v>Found</v>
      </c>
      <c r="AN1114" s="6">
        <v>13.775</v>
      </c>
      <c r="AO1114" s="4" t="str">
        <f t="shared" si="197"/>
        <v>Mid</v>
      </c>
    </row>
    <row r="1115" spans="1:41">
      <c r="A1115">
        <v>3</v>
      </c>
      <c r="B1115" t="str">
        <f t="shared" si="187"/>
        <v>Third Class</v>
      </c>
      <c r="C1115">
        <v>0</v>
      </c>
      <c r="E1115" t="str">
        <f t="shared" si="188"/>
        <v>Died</v>
      </c>
      <c r="F1115" t="s">
        <v>2068</v>
      </c>
      <c r="G1115" t="s">
        <v>849</v>
      </c>
      <c r="H1115" t="s">
        <v>1019</v>
      </c>
      <c r="I1115" t="str">
        <f t="shared" si="189"/>
        <v>Mrs. Peacock Benjamin</v>
      </c>
      <c r="J1115" t="s">
        <v>47</v>
      </c>
      <c r="K1115" t="str">
        <f t="shared" si="190"/>
        <v>Female</v>
      </c>
      <c r="L1115">
        <v>26</v>
      </c>
      <c r="O1115">
        <f t="shared" si="191"/>
        <v>26</v>
      </c>
      <c r="P1115">
        <v>0</v>
      </c>
      <c r="R1115" s="4">
        <v>2</v>
      </c>
      <c r="T1115" s="5">
        <v>13.775</v>
      </c>
      <c r="W1115" s="4">
        <v>26</v>
      </c>
      <c r="X1115" s="4" t="str">
        <f t="shared" si="192"/>
        <v>Young Adult</v>
      </c>
      <c r="Y1115" s="4" t="s">
        <v>3561</v>
      </c>
      <c r="AB1115" s="4" t="str">
        <f t="shared" si="193"/>
        <v/>
      </c>
      <c r="AC1115" s="4" t="str">
        <f t="shared" si="194"/>
        <v>Unknown</v>
      </c>
      <c r="AD1115" s="4" t="s">
        <v>457</v>
      </c>
      <c r="AG1115" s="4" t="str">
        <f t="shared" si="195"/>
        <v>Not Applicable</v>
      </c>
      <c r="AK1115" s="4" t="s">
        <v>3573</v>
      </c>
      <c r="AL1115" s="4" t="str">
        <f t="shared" si="196"/>
        <v>Found</v>
      </c>
      <c r="AN1115" s="6">
        <v>13.775</v>
      </c>
      <c r="AO1115" s="4" t="str">
        <f t="shared" si="197"/>
        <v>Mid</v>
      </c>
    </row>
    <row r="1116" spans="1:41">
      <c r="A1116">
        <v>3</v>
      </c>
      <c r="B1116" t="str">
        <f t="shared" si="187"/>
        <v>Third Class</v>
      </c>
      <c r="C1116">
        <v>0</v>
      </c>
      <c r="E1116" t="str">
        <f t="shared" si="188"/>
        <v>Died</v>
      </c>
      <c r="F1116" t="s">
        <v>2070</v>
      </c>
      <c r="G1116" t="s">
        <v>848</v>
      </c>
      <c r="H1116" t="s">
        <v>945</v>
      </c>
      <c r="I1116" t="str">
        <f t="shared" si="189"/>
        <v>Mr. Pearce Ernest</v>
      </c>
      <c r="J1116" t="s">
        <v>20</v>
      </c>
      <c r="K1116" t="str">
        <f t="shared" si="190"/>
        <v>Male</v>
      </c>
      <c r="L1116">
        <v>28</v>
      </c>
      <c r="O1116">
        <f t="shared" si="191"/>
        <v>28</v>
      </c>
      <c r="P1116">
        <v>0</v>
      </c>
      <c r="R1116" s="4">
        <v>0</v>
      </c>
      <c r="T1116" s="5">
        <v>7</v>
      </c>
      <c r="W1116" s="4">
        <v>28</v>
      </c>
      <c r="X1116" s="4" t="str">
        <f t="shared" si="192"/>
        <v>Young Adult</v>
      </c>
      <c r="Y1116" s="4" t="s">
        <v>3561</v>
      </c>
      <c r="AB1116" s="4" t="str">
        <f t="shared" si="193"/>
        <v/>
      </c>
      <c r="AC1116" s="4" t="str">
        <f t="shared" si="194"/>
        <v>Unknown</v>
      </c>
      <c r="AD1116" s="4" t="s">
        <v>457</v>
      </c>
      <c r="AG1116" s="4" t="str">
        <f t="shared" si="195"/>
        <v>Not Applicable</v>
      </c>
      <c r="AK1116" s="4" t="s">
        <v>3573</v>
      </c>
      <c r="AL1116" s="4" t="str">
        <f t="shared" si="196"/>
        <v>Found</v>
      </c>
      <c r="AN1116" s="6">
        <v>7</v>
      </c>
      <c r="AO1116" s="4" t="str">
        <f t="shared" si="197"/>
        <v>Low</v>
      </c>
    </row>
    <row r="1117" spans="1:41">
      <c r="A1117">
        <v>3</v>
      </c>
      <c r="B1117" t="str">
        <f t="shared" si="187"/>
        <v>Third Class</v>
      </c>
      <c r="C1117">
        <v>0</v>
      </c>
      <c r="E1117" t="str">
        <f t="shared" si="188"/>
        <v>Died</v>
      </c>
      <c r="F1117" t="s">
        <v>2071</v>
      </c>
      <c r="G1117" t="s">
        <v>848</v>
      </c>
      <c r="H1117" t="s">
        <v>2050</v>
      </c>
      <c r="I1117" t="str">
        <f t="shared" si="189"/>
        <v>Mr. Pedersen Olaf</v>
      </c>
      <c r="J1117" t="s">
        <v>20</v>
      </c>
      <c r="K1117" t="str">
        <f t="shared" si="190"/>
        <v>Male</v>
      </c>
      <c r="L1117">
        <v>28</v>
      </c>
      <c r="O1117">
        <f t="shared" si="191"/>
        <v>28</v>
      </c>
      <c r="P1117">
        <v>0</v>
      </c>
      <c r="R1117" s="4">
        <v>0</v>
      </c>
      <c r="T1117" s="5">
        <v>7.7750000000000004</v>
      </c>
      <c r="W1117" s="4">
        <v>28</v>
      </c>
      <c r="X1117" s="4" t="str">
        <f t="shared" si="192"/>
        <v>Young Adult</v>
      </c>
      <c r="Y1117" s="4" t="s">
        <v>3561</v>
      </c>
      <c r="AB1117" s="4" t="str">
        <f t="shared" si="193"/>
        <v/>
      </c>
      <c r="AC1117" s="4" t="str">
        <f t="shared" si="194"/>
        <v>Unknown</v>
      </c>
      <c r="AD1117" s="4" t="s">
        <v>457</v>
      </c>
      <c r="AG1117" s="4" t="str">
        <f t="shared" si="195"/>
        <v>Not Applicable</v>
      </c>
      <c r="AK1117" s="4" t="s">
        <v>3573</v>
      </c>
      <c r="AL1117" s="4" t="str">
        <f t="shared" si="196"/>
        <v>Found</v>
      </c>
      <c r="AN1117" s="6">
        <v>7.7750000000000004</v>
      </c>
      <c r="AO1117" s="4" t="str">
        <f t="shared" si="197"/>
        <v>Low</v>
      </c>
    </row>
    <row r="1118" spans="1:41">
      <c r="A1118">
        <v>3</v>
      </c>
      <c r="B1118" t="str">
        <f t="shared" si="187"/>
        <v>Third Class</v>
      </c>
      <c r="C1118">
        <v>0</v>
      </c>
      <c r="E1118" t="str">
        <f t="shared" si="188"/>
        <v>Died</v>
      </c>
      <c r="F1118" t="s">
        <v>2072</v>
      </c>
      <c r="G1118" t="s">
        <v>848</v>
      </c>
      <c r="H1118" t="s">
        <v>921</v>
      </c>
      <c r="I1118" t="str">
        <f t="shared" si="189"/>
        <v>Mr. Peduzzi Joseph</v>
      </c>
      <c r="J1118" t="s">
        <v>20</v>
      </c>
      <c r="K1118" t="str">
        <f t="shared" si="190"/>
        <v>Male</v>
      </c>
      <c r="L1118">
        <v>28</v>
      </c>
      <c r="O1118">
        <f t="shared" si="191"/>
        <v>28</v>
      </c>
      <c r="P1118">
        <v>0</v>
      </c>
      <c r="R1118" s="4">
        <v>0</v>
      </c>
      <c r="T1118" s="5">
        <v>8.0500000000000007</v>
      </c>
      <c r="W1118" s="4">
        <v>28</v>
      </c>
      <c r="X1118" s="4" t="str">
        <f t="shared" si="192"/>
        <v>Young Adult</v>
      </c>
      <c r="Y1118" s="4" t="s">
        <v>3561</v>
      </c>
      <c r="AB1118" s="4" t="str">
        <f t="shared" si="193"/>
        <v/>
      </c>
      <c r="AC1118" s="4" t="str">
        <f t="shared" si="194"/>
        <v>Unknown</v>
      </c>
      <c r="AD1118" s="4" t="s">
        <v>457</v>
      </c>
      <c r="AG1118" s="4" t="str">
        <f t="shared" si="195"/>
        <v>Not Applicable</v>
      </c>
      <c r="AK1118" s="4" t="s">
        <v>3573</v>
      </c>
      <c r="AL1118" s="4" t="str">
        <f t="shared" si="196"/>
        <v>Found</v>
      </c>
      <c r="AN1118" s="6">
        <v>8.0500000000000007</v>
      </c>
      <c r="AO1118" s="4" t="str">
        <f t="shared" si="197"/>
        <v>Low</v>
      </c>
    </row>
    <row r="1119" spans="1:41">
      <c r="A1119">
        <v>3</v>
      </c>
      <c r="B1119" t="str">
        <f t="shared" si="187"/>
        <v>Third Class</v>
      </c>
      <c r="C1119">
        <v>0</v>
      </c>
      <c r="E1119" t="str">
        <f t="shared" si="188"/>
        <v>Died</v>
      </c>
      <c r="F1119" t="s">
        <v>2073</v>
      </c>
      <c r="G1119" t="s">
        <v>848</v>
      </c>
      <c r="H1119" t="s">
        <v>1571</v>
      </c>
      <c r="I1119" t="str">
        <f t="shared" si="189"/>
        <v>Mr. Pekoniemi Edvard</v>
      </c>
      <c r="J1119" t="s">
        <v>20</v>
      </c>
      <c r="K1119" t="str">
        <f t="shared" si="190"/>
        <v>Male</v>
      </c>
      <c r="L1119">
        <v>21</v>
      </c>
      <c r="O1119">
        <f t="shared" si="191"/>
        <v>21</v>
      </c>
      <c r="P1119">
        <v>0</v>
      </c>
      <c r="R1119" s="4">
        <v>0</v>
      </c>
      <c r="T1119" s="5">
        <v>7.9249999999999998</v>
      </c>
      <c r="W1119" s="4">
        <v>21</v>
      </c>
      <c r="X1119" s="4" t="str">
        <f t="shared" si="192"/>
        <v>Young Adult</v>
      </c>
      <c r="Y1119" s="4" t="s">
        <v>3561</v>
      </c>
      <c r="AB1119" s="4" t="str">
        <f t="shared" si="193"/>
        <v/>
      </c>
      <c r="AC1119" s="4" t="str">
        <f t="shared" si="194"/>
        <v>Unknown</v>
      </c>
      <c r="AD1119" s="4" t="s">
        <v>457</v>
      </c>
      <c r="AG1119" s="4" t="str">
        <f t="shared" si="195"/>
        <v>Not Applicable</v>
      </c>
      <c r="AK1119" s="4" t="s">
        <v>3573</v>
      </c>
      <c r="AL1119" s="4" t="str">
        <f t="shared" si="196"/>
        <v>Found</v>
      </c>
      <c r="AN1119" s="6">
        <v>7.9249999999999998</v>
      </c>
      <c r="AO1119" s="4" t="str">
        <f t="shared" si="197"/>
        <v>Low</v>
      </c>
    </row>
    <row r="1120" spans="1:41">
      <c r="A1120">
        <v>3</v>
      </c>
      <c r="B1120" t="str">
        <f t="shared" si="187"/>
        <v>Third Class</v>
      </c>
      <c r="C1120">
        <v>0</v>
      </c>
      <c r="E1120" t="str">
        <f t="shared" si="188"/>
        <v>Died</v>
      </c>
      <c r="F1120" t="s">
        <v>2074</v>
      </c>
      <c r="G1120" t="s">
        <v>848</v>
      </c>
      <c r="H1120" t="s">
        <v>1850</v>
      </c>
      <c r="I1120" t="str">
        <f t="shared" si="189"/>
        <v>Mr. Peltomaki Nikolai</v>
      </c>
      <c r="J1120" t="s">
        <v>20</v>
      </c>
      <c r="K1120" t="str">
        <f t="shared" si="190"/>
        <v>Male</v>
      </c>
      <c r="L1120">
        <v>25</v>
      </c>
      <c r="O1120">
        <f t="shared" si="191"/>
        <v>25</v>
      </c>
      <c r="P1120">
        <v>0</v>
      </c>
      <c r="R1120" s="4">
        <v>0</v>
      </c>
      <c r="T1120" s="5">
        <v>7.9249999999999998</v>
      </c>
      <c r="W1120" s="4">
        <v>25</v>
      </c>
      <c r="X1120" s="4" t="str">
        <f t="shared" si="192"/>
        <v>Young Adult</v>
      </c>
      <c r="Y1120" s="4" t="s">
        <v>3561</v>
      </c>
      <c r="AB1120" s="4" t="str">
        <f t="shared" si="193"/>
        <v/>
      </c>
      <c r="AC1120" s="4" t="str">
        <f t="shared" si="194"/>
        <v>Unknown</v>
      </c>
      <c r="AD1120" s="4" t="s">
        <v>457</v>
      </c>
      <c r="AG1120" s="4" t="str">
        <f t="shared" si="195"/>
        <v>Not Applicable</v>
      </c>
      <c r="AK1120" s="4" t="s">
        <v>3573</v>
      </c>
      <c r="AL1120" s="4" t="str">
        <f t="shared" si="196"/>
        <v>Found</v>
      </c>
      <c r="AN1120" s="6">
        <v>7.9249999999999998</v>
      </c>
      <c r="AO1120" s="4" t="str">
        <f t="shared" si="197"/>
        <v>Low</v>
      </c>
    </row>
    <row r="1121" spans="1:41">
      <c r="A1121">
        <v>3</v>
      </c>
      <c r="B1121" t="str">
        <f t="shared" si="187"/>
        <v>Third Class</v>
      </c>
      <c r="C1121">
        <v>0</v>
      </c>
      <c r="E1121" t="str">
        <f t="shared" si="188"/>
        <v>Died</v>
      </c>
      <c r="F1121" t="s">
        <v>2075</v>
      </c>
      <c r="G1121" t="s">
        <v>848</v>
      </c>
      <c r="H1121" t="s">
        <v>862</v>
      </c>
      <c r="I1121" t="str">
        <f t="shared" si="189"/>
        <v>Mr. Perkin John</v>
      </c>
      <c r="J1121" t="s">
        <v>20</v>
      </c>
      <c r="K1121" t="str">
        <f t="shared" si="190"/>
        <v>Male</v>
      </c>
      <c r="L1121">
        <v>22</v>
      </c>
      <c r="O1121">
        <f t="shared" si="191"/>
        <v>22</v>
      </c>
      <c r="P1121">
        <v>0</v>
      </c>
      <c r="R1121" s="4">
        <v>0</v>
      </c>
      <c r="T1121" s="5">
        <v>7.25</v>
      </c>
      <c r="W1121" s="4">
        <v>22</v>
      </c>
      <c r="X1121" s="4" t="str">
        <f t="shared" si="192"/>
        <v>Young Adult</v>
      </c>
      <c r="Y1121" s="4" t="s">
        <v>3561</v>
      </c>
      <c r="AB1121" s="4" t="str">
        <f t="shared" si="193"/>
        <v/>
      </c>
      <c r="AC1121" s="4" t="str">
        <f t="shared" si="194"/>
        <v>Unknown</v>
      </c>
      <c r="AD1121" s="4" t="s">
        <v>457</v>
      </c>
      <c r="AG1121" s="4" t="str">
        <f t="shared" si="195"/>
        <v>Not Applicable</v>
      </c>
      <c r="AK1121" s="4" t="s">
        <v>3573</v>
      </c>
      <c r="AL1121" s="4" t="str">
        <f t="shared" si="196"/>
        <v>Found</v>
      </c>
      <c r="AN1121" s="6">
        <v>7.25</v>
      </c>
      <c r="AO1121" s="4" t="str">
        <f t="shared" si="197"/>
        <v>Low</v>
      </c>
    </row>
    <row r="1122" spans="1:41">
      <c r="A1122">
        <v>3</v>
      </c>
      <c r="B1122" t="str">
        <f t="shared" si="187"/>
        <v>Third Class</v>
      </c>
      <c r="C1122">
        <v>1</v>
      </c>
      <c r="E1122" t="str">
        <f t="shared" si="188"/>
        <v>Survived</v>
      </c>
      <c r="F1122" t="s">
        <v>2076</v>
      </c>
      <c r="G1122" t="s">
        <v>848</v>
      </c>
      <c r="H1122" t="s">
        <v>1497</v>
      </c>
      <c r="I1122" t="str">
        <f t="shared" si="189"/>
        <v>Mr. Persson Ernst</v>
      </c>
      <c r="J1122" t="s">
        <v>20</v>
      </c>
      <c r="K1122" t="str">
        <f t="shared" si="190"/>
        <v>Male</v>
      </c>
      <c r="L1122">
        <v>25</v>
      </c>
      <c r="O1122">
        <f t="shared" si="191"/>
        <v>25</v>
      </c>
      <c r="P1122">
        <v>1</v>
      </c>
      <c r="R1122" s="4">
        <v>0</v>
      </c>
      <c r="T1122" s="5">
        <v>7.7750000000000004</v>
      </c>
      <c r="W1122" s="4">
        <v>25</v>
      </c>
      <c r="X1122" s="4" t="str">
        <f t="shared" si="192"/>
        <v>Young Adult</v>
      </c>
      <c r="Y1122" s="4" t="s">
        <v>3561</v>
      </c>
      <c r="AB1122" s="4" t="str">
        <f t="shared" si="193"/>
        <v/>
      </c>
      <c r="AC1122" s="4" t="str">
        <f t="shared" si="194"/>
        <v>Unknown</v>
      </c>
      <c r="AD1122" s="4" t="s">
        <v>457</v>
      </c>
      <c r="AF1122" s="4">
        <v>15</v>
      </c>
      <c r="AG1122" s="4">
        <f t="shared" si="195"/>
        <v>15</v>
      </c>
      <c r="AK1122" s="4" t="s">
        <v>3573</v>
      </c>
      <c r="AL1122" s="4" t="str">
        <f t="shared" si="196"/>
        <v>Found</v>
      </c>
      <c r="AN1122" s="6">
        <v>7.7750000000000004</v>
      </c>
      <c r="AO1122" s="4" t="str">
        <f t="shared" si="197"/>
        <v>Low</v>
      </c>
    </row>
    <row r="1123" spans="1:41">
      <c r="A1123">
        <v>3</v>
      </c>
      <c r="B1123" t="str">
        <f t="shared" si="187"/>
        <v>Third Class</v>
      </c>
      <c r="C1123">
        <v>1</v>
      </c>
      <c r="E1123" t="str">
        <f t="shared" si="188"/>
        <v>Survived</v>
      </c>
      <c r="F1123" t="s">
        <v>987</v>
      </c>
      <c r="G1123" t="s">
        <v>845</v>
      </c>
      <c r="H1123" t="s">
        <v>1437</v>
      </c>
      <c r="I1123" t="str">
        <f t="shared" si="189"/>
        <v>Master. Peter Michael</v>
      </c>
      <c r="J1123" t="s">
        <v>20</v>
      </c>
      <c r="K1123" t="str">
        <f t="shared" si="190"/>
        <v>Male</v>
      </c>
      <c r="L1123">
        <v>28</v>
      </c>
      <c r="O1123">
        <f t="shared" si="191"/>
        <v>28</v>
      </c>
      <c r="P1123">
        <v>1</v>
      </c>
      <c r="R1123" s="4">
        <v>1</v>
      </c>
      <c r="T1123" s="5">
        <v>22.3583</v>
      </c>
      <c r="W1123" s="4">
        <v>28</v>
      </c>
      <c r="X1123" s="4" t="str">
        <f t="shared" si="192"/>
        <v>Young Adult</v>
      </c>
      <c r="Y1123" s="4" t="s">
        <v>3561</v>
      </c>
      <c r="AB1123" s="4" t="str">
        <f t="shared" si="193"/>
        <v/>
      </c>
      <c r="AC1123" s="4" t="str">
        <f t="shared" si="194"/>
        <v>Unknown</v>
      </c>
      <c r="AD1123" s="4" t="s">
        <v>3566</v>
      </c>
      <c r="AF1123" s="4" t="s">
        <v>62</v>
      </c>
      <c r="AG1123" s="4" t="str">
        <f t="shared" si="195"/>
        <v>C</v>
      </c>
      <c r="AK1123" s="4" t="s">
        <v>3573</v>
      </c>
      <c r="AL1123" s="4" t="str">
        <f t="shared" si="196"/>
        <v>Found</v>
      </c>
      <c r="AN1123" s="6">
        <v>22.3583</v>
      </c>
      <c r="AO1123" s="4" t="str">
        <f t="shared" si="197"/>
        <v>Mid</v>
      </c>
    </row>
    <row r="1124" spans="1:41">
      <c r="A1124">
        <v>3</v>
      </c>
      <c r="B1124" t="str">
        <f t="shared" si="187"/>
        <v>Third Class</v>
      </c>
      <c r="C1124">
        <v>1</v>
      </c>
      <c r="E1124" t="str">
        <f t="shared" si="188"/>
        <v>Survived</v>
      </c>
      <c r="F1124" t="s">
        <v>987</v>
      </c>
      <c r="G1124" t="s">
        <v>842</v>
      </c>
      <c r="H1124" t="s">
        <v>1247</v>
      </c>
      <c r="I1124" t="str">
        <f t="shared" si="189"/>
        <v>Miss. Peter Anna</v>
      </c>
      <c r="J1124" t="s">
        <v>47</v>
      </c>
      <c r="K1124" t="str">
        <f t="shared" si="190"/>
        <v>Female</v>
      </c>
      <c r="L1124">
        <v>28</v>
      </c>
      <c r="O1124">
        <f t="shared" si="191"/>
        <v>28</v>
      </c>
      <c r="P1124">
        <v>1</v>
      </c>
      <c r="R1124" s="4">
        <v>1</v>
      </c>
      <c r="T1124" s="5">
        <v>22.3583</v>
      </c>
      <c r="W1124" s="4">
        <v>28</v>
      </c>
      <c r="X1124" s="4" t="str">
        <f t="shared" si="192"/>
        <v>Young Adult</v>
      </c>
      <c r="Y1124" s="4" t="s">
        <v>798</v>
      </c>
      <c r="AA1124" s="4" t="s">
        <v>798</v>
      </c>
      <c r="AB1124" s="4" t="str">
        <f t="shared" si="193"/>
        <v>F</v>
      </c>
      <c r="AC1124" s="4" t="str">
        <f t="shared" si="194"/>
        <v>F</v>
      </c>
      <c r="AD1124" s="4" t="s">
        <v>3566</v>
      </c>
      <c r="AF1124" s="4" t="s">
        <v>59</v>
      </c>
      <c r="AG1124" s="4" t="str">
        <f t="shared" si="195"/>
        <v>D</v>
      </c>
      <c r="AK1124" s="4" t="s">
        <v>3573</v>
      </c>
      <c r="AL1124" s="4" t="str">
        <f t="shared" si="196"/>
        <v>Found</v>
      </c>
      <c r="AN1124" s="6">
        <v>22.3583</v>
      </c>
      <c r="AO1124" s="4" t="str">
        <f t="shared" si="197"/>
        <v>Mid</v>
      </c>
    </row>
    <row r="1125" spans="1:41">
      <c r="A1125">
        <v>3</v>
      </c>
      <c r="B1125" t="str">
        <f t="shared" si="187"/>
        <v>Third Class</v>
      </c>
      <c r="C1125">
        <v>1</v>
      </c>
      <c r="E1125" t="str">
        <f t="shared" si="188"/>
        <v>Survived</v>
      </c>
      <c r="F1125" t="s">
        <v>987</v>
      </c>
      <c r="G1125" t="s">
        <v>849</v>
      </c>
      <c r="H1125" t="s">
        <v>1291</v>
      </c>
      <c r="I1125" t="str">
        <f t="shared" si="189"/>
        <v>Mrs. Peter Catherine</v>
      </c>
      <c r="J1125" t="s">
        <v>47</v>
      </c>
      <c r="K1125" t="str">
        <f t="shared" si="190"/>
        <v>Female</v>
      </c>
      <c r="L1125">
        <v>28</v>
      </c>
      <c r="O1125">
        <f t="shared" si="191"/>
        <v>28</v>
      </c>
      <c r="P1125">
        <v>0</v>
      </c>
      <c r="R1125" s="4">
        <v>2</v>
      </c>
      <c r="T1125" s="5">
        <v>22.3583</v>
      </c>
      <c r="W1125" s="4">
        <v>28</v>
      </c>
      <c r="X1125" s="4" t="str">
        <f t="shared" si="192"/>
        <v>Young Adult</v>
      </c>
      <c r="Y1125" s="4" t="s">
        <v>3561</v>
      </c>
      <c r="AB1125" s="4" t="str">
        <f t="shared" si="193"/>
        <v/>
      </c>
      <c r="AC1125" s="4" t="str">
        <f t="shared" si="194"/>
        <v>Unknown</v>
      </c>
      <c r="AD1125" s="4" t="s">
        <v>3566</v>
      </c>
      <c r="AF1125" s="4" t="s">
        <v>59</v>
      </c>
      <c r="AG1125" s="4" t="str">
        <f t="shared" si="195"/>
        <v>D</v>
      </c>
      <c r="AK1125" s="4" t="s">
        <v>3573</v>
      </c>
      <c r="AL1125" s="4" t="str">
        <f t="shared" si="196"/>
        <v>Found</v>
      </c>
      <c r="AN1125" s="6">
        <v>22.3583</v>
      </c>
      <c r="AO1125" s="4" t="str">
        <f t="shared" si="197"/>
        <v>Mid</v>
      </c>
    </row>
    <row r="1126" spans="1:41">
      <c r="A1126">
        <v>3</v>
      </c>
      <c r="B1126" t="str">
        <f t="shared" si="187"/>
        <v>Third Class</v>
      </c>
      <c r="C1126">
        <v>0</v>
      </c>
      <c r="E1126" t="str">
        <f t="shared" si="188"/>
        <v>Died</v>
      </c>
      <c r="F1126" t="s">
        <v>2077</v>
      </c>
      <c r="G1126" t="s">
        <v>842</v>
      </c>
      <c r="H1126" t="s">
        <v>1763</v>
      </c>
      <c r="I1126" t="str">
        <f t="shared" si="189"/>
        <v>Miss. Peters Katie</v>
      </c>
      <c r="J1126" t="s">
        <v>47</v>
      </c>
      <c r="K1126" t="str">
        <f t="shared" si="190"/>
        <v>Female</v>
      </c>
      <c r="L1126">
        <v>28</v>
      </c>
      <c r="O1126">
        <f t="shared" si="191"/>
        <v>28</v>
      </c>
      <c r="P1126">
        <v>0</v>
      </c>
      <c r="R1126" s="4">
        <v>0</v>
      </c>
      <c r="T1126" s="5">
        <v>8.1374999999999993</v>
      </c>
      <c r="W1126" s="4">
        <v>28</v>
      </c>
      <c r="X1126" s="4" t="str">
        <f t="shared" si="192"/>
        <v>Young Adult</v>
      </c>
      <c r="Y1126" s="4" t="s">
        <v>3561</v>
      </c>
      <c r="AB1126" s="4" t="str">
        <f t="shared" si="193"/>
        <v/>
      </c>
      <c r="AC1126" s="4" t="str">
        <f t="shared" si="194"/>
        <v>Unknown</v>
      </c>
      <c r="AD1126" s="4" t="s">
        <v>3567</v>
      </c>
      <c r="AG1126" s="4" t="str">
        <f t="shared" si="195"/>
        <v>Not Applicable</v>
      </c>
      <c r="AK1126" s="4" t="s">
        <v>3573</v>
      </c>
      <c r="AL1126" s="4" t="str">
        <f t="shared" si="196"/>
        <v>Found</v>
      </c>
      <c r="AN1126" s="6">
        <v>8.1374999999999993</v>
      </c>
      <c r="AO1126" s="4" t="str">
        <f t="shared" si="197"/>
        <v>Low</v>
      </c>
    </row>
    <row r="1127" spans="1:41">
      <c r="A1127">
        <v>3</v>
      </c>
      <c r="B1127" t="str">
        <f t="shared" si="187"/>
        <v>Third Class</v>
      </c>
      <c r="C1127">
        <v>0</v>
      </c>
      <c r="E1127" t="str">
        <f t="shared" si="188"/>
        <v>Died</v>
      </c>
      <c r="F1127" t="s">
        <v>2078</v>
      </c>
      <c r="G1127" t="s">
        <v>848</v>
      </c>
      <c r="H1127" t="s">
        <v>2079</v>
      </c>
      <c r="I1127" t="str">
        <f t="shared" si="189"/>
        <v>Mr. Petersen Marius</v>
      </c>
      <c r="J1127" t="s">
        <v>20</v>
      </c>
      <c r="K1127" t="str">
        <f t="shared" si="190"/>
        <v>Male</v>
      </c>
      <c r="L1127">
        <v>24</v>
      </c>
      <c r="O1127">
        <f t="shared" si="191"/>
        <v>24</v>
      </c>
      <c r="P1127">
        <v>0</v>
      </c>
      <c r="R1127" s="4">
        <v>0</v>
      </c>
      <c r="T1127" s="5">
        <v>8.0500000000000007</v>
      </c>
      <c r="W1127" s="4">
        <v>24</v>
      </c>
      <c r="X1127" s="4" t="str">
        <f t="shared" si="192"/>
        <v>Young Adult</v>
      </c>
      <c r="Y1127" s="4" t="s">
        <v>3561</v>
      </c>
      <c r="AB1127" s="4" t="str">
        <f t="shared" si="193"/>
        <v/>
      </c>
      <c r="AC1127" s="4" t="str">
        <f t="shared" si="194"/>
        <v>Unknown</v>
      </c>
      <c r="AD1127" s="4" t="s">
        <v>457</v>
      </c>
      <c r="AG1127" s="4" t="str">
        <f t="shared" si="195"/>
        <v>Not Applicable</v>
      </c>
      <c r="AK1127" s="4" t="s">
        <v>3573</v>
      </c>
      <c r="AL1127" s="4" t="str">
        <f t="shared" si="196"/>
        <v>Found</v>
      </c>
      <c r="AN1127" s="6">
        <v>8.0500000000000007</v>
      </c>
      <c r="AO1127" s="4" t="str">
        <f t="shared" si="197"/>
        <v>Low</v>
      </c>
    </row>
    <row r="1128" spans="1:41">
      <c r="A1128">
        <v>3</v>
      </c>
      <c r="B1128" t="str">
        <f t="shared" si="187"/>
        <v>Third Class</v>
      </c>
      <c r="C1128">
        <v>0</v>
      </c>
      <c r="E1128" t="str">
        <f t="shared" si="188"/>
        <v>Died</v>
      </c>
      <c r="F1128" t="s">
        <v>2080</v>
      </c>
      <c r="G1128" t="s">
        <v>842</v>
      </c>
      <c r="H1128" t="s">
        <v>1783</v>
      </c>
      <c r="I1128" t="str">
        <f t="shared" si="189"/>
        <v>Miss. Petranec Matilda</v>
      </c>
      <c r="J1128" t="s">
        <v>47</v>
      </c>
      <c r="K1128" t="str">
        <f t="shared" si="190"/>
        <v>Female</v>
      </c>
      <c r="L1128">
        <v>28</v>
      </c>
      <c r="O1128">
        <f t="shared" si="191"/>
        <v>28</v>
      </c>
      <c r="P1128">
        <v>0</v>
      </c>
      <c r="R1128" s="4">
        <v>0</v>
      </c>
      <c r="T1128" s="5">
        <v>7.8958000000000004</v>
      </c>
      <c r="W1128" s="4">
        <v>28</v>
      </c>
      <c r="X1128" s="4" t="str">
        <f t="shared" si="192"/>
        <v>Young Adult</v>
      </c>
      <c r="Y1128" s="4" t="s">
        <v>3561</v>
      </c>
      <c r="AB1128" s="4" t="str">
        <f t="shared" si="193"/>
        <v/>
      </c>
      <c r="AC1128" s="4" t="str">
        <f t="shared" si="194"/>
        <v>Unknown</v>
      </c>
      <c r="AD1128" s="4" t="s">
        <v>457</v>
      </c>
      <c r="AG1128" s="4" t="str">
        <f t="shared" si="195"/>
        <v>Not Applicable</v>
      </c>
      <c r="AK1128" s="4" t="s">
        <v>3573</v>
      </c>
      <c r="AL1128" s="4" t="str">
        <f t="shared" si="196"/>
        <v>Found</v>
      </c>
      <c r="AN1128" s="6">
        <v>7.8958000000000004</v>
      </c>
      <c r="AO1128" s="4" t="str">
        <f t="shared" si="197"/>
        <v>Low</v>
      </c>
    </row>
    <row r="1129" spans="1:41">
      <c r="A1129">
        <v>3</v>
      </c>
      <c r="B1129" t="str">
        <f t="shared" si="187"/>
        <v>Third Class</v>
      </c>
      <c r="C1129">
        <v>0</v>
      </c>
      <c r="E1129" t="str">
        <f t="shared" si="188"/>
        <v>Died</v>
      </c>
      <c r="F1129" t="s">
        <v>2081</v>
      </c>
      <c r="G1129" t="s">
        <v>848</v>
      </c>
      <c r="H1129" t="s">
        <v>2082</v>
      </c>
      <c r="I1129" t="str">
        <f t="shared" si="189"/>
        <v>Mr. Petroff Nedelio</v>
      </c>
      <c r="J1129" t="s">
        <v>20</v>
      </c>
      <c r="K1129" t="str">
        <f t="shared" si="190"/>
        <v>Male</v>
      </c>
      <c r="L1129">
        <v>19</v>
      </c>
      <c r="O1129">
        <f t="shared" si="191"/>
        <v>19</v>
      </c>
      <c r="P1129">
        <v>0</v>
      </c>
      <c r="R1129" s="4">
        <v>0</v>
      </c>
      <c r="T1129" s="5">
        <v>7.8958000000000004</v>
      </c>
      <c r="W1129" s="4">
        <v>19</v>
      </c>
      <c r="X1129" s="4" t="str">
        <f t="shared" si="192"/>
        <v>Young Adult</v>
      </c>
      <c r="Y1129" s="4" t="s">
        <v>3561</v>
      </c>
      <c r="AB1129" s="4" t="str">
        <f t="shared" si="193"/>
        <v/>
      </c>
      <c r="AC1129" s="4" t="str">
        <f t="shared" si="194"/>
        <v>Unknown</v>
      </c>
      <c r="AD1129" s="4" t="s">
        <v>457</v>
      </c>
      <c r="AG1129" s="4" t="str">
        <f t="shared" si="195"/>
        <v>Not Applicable</v>
      </c>
      <c r="AK1129" s="4" t="s">
        <v>3573</v>
      </c>
      <c r="AL1129" s="4" t="str">
        <f t="shared" si="196"/>
        <v>Found</v>
      </c>
      <c r="AN1129" s="6">
        <v>7.8958000000000004</v>
      </c>
      <c r="AO1129" s="4" t="str">
        <f t="shared" si="197"/>
        <v>Low</v>
      </c>
    </row>
    <row r="1130" spans="1:41">
      <c r="A1130">
        <v>3</v>
      </c>
      <c r="B1130" t="str">
        <f t="shared" si="187"/>
        <v>Third Class</v>
      </c>
      <c r="C1130">
        <v>0</v>
      </c>
      <c r="E1130" t="str">
        <f t="shared" si="188"/>
        <v>Died</v>
      </c>
      <c r="F1130" t="s">
        <v>2081</v>
      </c>
      <c r="G1130" t="s">
        <v>848</v>
      </c>
      <c r="H1130" t="s">
        <v>2083</v>
      </c>
      <c r="I1130" t="str">
        <f t="shared" si="189"/>
        <v>Mr. Petroff Pastcho</v>
      </c>
      <c r="J1130" t="s">
        <v>20</v>
      </c>
      <c r="K1130" t="str">
        <f t="shared" si="190"/>
        <v>Male</v>
      </c>
      <c r="L1130">
        <v>28</v>
      </c>
      <c r="O1130">
        <f t="shared" si="191"/>
        <v>28</v>
      </c>
      <c r="P1130">
        <v>0</v>
      </c>
      <c r="R1130" s="4">
        <v>0</v>
      </c>
      <c r="T1130" s="5">
        <v>7.8958000000000004</v>
      </c>
      <c r="W1130" s="4">
        <v>28</v>
      </c>
      <c r="X1130" s="4" t="str">
        <f t="shared" si="192"/>
        <v>Young Adult</v>
      </c>
      <c r="Y1130" s="4" t="s">
        <v>3561</v>
      </c>
      <c r="AB1130" s="4" t="str">
        <f t="shared" si="193"/>
        <v/>
      </c>
      <c r="AC1130" s="4" t="str">
        <f t="shared" si="194"/>
        <v>Unknown</v>
      </c>
      <c r="AD1130" s="4" t="s">
        <v>457</v>
      </c>
      <c r="AG1130" s="4" t="str">
        <f t="shared" si="195"/>
        <v>Not Applicable</v>
      </c>
      <c r="AK1130" s="4" t="s">
        <v>3573</v>
      </c>
      <c r="AL1130" s="4" t="str">
        <f t="shared" si="196"/>
        <v>Found</v>
      </c>
      <c r="AN1130" s="6">
        <v>7.8958000000000004</v>
      </c>
      <c r="AO1130" s="4" t="str">
        <f t="shared" si="197"/>
        <v>Low</v>
      </c>
    </row>
    <row r="1131" spans="1:41">
      <c r="A1131">
        <v>3</v>
      </c>
      <c r="B1131" t="str">
        <f t="shared" si="187"/>
        <v>Third Class</v>
      </c>
      <c r="C1131">
        <v>0</v>
      </c>
      <c r="E1131" t="str">
        <f t="shared" si="188"/>
        <v>Died</v>
      </c>
      <c r="F1131" t="s">
        <v>2084</v>
      </c>
      <c r="G1131" t="s">
        <v>848</v>
      </c>
      <c r="H1131" t="s">
        <v>1105</v>
      </c>
      <c r="I1131" t="str">
        <f t="shared" si="189"/>
        <v>Mr. Petterson Johan</v>
      </c>
      <c r="J1131" t="s">
        <v>20</v>
      </c>
      <c r="K1131" t="str">
        <f t="shared" si="190"/>
        <v>Male</v>
      </c>
      <c r="L1131">
        <v>25</v>
      </c>
      <c r="O1131">
        <f t="shared" si="191"/>
        <v>25</v>
      </c>
      <c r="P1131">
        <v>1</v>
      </c>
      <c r="R1131" s="4">
        <v>0</v>
      </c>
      <c r="T1131" s="5">
        <v>7.7750000000000004</v>
      </c>
      <c r="W1131" s="4">
        <v>25</v>
      </c>
      <c r="X1131" s="4" t="str">
        <f t="shared" si="192"/>
        <v>Young Adult</v>
      </c>
      <c r="Y1131" s="4" t="s">
        <v>3561</v>
      </c>
      <c r="AB1131" s="4" t="str">
        <f t="shared" si="193"/>
        <v/>
      </c>
      <c r="AC1131" s="4" t="str">
        <f t="shared" si="194"/>
        <v>Unknown</v>
      </c>
      <c r="AD1131" s="4" t="s">
        <v>457</v>
      </c>
      <c r="AG1131" s="4" t="str">
        <f t="shared" si="195"/>
        <v>Not Applicable</v>
      </c>
      <c r="AK1131" s="4" t="s">
        <v>3573</v>
      </c>
      <c r="AL1131" s="4" t="str">
        <f t="shared" si="196"/>
        <v>Found</v>
      </c>
      <c r="AN1131" s="6">
        <v>7.7750000000000004</v>
      </c>
      <c r="AO1131" s="4" t="str">
        <f t="shared" si="197"/>
        <v>Low</v>
      </c>
    </row>
    <row r="1132" spans="1:41">
      <c r="A1132">
        <v>3</v>
      </c>
      <c r="B1132" t="str">
        <f t="shared" si="187"/>
        <v>Third Class</v>
      </c>
      <c r="C1132">
        <v>0</v>
      </c>
      <c r="E1132" t="str">
        <f t="shared" si="188"/>
        <v>Died</v>
      </c>
      <c r="F1132" t="s">
        <v>2085</v>
      </c>
      <c r="G1132" t="s">
        <v>842</v>
      </c>
      <c r="H1132" t="s">
        <v>868</v>
      </c>
      <c r="I1132" t="str">
        <f t="shared" si="189"/>
        <v>Miss. Pettersson Ellen</v>
      </c>
      <c r="J1132" t="s">
        <v>47</v>
      </c>
      <c r="K1132" t="str">
        <f t="shared" si="190"/>
        <v>Female</v>
      </c>
      <c r="L1132">
        <v>18</v>
      </c>
      <c r="O1132">
        <f t="shared" si="191"/>
        <v>18</v>
      </c>
      <c r="P1132">
        <v>0</v>
      </c>
      <c r="R1132" s="4">
        <v>0</v>
      </c>
      <c r="T1132" s="5">
        <v>7.7750000000000004</v>
      </c>
      <c r="W1132" s="4">
        <v>18</v>
      </c>
      <c r="X1132" s="4" t="str">
        <f t="shared" si="192"/>
        <v>Young Adult</v>
      </c>
      <c r="Y1132" s="4" t="s">
        <v>3561</v>
      </c>
      <c r="AB1132" s="4" t="str">
        <f t="shared" si="193"/>
        <v/>
      </c>
      <c r="AC1132" s="4" t="str">
        <f t="shared" si="194"/>
        <v>Unknown</v>
      </c>
      <c r="AD1132" s="4" t="s">
        <v>457</v>
      </c>
      <c r="AG1132" s="4" t="str">
        <f t="shared" si="195"/>
        <v>Not Applicable</v>
      </c>
      <c r="AK1132" s="4" t="s">
        <v>3573</v>
      </c>
      <c r="AL1132" s="4" t="str">
        <f t="shared" si="196"/>
        <v>Found</v>
      </c>
      <c r="AN1132" s="6">
        <v>7.7750000000000004</v>
      </c>
      <c r="AO1132" s="4" t="str">
        <f t="shared" si="197"/>
        <v>Low</v>
      </c>
    </row>
    <row r="1133" spans="1:41">
      <c r="A1133">
        <v>3</v>
      </c>
      <c r="B1133" t="str">
        <f t="shared" si="187"/>
        <v>Third Class</v>
      </c>
      <c r="C1133">
        <v>1</v>
      </c>
      <c r="E1133" t="str">
        <f t="shared" si="188"/>
        <v>Survived</v>
      </c>
      <c r="F1133" t="s">
        <v>2086</v>
      </c>
      <c r="G1133" t="s">
        <v>848</v>
      </c>
      <c r="H1133" t="s">
        <v>2087</v>
      </c>
      <c r="I1133" t="str">
        <f t="shared" si="189"/>
        <v>Mr. Pickard Berk</v>
      </c>
      <c r="J1133" t="s">
        <v>20</v>
      </c>
      <c r="K1133" t="str">
        <f t="shared" si="190"/>
        <v>Male</v>
      </c>
      <c r="L1133">
        <v>32</v>
      </c>
      <c r="O1133">
        <f t="shared" si="191"/>
        <v>32</v>
      </c>
      <c r="P1133">
        <v>0</v>
      </c>
      <c r="R1133" s="4">
        <v>0</v>
      </c>
      <c r="T1133" s="5">
        <v>8.0500000000000007</v>
      </c>
      <c r="W1133" s="4">
        <v>32</v>
      </c>
      <c r="X1133" s="4" t="str">
        <f t="shared" si="192"/>
        <v>Adult</v>
      </c>
      <c r="Y1133" s="4" t="s">
        <v>800</v>
      </c>
      <c r="AA1133" s="4" t="s">
        <v>800</v>
      </c>
      <c r="AB1133" s="4" t="str">
        <f t="shared" si="193"/>
        <v>E</v>
      </c>
      <c r="AC1133" s="4" t="str">
        <f t="shared" si="194"/>
        <v>E</v>
      </c>
      <c r="AD1133" s="4" t="s">
        <v>457</v>
      </c>
      <c r="AF1133" s="4">
        <v>9</v>
      </c>
      <c r="AG1133" s="4">
        <f t="shared" si="195"/>
        <v>9</v>
      </c>
      <c r="AK1133" s="4" t="s">
        <v>3573</v>
      </c>
      <c r="AL1133" s="4" t="str">
        <f t="shared" si="196"/>
        <v>Found</v>
      </c>
      <c r="AN1133" s="6">
        <v>8.0500000000000007</v>
      </c>
      <c r="AO1133" s="4" t="str">
        <f t="shared" si="197"/>
        <v>Low</v>
      </c>
    </row>
    <row r="1134" spans="1:41">
      <c r="A1134">
        <v>3</v>
      </c>
      <c r="B1134" t="str">
        <f t="shared" si="187"/>
        <v>Third Class</v>
      </c>
      <c r="C1134">
        <v>0</v>
      </c>
      <c r="E1134" t="str">
        <f t="shared" si="188"/>
        <v>Died</v>
      </c>
      <c r="F1134" t="s">
        <v>2088</v>
      </c>
      <c r="G1134" t="s">
        <v>848</v>
      </c>
      <c r="H1134" t="s">
        <v>2089</v>
      </c>
      <c r="I1134" t="str">
        <f t="shared" si="189"/>
        <v>Mr. Plotcharsky Vasil</v>
      </c>
      <c r="J1134" t="s">
        <v>20</v>
      </c>
      <c r="K1134" t="str">
        <f t="shared" si="190"/>
        <v>Male</v>
      </c>
      <c r="L1134">
        <v>28</v>
      </c>
      <c r="O1134">
        <f t="shared" si="191"/>
        <v>28</v>
      </c>
      <c r="P1134">
        <v>0</v>
      </c>
      <c r="R1134" s="4">
        <v>0</v>
      </c>
      <c r="T1134" s="5">
        <v>7.8958000000000004</v>
      </c>
      <c r="W1134" s="4">
        <v>28</v>
      </c>
      <c r="X1134" s="4" t="str">
        <f t="shared" si="192"/>
        <v>Young Adult</v>
      </c>
      <c r="Y1134" s="4" t="s">
        <v>3561</v>
      </c>
      <c r="AB1134" s="4" t="str">
        <f t="shared" si="193"/>
        <v/>
      </c>
      <c r="AC1134" s="4" t="str">
        <f t="shared" si="194"/>
        <v>Unknown</v>
      </c>
      <c r="AD1134" s="4" t="s">
        <v>457</v>
      </c>
      <c r="AG1134" s="4" t="str">
        <f t="shared" si="195"/>
        <v>Not Applicable</v>
      </c>
      <c r="AK1134" s="4" t="s">
        <v>3573</v>
      </c>
      <c r="AL1134" s="4" t="str">
        <f t="shared" si="196"/>
        <v>Found</v>
      </c>
      <c r="AN1134" s="6">
        <v>7.8958000000000004</v>
      </c>
      <c r="AO1134" s="4" t="str">
        <f t="shared" si="197"/>
        <v>Low</v>
      </c>
    </row>
    <row r="1135" spans="1:41">
      <c r="A1135">
        <v>3</v>
      </c>
      <c r="B1135" t="str">
        <f t="shared" si="187"/>
        <v>Third Class</v>
      </c>
      <c r="C1135">
        <v>0</v>
      </c>
      <c r="E1135" t="str">
        <f t="shared" si="188"/>
        <v>Died</v>
      </c>
      <c r="F1135" t="s">
        <v>2090</v>
      </c>
      <c r="G1135" t="s">
        <v>848</v>
      </c>
      <c r="H1135" t="s">
        <v>2091</v>
      </c>
      <c r="I1135" t="str">
        <f t="shared" si="189"/>
        <v>Mr. Pokrnic Mate</v>
      </c>
      <c r="J1135" t="s">
        <v>20</v>
      </c>
      <c r="K1135" t="str">
        <f t="shared" si="190"/>
        <v>Male</v>
      </c>
      <c r="L1135">
        <v>17</v>
      </c>
      <c r="O1135">
        <f t="shared" si="191"/>
        <v>17</v>
      </c>
      <c r="P1135">
        <v>0</v>
      </c>
      <c r="R1135" s="4">
        <v>0</v>
      </c>
      <c r="T1135" s="5">
        <v>8.6624999999999996</v>
      </c>
      <c r="W1135" s="4">
        <v>17</v>
      </c>
      <c r="X1135" s="4" t="str">
        <f t="shared" si="192"/>
        <v>Teenager</v>
      </c>
      <c r="Y1135" s="4" t="s">
        <v>3561</v>
      </c>
      <c r="AB1135" s="4" t="str">
        <f t="shared" si="193"/>
        <v/>
      </c>
      <c r="AC1135" s="4" t="str">
        <f t="shared" si="194"/>
        <v>Unknown</v>
      </c>
      <c r="AD1135" s="4" t="s">
        <v>457</v>
      </c>
      <c r="AG1135" s="4" t="str">
        <f t="shared" si="195"/>
        <v>Not Applicable</v>
      </c>
      <c r="AK1135" s="4" t="s">
        <v>3573</v>
      </c>
      <c r="AL1135" s="4" t="str">
        <f t="shared" si="196"/>
        <v>Found</v>
      </c>
      <c r="AN1135" s="6">
        <v>8.6624999999999996</v>
      </c>
      <c r="AO1135" s="4" t="str">
        <f t="shared" si="197"/>
        <v>Low</v>
      </c>
    </row>
    <row r="1136" spans="1:41">
      <c r="A1136">
        <v>3</v>
      </c>
      <c r="B1136" t="str">
        <f t="shared" si="187"/>
        <v>Third Class</v>
      </c>
      <c r="C1136">
        <v>0</v>
      </c>
      <c r="E1136" t="str">
        <f t="shared" si="188"/>
        <v>Died</v>
      </c>
      <c r="F1136" t="s">
        <v>2090</v>
      </c>
      <c r="G1136" t="s">
        <v>848</v>
      </c>
      <c r="H1136" t="s">
        <v>2092</v>
      </c>
      <c r="I1136" t="str">
        <f t="shared" si="189"/>
        <v>Mr. Pokrnic Tome</v>
      </c>
      <c r="J1136" t="s">
        <v>20</v>
      </c>
      <c r="K1136" t="str">
        <f t="shared" si="190"/>
        <v>Male</v>
      </c>
      <c r="L1136">
        <v>24</v>
      </c>
      <c r="O1136">
        <f t="shared" si="191"/>
        <v>24</v>
      </c>
      <c r="P1136">
        <v>0</v>
      </c>
      <c r="R1136" s="4">
        <v>0</v>
      </c>
      <c r="T1136" s="5">
        <v>8.6624999999999996</v>
      </c>
      <c r="W1136" s="4">
        <v>24</v>
      </c>
      <c r="X1136" s="4" t="str">
        <f t="shared" si="192"/>
        <v>Young Adult</v>
      </c>
      <c r="Y1136" s="4" t="s">
        <v>3561</v>
      </c>
      <c r="AB1136" s="4" t="str">
        <f t="shared" si="193"/>
        <v/>
      </c>
      <c r="AC1136" s="4" t="str">
        <f t="shared" si="194"/>
        <v>Unknown</v>
      </c>
      <c r="AD1136" s="4" t="s">
        <v>457</v>
      </c>
      <c r="AG1136" s="4" t="str">
        <f t="shared" si="195"/>
        <v>Not Applicable</v>
      </c>
      <c r="AK1136" s="4" t="s">
        <v>3573</v>
      </c>
      <c r="AL1136" s="4" t="str">
        <f t="shared" si="196"/>
        <v>Found</v>
      </c>
      <c r="AN1136" s="6">
        <v>8.6624999999999996</v>
      </c>
      <c r="AO1136" s="4" t="str">
        <f t="shared" si="197"/>
        <v>Low</v>
      </c>
    </row>
    <row r="1137" spans="1:41">
      <c r="A1137">
        <v>3</v>
      </c>
      <c r="B1137" t="str">
        <f t="shared" si="187"/>
        <v>Third Class</v>
      </c>
      <c r="C1137">
        <v>0</v>
      </c>
      <c r="E1137" t="str">
        <f t="shared" si="188"/>
        <v>Died</v>
      </c>
      <c r="F1137" t="s">
        <v>2093</v>
      </c>
      <c r="G1137" t="s">
        <v>848</v>
      </c>
      <c r="H1137" t="s">
        <v>932</v>
      </c>
      <c r="I1137" t="str">
        <f t="shared" si="189"/>
        <v>Mr. Radeff Alexander</v>
      </c>
      <c r="J1137" t="s">
        <v>20</v>
      </c>
      <c r="K1137" t="str">
        <f t="shared" si="190"/>
        <v>Male</v>
      </c>
      <c r="L1137">
        <v>28</v>
      </c>
      <c r="O1137">
        <f t="shared" si="191"/>
        <v>28</v>
      </c>
      <c r="P1137">
        <v>0</v>
      </c>
      <c r="R1137" s="4">
        <v>0</v>
      </c>
      <c r="T1137" s="5">
        <v>7.8958000000000004</v>
      </c>
      <c r="W1137" s="4">
        <v>28</v>
      </c>
      <c r="X1137" s="4" t="str">
        <f t="shared" si="192"/>
        <v>Young Adult</v>
      </c>
      <c r="Y1137" s="4" t="s">
        <v>3561</v>
      </c>
      <c r="AB1137" s="4" t="str">
        <f t="shared" si="193"/>
        <v/>
      </c>
      <c r="AC1137" s="4" t="str">
        <f t="shared" si="194"/>
        <v>Unknown</v>
      </c>
      <c r="AD1137" s="4" t="s">
        <v>457</v>
      </c>
      <c r="AG1137" s="4" t="str">
        <f t="shared" si="195"/>
        <v>Not Applicable</v>
      </c>
      <c r="AK1137" s="4" t="s">
        <v>3573</v>
      </c>
      <c r="AL1137" s="4" t="str">
        <f t="shared" si="196"/>
        <v>Found</v>
      </c>
      <c r="AN1137" s="6">
        <v>7.8958000000000004</v>
      </c>
      <c r="AO1137" s="4" t="str">
        <f t="shared" si="197"/>
        <v>Low</v>
      </c>
    </row>
    <row r="1138" spans="1:41">
      <c r="A1138">
        <v>3</v>
      </c>
      <c r="B1138" t="str">
        <f t="shared" si="187"/>
        <v>Third Class</v>
      </c>
      <c r="C1138">
        <v>0</v>
      </c>
      <c r="E1138" t="str">
        <f t="shared" si="188"/>
        <v>Died</v>
      </c>
      <c r="F1138" t="s">
        <v>2094</v>
      </c>
      <c r="G1138" t="s">
        <v>849</v>
      </c>
      <c r="H1138" t="s">
        <v>2095</v>
      </c>
      <c r="I1138" t="str">
        <f t="shared" si="189"/>
        <v>Mrs. Rasmussen (Lena</v>
      </c>
      <c r="J1138" t="s">
        <v>47</v>
      </c>
      <c r="K1138" t="str">
        <f t="shared" si="190"/>
        <v>Female</v>
      </c>
      <c r="L1138">
        <v>28</v>
      </c>
      <c r="O1138">
        <f t="shared" si="191"/>
        <v>28</v>
      </c>
      <c r="P1138">
        <v>0</v>
      </c>
      <c r="R1138" s="4">
        <v>0</v>
      </c>
      <c r="T1138" s="5">
        <v>8.1125000000000007</v>
      </c>
      <c r="W1138" s="4">
        <v>28</v>
      </c>
      <c r="X1138" s="4" t="str">
        <f t="shared" si="192"/>
        <v>Young Adult</v>
      </c>
      <c r="Y1138" s="4" t="s">
        <v>3561</v>
      </c>
      <c r="AB1138" s="4" t="str">
        <f t="shared" si="193"/>
        <v/>
      </c>
      <c r="AC1138" s="4" t="str">
        <f t="shared" si="194"/>
        <v>Unknown</v>
      </c>
      <c r="AD1138" s="4" t="s">
        <v>457</v>
      </c>
      <c r="AG1138" s="4" t="str">
        <f t="shared" si="195"/>
        <v>Not Applicable</v>
      </c>
      <c r="AK1138" s="4" t="s">
        <v>3573</v>
      </c>
      <c r="AL1138" s="4" t="str">
        <f t="shared" si="196"/>
        <v>Found</v>
      </c>
      <c r="AN1138" s="6">
        <v>8.1125000000000007</v>
      </c>
      <c r="AO1138" s="4" t="str">
        <f t="shared" si="197"/>
        <v>Low</v>
      </c>
    </row>
    <row r="1139" spans="1:41">
      <c r="A1139">
        <v>3</v>
      </c>
      <c r="B1139" t="str">
        <f t="shared" si="187"/>
        <v>Third Class</v>
      </c>
      <c r="C1139">
        <v>0</v>
      </c>
      <c r="E1139" t="str">
        <f t="shared" si="188"/>
        <v>Died</v>
      </c>
      <c r="F1139" t="s">
        <v>2096</v>
      </c>
      <c r="G1139" t="s">
        <v>848</v>
      </c>
      <c r="H1139" t="s">
        <v>2097</v>
      </c>
      <c r="I1139" t="str">
        <f t="shared" si="189"/>
        <v>Mr. Razi Raihed</v>
      </c>
      <c r="J1139" t="s">
        <v>20</v>
      </c>
      <c r="K1139" t="str">
        <f t="shared" si="190"/>
        <v>Male</v>
      </c>
      <c r="L1139">
        <v>28</v>
      </c>
      <c r="O1139">
        <f t="shared" si="191"/>
        <v>28</v>
      </c>
      <c r="P1139">
        <v>0</v>
      </c>
      <c r="R1139" s="4">
        <v>0</v>
      </c>
      <c r="T1139" s="5">
        <v>7.2291999999999996</v>
      </c>
      <c r="W1139" s="4">
        <v>28</v>
      </c>
      <c r="X1139" s="4" t="str">
        <f t="shared" si="192"/>
        <v>Young Adult</v>
      </c>
      <c r="Y1139" s="4" t="s">
        <v>3561</v>
      </c>
      <c r="AB1139" s="4" t="str">
        <f t="shared" si="193"/>
        <v/>
      </c>
      <c r="AC1139" s="4" t="str">
        <f t="shared" si="194"/>
        <v>Unknown</v>
      </c>
      <c r="AD1139" s="4" t="s">
        <v>3566</v>
      </c>
      <c r="AG1139" s="4" t="str">
        <f t="shared" si="195"/>
        <v>Not Applicable</v>
      </c>
      <c r="AK1139" s="4" t="s">
        <v>3573</v>
      </c>
      <c r="AL1139" s="4" t="str">
        <f t="shared" si="196"/>
        <v>Found</v>
      </c>
      <c r="AN1139" s="6">
        <v>7.2291999999999996</v>
      </c>
      <c r="AO1139" s="4" t="str">
        <f t="shared" si="197"/>
        <v>Low</v>
      </c>
    </row>
    <row r="1140" spans="1:41">
      <c r="A1140">
        <v>3</v>
      </c>
      <c r="B1140" t="str">
        <f t="shared" si="187"/>
        <v>Third Class</v>
      </c>
      <c r="C1140">
        <v>0</v>
      </c>
      <c r="E1140" t="str">
        <f t="shared" si="188"/>
        <v>Died</v>
      </c>
      <c r="F1140" t="s">
        <v>2098</v>
      </c>
      <c r="G1140" t="s">
        <v>848</v>
      </c>
      <c r="H1140" t="s">
        <v>878</v>
      </c>
      <c r="I1140" t="str">
        <f t="shared" si="189"/>
        <v>Mr. Reed James</v>
      </c>
      <c r="J1140" t="s">
        <v>20</v>
      </c>
      <c r="K1140" t="str">
        <f t="shared" si="190"/>
        <v>Male</v>
      </c>
      <c r="L1140">
        <v>28</v>
      </c>
      <c r="O1140">
        <f t="shared" si="191"/>
        <v>28</v>
      </c>
      <c r="P1140">
        <v>0</v>
      </c>
      <c r="R1140" s="4">
        <v>0</v>
      </c>
      <c r="T1140" s="5">
        <v>7.25</v>
      </c>
      <c r="W1140" s="4">
        <v>28</v>
      </c>
      <c r="X1140" s="4" t="str">
        <f t="shared" si="192"/>
        <v>Young Adult</v>
      </c>
      <c r="Y1140" s="4" t="s">
        <v>3561</v>
      </c>
      <c r="AB1140" s="4" t="str">
        <f t="shared" si="193"/>
        <v/>
      </c>
      <c r="AC1140" s="4" t="str">
        <f t="shared" si="194"/>
        <v>Unknown</v>
      </c>
      <c r="AD1140" s="4" t="s">
        <v>457</v>
      </c>
      <c r="AG1140" s="4" t="str">
        <f t="shared" si="195"/>
        <v>Not Applicable</v>
      </c>
      <c r="AK1140" s="4" t="s">
        <v>3573</v>
      </c>
      <c r="AL1140" s="4" t="str">
        <f t="shared" si="196"/>
        <v>Found</v>
      </c>
      <c r="AN1140" s="6">
        <v>7.25</v>
      </c>
      <c r="AO1140" s="4" t="str">
        <f t="shared" si="197"/>
        <v>Low</v>
      </c>
    </row>
    <row r="1141" spans="1:41">
      <c r="A1141">
        <v>3</v>
      </c>
      <c r="B1141" t="str">
        <f t="shared" si="187"/>
        <v>Third Class</v>
      </c>
      <c r="C1141">
        <v>0</v>
      </c>
      <c r="E1141" t="str">
        <f t="shared" si="188"/>
        <v>Died</v>
      </c>
      <c r="F1141" t="s">
        <v>2099</v>
      </c>
      <c r="G1141" t="s">
        <v>848</v>
      </c>
      <c r="H1141" t="s">
        <v>2100</v>
      </c>
      <c r="I1141" t="str">
        <f t="shared" si="189"/>
        <v>Mr. Rekic Tido</v>
      </c>
      <c r="J1141" t="s">
        <v>20</v>
      </c>
      <c r="K1141" t="str">
        <f t="shared" si="190"/>
        <v>Male</v>
      </c>
      <c r="L1141">
        <v>38</v>
      </c>
      <c r="O1141">
        <f t="shared" si="191"/>
        <v>38</v>
      </c>
      <c r="P1141">
        <v>0</v>
      </c>
      <c r="R1141" s="4">
        <v>0</v>
      </c>
      <c r="T1141" s="5">
        <v>7.8958000000000004</v>
      </c>
      <c r="W1141" s="4">
        <v>38</v>
      </c>
      <c r="X1141" s="4" t="str">
        <f t="shared" si="192"/>
        <v>Adult</v>
      </c>
      <c r="Y1141" s="4" t="s">
        <v>3561</v>
      </c>
      <c r="AB1141" s="4" t="str">
        <f t="shared" si="193"/>
        <v/>
      </c>
      <c r="AC1141" s="4" t="str">
        <f t="shared" si="194"/>
        <v>Unknown</v>
      </c>
      <c r="AD1141" s="4" t="s">
        <v>457</v>
      </c>
      <c r="AG1141" s="4" t="str">
        <f t="shared" si="195"/>
        <v>Not Applicable</v>
      </c>
      <c r="AK1141" s="4" t="s">
        <v>3573</v>
      </c>
      <c r="AL1141" s="4" t="str">
        <f t="shared" si="196"/>
        <v>Found</v>
      </c>
      <c r="AN1141" s="6">
        <v>7.8958000000000004</v>
      </c>
      <c r="AO1141" s="4" t="str">
        <f t="shared" si="197"/>
        <v>Low</v>
      </c>
    </row>
    <row r="1142" spans="1:41">
      <c r="A1142">
        <v>3</v>
      </c>
      <c r="B1142" t="str">
        <f t="shared" si="187"/>
        <v>Third Class</v>
      </c>
      <c r="C1142">
        <v>0</v>
      </c>
      <c r="E1142" t="str">
        <f t="shared" si="188"/>
        <v>Died</v>
      </c>
      <c r="F1142" t="s">
        <v>2101</v>
      </c>
      <c r="G1142" t="s">
        <v>848</v>
      </c>
      <c r="H1142" t="s">
        <v>1769</v>
      </c>
      <c r="I1142" t="str">
        <f t="shared" si="189"/>
        <v>Mr. Reynolds Harold</v>
      </c>
      <c r="J1142" t="s">
        <v>20</v>
      </c>
      <c r="K1142" t="str">
        <f t="shared" si="190"/>
        <v>Male</v>
      </c>
      <c r="L1142">
        <v>21</v>
      </c>
      <c r="O1142">
        <f t="shared" si="191"/>
        <v>21</v>
      </c>
      <c r="P1142">
        <v>0</v>
      </c>
      <c r="R1142" s="4">
        <v>0</v>
      </c>
      <c r="T1142" s="5">
        <v>8.0500000000000007</v>
      </c>
      <c r="W1142" s="4">
        <v>21</v>
      </c>
      <c r="X1142" s="4" t="str">
        <f t="shared" si="192"/>
        <v>Young Adult</v>
      </c>
      <c r="Y1142" s="4" t="s">
        <v>3561</v>
      </c>
      <c r="AB1142" s="4" t="str">
        <f t="shared" si="193"/>
        <v/>
      </c>
      <c r="AC1142" s="4" t="str">
        <f t="shared" si="194"/>
        <v>Unknown</v>
      </c>
      <c r="AD1142" s="4" t="s">
        <v>457</v>
      </c>
      <c r="AG1142" s="4" t="str">
        <f t="shared" si="195"/>
        <v>Not Applicable</v>
      </c>
      <c r="AK1142" s="4" t="s">
        <v>3573</v>
      </c>
      <c r="AL1142" s="4" t="str">
        <f t="shared" si="196"/>
        <v>Found</v>
      </c>
      <c r="AN1142" s="6">
        <v>8.0500000000000007</v>
      </c>
      <c r="AO1142" s="4" t="str">
        <f t="shared" si="197"/>
        <v>Low</v>
      </c>
    </row>
    <row r="1143" spans="1:41">
      <c r="A1143">
        <v>3</v>
      </c>
      <c r="B1143" t="str">
        <f t="shared" si="187"/>
        <v>Third Class</v>
      </c>
      <c r="C1143">
        <v>0</v>
      </c>
      <c r="E1143" t="str">
        <f t="shared" si="188"/>
        <v>Died</v>
      </c>
      <c r="F1143" t="s">
        <v>2102</v>
      </c>
      <c r="G1143" t="s">
        <v>845</v>
      </c>
      <c r="H1143" t="s">
        <v>995</v>
      </c>
      <c r="I1143" t="str">
        <f t="shared" si="189"/>
        <v>Master. Rice Albert</v>
      </c>
      <c r="J1143" t="s">
        <v>20</v>
      </c>
      <c r="K1143" t="str">
        <f t="shared" si="190"/>
        <v>Male</v>
      </c>
      <c r="L1143">
        <v>10</v>
      </c>
      <c r="O1143">
        <f t="shared" si="191"/>
        <v>10</v>
      </c>
      <c r="P1143">
        <v>4</v>
      </c>
      <c r="R1143" s="4">
        <v>1</v>
      </c>
      <c r="T1143" s="5">
        <v>29.125</v>
      </c>
      <c r="W1143" s="4">
        <v>10</v>
      </c>
      <c r="X1143" s="4" t="str">
        <f t="shared" si="192"/>
        <v>Teenager</v>
      </c>
      <c r="Y1143" s="4" t="s">
        <v>3561</v>
      </c>
      <c r="AB1143" s="4" t="str">
        <f t="shared" si="193"/>
        <v/>
      </c>
      <c r="AC1143" s="4" t="str">
        <f t="shared" si="194"/>
        <v>Unknown</v>
      </c>
      <c r="AD1143" s="4" t="s">
        <v>3567</v>
      </c>
      <c r="AG1143" s="4" t="str">
        <f t="shared" si="195"/>
        <v>Not Applicable</v>
      </c>
      <c r="AK1143" s="4" t="s">
        <v>3573</v>
      </c>
      <c r="AL1143" s="4" t="str">
        <f t="shared" si="196"/>
        <v>Found</v>
      </c>
      <c r="AN1143" s="6">
        <v>29.125</v>
      </c>
      <c r="AO1143" s="4" t="str">
        <f t="shared" si="197"/>
        <v>Mid</v>
      </c>
    </row>
    <row r="1144" spans="1:41">
      <c r="A1144">
        <v>3</v>
      </c>
      <c r="B1144" t="str">
        <f t="shared" si="187"/>
        <v>Third Class</v>
      </c>
      <c r="C1144">
        <v>0</v>
      </c>
      <c r="E1144" t="str">
        <f t="shared" si="188"/>
        <v>Died</v>
      </c>
      <c r="F1144" t="s">
        <v>2102</v>
      </c>
      <c r="G1144" t="s">
        <v>845</v>
      </c>
      <c r="H1144" t="s">
        <v>913</v>
      </c>
      <c r="I1144" t="str">
        <f t="shared" si="189"/>
        <v>Master. Rice Arthur</v>
      </c>
      <c r="J1144" t="s">
        <v>20</v>
      </c>
      <c r="K1144" t="str">
        <f t="shared" si="190"/>
        <v>Male</v>
      </c>
      <c r="L1144">
        <v>4</v>
      </c>
      <c r="O1144">
        <f t="shared" si="191"/>
        <v>4</v>
      </c>
      <c r="P1144">
        <v>4</v>
      </c>
      <c r="R1144" s="4">
        <v>1</v>
      </c>
      <c r="T1144" s="5">
        <v>29.125</v>
      </c>
      <c r="W1144" s="4">
        <v>4</v>
      </c>
      <c r="X1144" s="4" t="str">
        <f t="shared" si="192"/>
        <v>Child</v>
      </c>
      <c r="Y1144" s="4" t="s">
        <v>3561</v>
      </c>
      <c r="AB1144" s="4" t="str">
        <f t="shared" si="193"/>
        <v/>
      </c>
      <c r="AC1144" s="4" t="str">
        <f t="shared" si="194"/>
        <v>Unknown</v>
      </c>
      <c r="AD1144" s="4" t="s">
        <v>3567</v>
      </c>
      <c r="AG1144" s="4" t="str">
        <f t="shared" si="195"/>
        <v>Not Applicable</v>
      </c>
      <c r="AK1144" s="4" t="s">
        <v>3573</v>
      </c>
      <c r="AL1144" s="4" t="str">
        <f t="shared" si="196"/>
        <v>Found</v>
      </c>
      <c r="AN1144" s="6">
        <v>29.125</v>
      </c>
      <c r="AO1144" s="4" t="str">
        <f t="shared" si="197"/>
        <v>Mid</v>
      </c>
    </row>
    <row r="1145" spans="1:41">
      <c r="A1145">
        <v>3</v>
      </c>
      <c r="B1145" t="str">
        <f t="shared" si="187"/>
        <v>Third Class</v>
      </c>
      <c r="C1145">
        <v>0</v>
      </c>
      <c r="E1145" t="str">
        <f t="shared" si="188"/>
        <v>Died</v>
      </c>
      <c r="F1145" t="s">
        <v>2102</v>
      </c>
      <c r="G1145" t="s">
        <v>845</v>
      </c>
      <c r="H1145" t="s">
        <v>2103</v>
      </c>
      <c r="I1145" t="str">
        <f t="shared" si="189"/>
        <v>Master. Rice Eric</v>
      </c>
      <c r="J1145" t="s">
        <v>20</v>
      </c>
      <c r="K1145" t="str">
        <f t="shared" si="190"/>
        <v>Male</v>
      </c>
      <c r="L1145">
        <v>7</v>
      </c>
      <c r="O1145">
        <f t="shared" si="191"/>
        <v>7</v>
      </c>
      <c r="P1145">
        <v>4</v>
      </c>
      <c r="R1145" s="4">
        <v>1</v>
      </c>
      <c r="T1145" s="5">
        <v>29.125</v>
      </c>
      <c r="W1145" s="4">
        <v>7</v>
      </c>
      <c r="X1145" s="4" t="str">
        <f t="shared" si="192"/>
        <v>Child</v>
      </c>
      <c r="Y1145" s="4" t="s">
        <v>3561</v>
      </c>
      <c r="AB1145" s="4" t="str">
        <f t="shared" si="193"/>
        <v/>
      </c>
      <c r="AC1145" s="4" t="str">
        <f t="shared" si="194"/>
        <v>Unknown</v>
      </c>
      <c r="AD1145" s="4" t="s">
        <v>3567</v>
      </c>
      <c r="AG1145" s="4" t="str">
        <f t="shared" si="195"/>
        <v>Not Applicable</v>
      </c>
      <c r="AK1145" s="4" t="s">
        <v>3573</v>
      </c>
      <c r="AL1145" s="4" t="str">
        <f t="shared" si="196"/>
        <v>Found</v>
      </c>
      <c r="AN1145" s="6">
        <v>29.125</v>
      </c>
      <c r="AO1145" s="4" t="str">
        <f t="shared" si="197"/>
        <v>Mid</v>
      </c>
    </row>
    <row r="1146" spans="1:41">
      <c r="A1146">
        <v>3</v>
      </c>
      <c r="B1146" t="str">
        <f t="shared" si="187"/>
        <v>Third Class</v>
      </c>
      <c r="C1146">
        <v>0</v>
      </c>
      <c r="E1146" t="str">
        <f t="shared" si="188"/>
        <v>Died</v>
      </c>
      <c r="F1146" t="s">
        <v>2102</v>
      </c>
      <c r="G1146" t="s">
        <v>845</v>
      </c>
      <c r="H1146" t="s">
        <v>1533</v>
      </c>
      <c r="I1146" t="str">
        <f t="shared" si="189"/>
        <v>Master. Rice Eugene</v>
      </c>
      <c r="J1146" t="s">
        <v>20</v>
      </c>
      <c r="K1146" t="str">
        <f t="shared" si="190"/>
        <v>Male</v>
      </c>
      <c r="L1146">
        <v>2</v>
      </c>
      <c r="O1146">
        <f t="shared" si="191"/>
        <v>2</v>
      </c>
      <c r="P1146">
        <v>4</v>
      </c>
      <c r="R1146" s="4">
        <v>1</v>
      </c>
      <c r="T1146" s="5">
        <v>29.125</v>
      </c>
      <c r="W1146" s="4">
        <v>2</v>
      </c>
      <c r="X1146" s="4" t="str">
        <f t="shared" si="192"/>
        <v>Child</v>
      </c>
      <c r="Y1146" s="4" t="s">
        <v>3561</v>
      </c>
      <c r="AB1146" s="4" t="str">
        <f t="shared" si="193"/>
        <v/>
      </c>
      <c r="AC1146" s="4" t="str">
        <f t="shared" si="194"/>
        <v>Unknown</v>
      </c>
      <c r="AD1146" s="4" t="s">
        <v>3567</v>
      </c>
      <c r="AG1146" s="4" t="str">
        <f t="shared" si="195"/>
        <v>Not Applicable</v>
      </c>
      <c r="AK1146" s="4" t="s">
        <v>3573</v>
      </c>
      <c r="AL1146" s="4" t="str">
        <f t="shared" si="196"/>
        <v>Found</v>
      </c>
      <c r="AN1146" s="6">
        <v>29.125</v>
      </c>
      <c r="AO1146" s="4" t="str">
        <f t="shared" si="197"/>
        <v>Mid</v>
      </c>
    </row>
    <row r="1147" spans="1:41">
      <c r="A1147">
        <v>3</v>
      </c>
      <c r="B1147" t="str">
        <f t="shared" si="187"/>
        <v>Third Class</v>
      </c>
      <c r="C1147">
        <v>0</v>
      </c>
      <c r="E1147" t="str">
        <f t="shared" si="188"/>
        <v>Died</v>
      </c>
      <c r="F1147" t="s">
        <v>2102</v>
      </c>
      <c r="G1147" t="s">
        <v>845</v>
      </c>
      <c r="H1147" t="s">
        <v>912</v>
      </c>
      <c r="I1147" t="str">
        <f t="shared" si="189"/>
        <v>Master. Rice George</v>
      </c>
      <c r="J1147" t="s">
        <v>20</v>
      </c>
      <c r="K1147" t="str">
        <f t="shared" si="190"/>
        <v>Male</v>
      </c>
      <c r="L1147">
        <v>8</v>
      </c>
      <c r="O1147">
        <f t="shared" si="191"/>
        <v>8</v>
      </c>
      <c r="P1147">
        <v>4</v>
      </c>
      <c r="R1147" s="4">
        <v>1</v>
      </c>
      <c r="T1147" s="5">
        <v>29.125</v>
      </c>
      <c r="W1147" s="4">
        <v>8</v>
      </c>
      <c r="X1147" s="4" t="str">
        <f t="shared" si="192"/>
        <v>Child</v>
      </c>
      <c r="Y1147" s="4" t="s">
        <v>3561</v>
      </c>
      <c r="AB1147" s="4" t="str">
        <f t="shared" si="193"/>
        <v/>
      </c>
      <c r="AC1147" s="4" t="str">
        <f t="shared" si="194"/>
        <v>Unknown</v>
      </c>
      <c r="AD1147" s="4" t="s">
        <v>3567</v>
      </c>
      <c r="AG1147" s="4" t="str">
        <f t="shared" si="195"/>
        <v>Not Applicable</v>
      </c>
      <c r="AK1147" s="4" t="s">
        <v>3573</v>
      </c>
      <c r="AL1147" s="4" t="str">
        <f t="shared" si="196"/>
        <v>Found</v>
      </c>
      <c r="AN1147" s="6">
        <v>29.125</v>
      </c>
      <c r="AO1147" s="4" t="str">
        <f t="shared" si="197"/>
        <v>Mid</v>
      </c>
    </row>
    <row r="1148" spans="1:41">
      <c r="A1148">
        <v>3</v>
      </c>
      <c r="B1148" t="str">
        <f t="shared" si="187"/>
        <v>Third Class</v>
      </c>
      <c r="C1148">
        <v>0</v>
      </c>
      <c r="E1148" t="str">
        <f t="shared" si="188"/>
        <v>Died</v>
      </c>
      <c r="F1148" t="s">
        <v>2102</v>
      </c>
      <c r="G1148" t="s">
        <v>849</v>
      </c>
      <c r="H1148" t="s">
        <v>924</v>
      </c>
      <c r="I1148" t="str">
        <f t="shared" si="189"/>
        <v>Mrs. Rice William</v>
      </c>
      <c r="J1148" t="s">
        <v>47</v>
      </c>
      <c r="K1148" t="str">
        <f t="shared" si="190"/>
        <v>Female</v>
      </c>
      <c r="L1148">
        <v>39</v>
      </c>
      <c r="O1148">
        <f t="shared" si="191"/>
        <v>39</v>
      </c>
      <c r="P1148">
        <v>0</v>
      </c>
      <c r="R1148" s="4">
        <v>5</v>
      </c>
      <c r="T1148" s="5">
        <v>29.125</v>
      </c>
      <c r="W1148" s="4">
        <v>39</v>
      </c>
      <c r="X1148" s="4" t="str">
        <f t="shared" si="192"/>
        <v>Adult</v>
      </c>
      <c r="Y1148" s="4" t="s">
        <v>3561</v>
      </c>
      <c r="AB1148" s="4" t="str">
        <f t="shared" si="193"/>
        <v/>
      </c>
      <c r="AC1148" s="4" t="str">
        <f t="shared" si="194"/>
        <v>Unknown</v>
      </c>
      <c r="AD1148" s="4" t="s">
        <v>3567</v>
      </c>
      <c r="AG1148" s="4" t="str">
        <f t="shared" si="195"/>
        <v>Not Applicable</v>
      </c>
      <c r="AH1148" s="4">
        <v>327</v>
      </c>
      <c r="AK1148" s="4">
        <v>327</v>
      </c>
      <c r="AL1148" s="4" t="str">
        <f t="shared" si="196"/>
        <v>Found</v>
      </c>
      <c r="AN1148" s="6">
        <v>29.125</v>
      </c>
      <c r="AO1148" s="4" t="str">
        <f t="shared" si="197"/>
        <v>Mid</v>
      </c>
    </row>
    <row r="1149" spans="1:41">
      <c r="A1149">
        <v>3</v>
      </c>
      <c r="B1149" t="str">
        <f t="shared" si="187"/>
        <v>Third Class</v>
      </c>
      <c r="C1149">
        <v>0</v>
      </c>
      <c r="E1149" t="str">
        <f t="shared" si="188"/>
        <v>Died</v>
      </c>
      <c r="F1149" t="s">
        <v>2104</v>
      </c>
      <c r="G1149" t="s">
        <v>842</v>
      </c>
      <c r="H1149" t="s">
        <v>2105</v>
      </c>
      <c r="I1149" t="str">
        <f t="shared" si="189"/>
        <v>Miss. Riihivouri Susanna</v>
      </c>
      <c r="J1149" t="s">
        <v>47</v>
      </c>
      <c r="K1149" t="str">
        <f t="shared" si="190"/>
        <v>Female</v>
      </c>
      <c r="L1149">
        <v>22</v>
      </c>
      <c r="O1149">
        <f t="shared" si="191"/>
        <v>22</v>
      </c>
      <c r="P1149">
        <v>0</v>
      </c>
      <c r="R1149" s="4">
        <v>0</v>
      </c>
      <c r="T1149" s="5">
        <v>39.6875</v>
      </c>
      <c r="W1149" s="4">
        <v>22</v>
      </c>
      <c r="X1149" s="4" t="str">
        <f t="shared" si="192"/>
        <v>Young Adult</v>
      </c>
      <c r="Y1149" s="4" t="s">
        <v>3561</v>
      </c>
      <c r="AB1149" s="4" t="str">
        <f t="shared" si="193"/>
        <v/>
      </c>
      <c r="AC1149" s="4" t="str">
        <f t="shared" si="194"/>
        <v>Unknown</v>
      </c>
      <c r="AD1149" s="4" t="s">
        <v>457</v>
      </c>
      <c r="AG1149" s="4" t="str">
        <f t="shared" si="195"/>
        <v>Not Applicable</v>
      </c>
      <c r="AK1149" s="4" t="s">
        <v>3573</v>
      </c>
      <c r="AL1149" s="4" t="str">
        <f t="shared" si="196"/>
        <v>Found</v>
      </c>
      <c r="AN1149" s="6">
        <v>39.6875</v>
      </c>
      <c r="AO1149" s="4" t="str">
        <f t="shared" si="197"/>
        <v>Mid</v>
      </c>
    </row>
    <row r="1150" spans="1:41">
      <c r="A1150">
        <v>3</v>
      </c>
      <c r="B1150" t="str">
        <f t="shared" si="187"/>
        <v>Third Class</v>
      </c>
      <c r="C1150">
        <v>0</v>
      </c>
      <c r="E1150" t="str">
        <f t="shared" si="188"/>
        <v>Died</v>
      </c>
      <c r="F1150" t="s">
        <v>2106</v>
      </c>
      <c r="G1150" t="s">
        <v>848</v>
      </c>
      <c r="H1150" t="s">
        <v>1930</v>
      </c>
      <c r="I1150" t="str">
        <f t="shared" si="189"/>
        <v>Mr. Rintamaki Matti</v>
      </c>
      <c r="J1150" t="s">
        <v>20</v>
      </c>
      <c r="K1150" t="str">
        <f t="shared" si="190"/>
        <v>Male</v>
      </c>
      <c r="L1150">
        <v>35</v>
      </c>
      <c r="O1150">
        <f t="shared" si="191"/>
        <v>35</v>
      </c>
      <c r="P1150">
        <v>0</v>
      </c>
      <c r="R1150" s="4">
        <v>0</v>
      </c>
      <c r="T1150" s="5">
        <v>7.125</v>
      </c>
      <c r="W1150" s="4">
        <v>35</v>
      </c>
      <c r="X1150" s="4" t="str">
        <f t="shared" si="192"/>
        <v>Adult</v>
      </c>
      <c r="Y1150" s="4" t="s">
        <v>3561</v>
      </c>
      <c r="AB1150" s="4" t="str">
        <f t="shared" si="193"/>
        <v/>
      </c>
      <c r="AC1150" s="4" t="str">
        <f t="shared" si="194"/>
        <v>Unknown</v>
      </c>
      <c r="AD1150" s="4" t="s">
        <v>457</v>
      </c>
      <c r="AG1150" s="4" t="str">
        <f t="shared" si="195"/>
        <v>Not Applicable</v>
      </c>
      <c r="AK1150" s="4" t="s">
        <v>3573</v>
      </c>
      <c r="AL1150" s="4" t="str">
        <f t="shared" si="196"/>
        <v>Found</v>
      </c>
      <c r="AN1150" s="6">
        <v>7.125</v>
      </c>
      <c r="AO1150" s="4" t="str">
        <f t="shared" si="197"/>
        <v>Low</v>
      </c>
    </row>
    <row r="1151" spans="1:41">
      <c r="A1151">
        <v>3</v>
      </c>
      <c r="B1151" t="str">
        <f t="shared" si="187"/>
        <v>Third Class</v>
      </c>
      <c r="C1151">
        <v>1</v>
      </c>
      <c r="E1151" t="str">
        <f t="shared" si="188"/>
        <v>Survived</v>
      </c>
      <c r="F1151" t="s">
        <v>2107</v>
      </c>
      <c r="G1151" t="s">
        <v>842</v>
      </c>
      <c r="H1151" t="s">
        <v>2108</v>
      </c>
      <c r="I1151" t="str">
        <f t="shared" si="189"/>
        <v>Miss. Riordan Johanna</v>
      </c>
      <c r="J1151" t="s">
        <v>47</v>
      </c>
      <c r="K1151" t="str">
        <f t="shared" si="190"/>
        <v>Female</v>
      </c>
      <c r="L1151">
        <v>28</v>
      </c>
      <c r="O1151">
        <f t="shared" si="191"/>
        <v>28</v>
      </c>
      <c r="P1151">
        <v>0</v>
      </c>
      <c r="R1151" s="4">
        <v>0</v>
      </c>
      <c r="T1151" s="5">
        <v>7.7207999999999997</v>
      </c>
      <c r="W1151" s="4">
        <v>28</v>
      </c>
      <c r="X1151" s="4" t="str">
        <f t="shared" si="192"/>
        <v>Young Adult</v>
      </c>
      <c r="Y1151" s="4" t="s">
        <v>3561</v>
      </c>
      <c r="AB1151" s="4" t="str">
        <f t="shared" si="193"/>
        <v/>
      </c>
      <c r="AC1151" s="4" t="str">
        <f t="shared" si="194"/>
        <v>Unknown</v>
      </c>
      <c r="AD1151" s="4" t="s">
        <v>3567</v>
      </c>
      <c r="AF1151" s="4">
        <v>13</v>
      </c>
      <c r="AG1151" s="4">
        <f t="shared" si="195"/>
        <v>13</v>
      </c>
      <c r="AK1151" s="4" t="s">
        <v>3573</v>
      </c>
      <c r="AL1151" s="4" t="str">
        <f t="shared" si="196"/>
        <v>Found</v>
      </c>
      <c r="AN1151" s="6">
        <v>7.7207999999999997</v>
      </c>
      <c r="AO1151" s="4" t="str">
        <f t="shared" si="197"/>
        <v>Low</v>
      </c>
    </row>
    <row r="1152" spans="1:41">
      <c r="A1152">
        <v>3</v>
      </c>
      <c r="B1152" t="str">
        <f t="shared" si="187"/>
        <v>Third Class</v>
      </c>
      <c r="C1152">
        <v>0</v>
      </c>
      <c r="E1152" t="str">
        <f t="shared" si="188"/>
        <v>Died</v>
      </c>
      <c r="F1152" t="s">
        <v>2109</v>
      </c>
      <c r="G1152" t="s">
        <v>848</v>
      </c>
      <c r="H1152" t="s">
        <v>1046</v>
      </c>
      <c r="I1152" t="str">
        <f t="shared" si="189"/>
        <v>Mr. Risien Samuel</v>
      </c>
      <c r="J1152" t="s">
        <v>20</v>
      </c>
      <c r="K1152" t="str">
        <f t="shared" si="190"/>
        <v>Male</v>
      </c>
      <c r="L1152">
        <v>28</v>
      </c>
      <c r="O1152">
        <f t="shared" si="191"/>
        <v>28</v>
      </c>
      <c r="P1152">
        <v>0</v>
      </c>
      <c r="R1152" s="4">
        <v>0</v>
      </c>
      <c r="T1152" s="5">
        <v>14.5</v>
      </c>
      <c r="W1152" s="4">
        <v>28</v>
      </c>
      <c r="X1152" s="4" t="str">
        <f t="shared" si="192"/>
        <v>Young Adult</v>
      </c>
      <c r="Y1152" s="4" t="s">
        <v>3561</v>
      </c>
      <c r="AB1152" s="4" t="str">
        <f t="shared" si="193"/>
        <v/>
      </c>
      <c r="AC1152" s="4" t="str">
        <f t="shared" si="194"/>
        <v>Unknown</v>
      </c>
      <c r="AD1152" s="4" t="s">
        <v>457</v>
      </c>
      <c r="AG1152" s="4" t="str">
        <f t="shared" si="195"/>
        <v>Not Applicable</v>
      </c>
      <c r="AK1152" s="4" t="s">
        <v>3573</v>
      </c>
      <c r="AL1152" s="4" t="str">
        <f t="shared" si="196"/>
        <v>Found</v>
      </c>
      <c r="AN1152" s="6">
        <v>14.5</v>
      </c>
      <c r="AO1152" s="4" t="str">
        <f t="shared" si="197"/>
        <v>Mid</v>
      </c>
    </row>
    <row r="1153" spans="1:41">
      <c r="A1153">
        <v>3</v>
      </c>
      <c r="B1153" t="str">
        <f t="shared" si="187"/>
        <v>Third Class</v>
      </c>
      <c r="C1153">
        <v>0</v>
      </c>
      <c r="E1153" t="str">
        <f t="shared" si="188"/>
        <v>Died</v>
      </c>
      <c r="F1153" t="s">
        <v>2109</v>
      </c>
      <c r="G1153" t="s">
        <v>849</v>
      </c>
      <c r="H1153" t="s">
        <v>1046</v>
      </c>
      <c r="I1153" t="str">
        <f t="shared" si="189"/>
        <v>Mrs. Risien Samuel</v>
      </c>
      <c r="J1153" t="s">
        <v>47</v>
      </c>
      <c r="K1153" t="str">
        <f t="shared" si="190"/>
        <v>Female</v>
      </c>
      <c r="L1153">
        <v>28</v>
      </c>
      <c r="O1153">
        <f t="shared" si="191"/>
        <v>28</v>
      </c>
      <c r="P1153">
        <v>0</v>
      </c>
      <c r="R1153" s="4">
        <v>0</v>
      </c>
      <c r="T1153" s="5">
        <v>14.5</v>
      </c>
      <c r="W1153" s="4">
        <v>28</v>
      </c>
      <c r="X1153" s="4" t="str">
        <f t="shared" si="192"/>
        <v>Young Adult</v>
      </c>
      <c r="Y1153" s="4" t="s">
        <v>3561</v>
      </c>
      <c r="AB1153" s="4" t="str">
        <f t="shared" si="193"/>
        <v/>
      </c>
      <c r="AC1153" s="4" t="str">
        <f t="shared" si="194"/>
        <v>Unknown</v>
      </c>
      <c r="AD1153" s="4" t="s">
        <v>457</v>
      </c>
      <c r="AG1153" s="4" t="str">
        <f t="shared" si="195"/>
        <v>Not Applicable</v>
      </c>
      <c r="AK1153" s="4" t="s">
        <v>3573</v>
      </c>
      <c r="AL1153" s="4" t="str">
        <f t="shared" si="196"/>
        <v>Found</v>
      </c>
      <c r="AN1153" s="6">
        <v>14.5</v>
      </c>
      <c r="AO1153" s="4" t="str">
        <f t="shared" si="197"/>
        <v>Mid</v>
      </c>
    </row>
    <row r="1154" spans="1:41">
      <c r="A1154">
        <v>3</v>
      </c>
      <c r="B1154" t="str">
        <f t="shared" si="187"/>
        <v>Third Class</v>
      </c>
      <c r="C1154">
        <v>0</v>
      </c>
      <c r="E1154" t="str">
        <f t="shared" si="188"/>
        <v>Died</v>
      </c>
      <c r="F1154" t="s">
        <v>2110</v>
      </c>
      <c r="G1154" t="s">
        <v>848</v>
      </c>
      <c r="H1154" t="s">
        <v>932</v>
      </c>
      <c r="I1154" t="str">
        <f t="shared" si="189"/>
        <v>Mr. Robins Alexander</v>
      </c>
      <c r="J1154" t="s">
        <v>20</v>
      </c>
      <c r="K1154" t="str">
        <f t="shared" si="190"/>
        <v>Male</v>
      </c>
      <c r="L1154">
        <v>50</v>
      </c>
      <c r="O1154">
        <f t="shared" si="191"/>
        <v>50</v>
      </c>
      <c r="P1154">
        <v>1</v>
      </c>
      <c r="R1154" s="4">
        <v>0</v>
      </c>
      <c r="T1154" s="5">
        <v>14.5</v>
      </c>
      <c r="W1154" s="4">
        <v>50</v>
      </c>
      <c r="X1154" s="4" t="str">
        <f t="shared" si="192"/>
        <v>Adult</v>
      </c>
      <c r="Y1154" s="4" t="s">
        <v>3561</v>
      </c>
      <c r="AB1154" s="4" t="str">
        <f t="shared" si="193"/>
        <v/>
      </c>
      <c r="AC1154" s="4" t="str">
        <f t="shared" si="194"/>
        <v>Unknown</v>
      </c>
      <c r="AD1154" s="4" t="s">
        <v>457</v>
      </c>
      <c r="AG1154" s="4" t="str">
        <f t="shared" si="195"/>
        <v>Not Applicable</v>
      </c>
      <c r="AH1154" s="4">
        <v>119</v>
      </c>
      <c r="AK1154" s="4">
        <v>119</v>
      </c>
      <c r="AL1154" s="4" t="str">
        <f t="shared" si="196"/>
        <v>Found</v>
      </c>
      <c r="AN1154" s="6">
        <v>14.5</v>
      </c>
      <c r="AO1154" s="4" t="str">
        <f t="shared" si="197"/>
        <v>Mid</v>
      </c>
    </row>
    <row r="1155" spans="1:41">
      <c r="A1155">
        <v>3</v>
      </c>
      <c r="B1155" t="str">
        <f t="shared" ref="B1155:B1218" si="198">IF(A1155=1,"First Class",IF(A1155=2,"Second Class",IF(A1155=3,"Third Class"," ")))</f>
        <v>Third Class</v>
      </c>
      <c r="C1155">
        <v>0</v>
      </c>
      <c r="E1155" t="str">
        <f t="shared" ref="E1155:E1218" si="199">IF(C1155=1,"Survived",IF(C1155=0,"Died"))</f>
        <v>Died</v>
      </c>
      <c r="F1155" t="s">
        <v>2110</v>
      </c>
      <c r="G1155" t="s">
        <v>849</v>
      </c>
      <c r="H1155" t="s">
        <v>932</v>
      </c>
      <c r="I1155" t="str">
        <f t="shared" ref="I1155:I1218" si="200">_xlfn.CONCAT(G1155," ",F1155," ",H1155)</f>
        <v>Mrs. Robins Alexander</v>
      </c>
      <c r="J1155" t="s">
        <v>47</v>
      </c>
      <c r="K1155" t="str">
        <f t="shared" ref="K1155:K1218" si="201">PROPER(J1155)</f>
        <v>Female</v>
      </c>
      <c r="L1155">
        <v>47</v>
      </c>
      <c r="O1155">
        <f t="shared" ref="O1155:O1218" si="202">IF(L1155&lt;1,1,ROUND(L1155,0))</f>
        <v>47</v>
      </c>
      <c r="P1155">
        <v>1</v>
      </c>
      <c r="R1155" s="4">
        <v>0</v>
      </c>
      <c r="T1155" s="5">
        <v>14.5</v>
      </c>
      <c r="W1155" s="4">
        <v>47</v>
      </c>
      <c r="X1155" s="4" t="str">
        <f t="shared" ref="X1155:X1218" si="203">IF(W1155&lt;10,"Child",IF(W1155&lt;18,"Teenager",IF(W1155&lt;30,"Young Adult",IF(W1155&lt;60,"Adult","Old Adult"))))</f>
        <v>Adult</v>
      </c>
      <c r="Y1155" s="4" t="s">
        <v>3561</v>
      </c>
      <c r="AB1155" s="4" t="str">
        <f t="shared" ref="AB1155:AB1218" si="204">LEFT(AA1155,1)</f>
        <v/>
      </c>
      <c r="AC1155" s="4" t="str">
        <f t="shared" ref="AC1155:AC1218" si="205">IF(AB1155="","Unknown",LEFT(AB1155,1))</f>
        <v>Unknown</v>
      </c>
      <c r="AD1155" s="4" t="s">
        <v>457</v>
      </c>
      <c r="AG1155" s="4" t="str">
        <f t="shared" ref="AG1155:AG1218" si="206">IF(AF1155="",IF(E1155=1,"Unknown","Not Applicable"),AF1155)</f>
        <v>Not Applicable</v>
      </c>
      <c r="AH1155" s="4">
        <v>7</v>
      </c>
      <c r="AK1155" s="4">
        <v>7</v>
      </c>
      <c r="AL1155" s="4" t="str">
        <f t="shared" ref="AL1155:AL1218" si="207">IF(AK1155="","Not Found","Found")</f>
        <v>Found</v>
      </c>
      <c r="AN1155" s="6">
        <v>14.5</v>
      </c>
      <c r="AO1155" s="4" t="str">
        <f t="shared" ref="AO1155:AO1218" si="208">IF(AN1155&lt;=10,"Low",IF(AN1155&lt;=50,"Mid","High"))</f>
        <v>Mid</v>
      </c>
    </row>
    <row r="1156" spans="1:41">
      <c r="A1156">
        <v>3</v>
      </c>
      <c r="B1156" t="str">
        <f t="shared" si="198"/>
        <v>Third Class</v>
      </c>
      <c r="C1156">
        <v>0</v>
      </c>
      <c r="E1156" t="str">
        <f t="shared" si="199"/>
        <v>Died</v>
      </c>
      <c r="F1156" t="s">
        <v>1485</v>
      </c>
      <c r="G1156" t="s">
        <v>848</v>
      </c>
      <c r="H1156" t="s">
        <v>924</v>
      </c>
      <c r="I1156" t="str">
        <f t="shared" si="200"/>
        <v>Mr. Rogers William</v>
      </c>
      <c r="J1156" t="s">
        <v>20</v>
      </c>
      <c r="K1156" t="str">
        <f t="shared" si="201"/>
        <v>Male</v>
      </c>
      <c r="L1156">
        <v>28</v>
      </c>
      <c r="O1156">
        <f t="shared" si="202"/>
        <v>28</v>
      </c>
      <c r="P1156">
        <v>0</v>
      </c>
      <c r="R1156" s="4">
        <v>0</v>
      </c>
      <c r="T1156" s="5">
        <v>8.0500000000000007</v>
      </c>
      <c r="W1156" s="4">
        <v>28</v>
      </c>
      <c r="X1156" s="4" t="str">
        <f t="shared" si="203"/>
        <v>Young Adult</v>
      </c>
      <c r="Y1156" s="4" t="s">
        <v>3561</v>
      </c>
      <c r="AB1156" s="4" t="str">
        <f t="shared" si="204"/>
        <v/>
      </c>
      <c r="AC1156" s="4" t="str">
        <f t="shared" si="205"/>
        <v>Unknown</v>
      </c>
      <c r="AD1156" s="4" t="s">
        <v>457</v>
      </c>
      <c r="AG1156" s="4" t="str">
        <f t="shared" si="206"/>
        <v>Not Applicable</v>
      </c>
      <c r="AK1156" s="4" t="s">
        <v>3573</v>
      </c>
      <c r="AL1156" s="4" t="str">
        <f t="shared" si="207"/>
        <v>Found</v>
      </c>
      <c r="AN1156" s="6">
        <v>8.0500000000000007</v>
      </c>
      <c r="AO1156" s="4" t="str">
        <f t="shared" si="208"/>
        <v>Low</v>
      </c>
    </row>
    <row r="1157" spans="1:41">
      <c r="A1157">
        <v>3</v>
      </c>
      <c r="B1157" t="str">
        <f t="shared" si="198"/>
        <v>Third Class</v>
      </c>
      <c r="C1157">
        <v>0</v>
      </c>
      <c r="E1157" t="str">
        <f t="shared" si="199"/>
        <v>Died</v>
      </c>
      <c r="F1157" t="s">
        <v>2111</v>
      </c>
      <c r="G1157" t="s">
        <v>848</v>
      </c>
      <c r="H1157" t="s">
        <v>2112</v>
      </c>
      <c r="I1157" t="str">
        <f t="shared" si="200"/>
        <v>Mr. Rommetvedt Knud</v>
      </c>
      <c r="J1157" t="s">
        <v>20</v>
      </c>
      <c r="K1157" t="str">
        <f t="shared" si="201"/>
        <v>Male</v>
      </c>
      <c r="L1157">
        <v>28</v>
      </c>
      <c r="O1157">
        <f t="shared" si="202"/>
        <v>28</v>
      </c>
      <c r="P1157">
        <v>0</v>
      </c>
      <c r="R1157" s="4">
        <v>0</v>
      </c>
      <c r="T1157" s="5">
        <v>7.7750000000000004</v>
      </c>
      <c r="W1157" s="4">
        <v>28</v>
      </c>
      <c r="X1157" s="4" t="str">
        <f t="shared" si="203"/>
        <v>Young Adult</v>
      </c>
      <c r="Y1157" s="4" t="s">
        <v>3561</v>
      </c>
      <c r="AB1157" s="4" t="str">
        <f t="shared" si="204"/>
        <v/>
      </c>
      <c r="AC1157" s="4" t="str">
        <f t="shared" si="205"/>
        <v>Unknown</v>
      </c>
      <c r="AD1157" s="4" t="s">
        <v>457</v>
      </c>
      <c r="AG1157" s="4" t="str">
        <f t="shared" si="206"/>
        <v>Not Applicable</v>
      </c>
      <c r="AK1157" s="4" t="s">
        <v>3573</v>
      </c>
      <c r="AL1157" s="4" t="str">
        <f t="shared" si="207"/>
        <v>Found</v>
      </c>
      <c r="AN1157" s="6">
        <v>7.7750000000000004</v>
      </c>
      <c r="AO1157" s="4" t="str">
        <f t="shared" si="208"/>
        <v>Low</v>
      </c>
    </row>
    <row r="1158" spans="1:41">
      <c r="A1158">
        <v>3</v>
      </c>
      <c r="B1158" t="str">
        <f t="shared" si="198"/>
        <v>Third Class</v>
      </c>
      <c r="C1158">
        <v>0</v>
      </c>
      <c r="E1158" t="str">
        <f t="shared" si="199"/>
        <v>Died</v>
      </c>
      <c r="F1158" t="s">
        <v>2113</v>
      </c>
      <c r="G1158" t="s">
        <v>842</v>
      </c>
      <c r="H1158" t="s">
        <v>2114</v>
      </c>
      <c r="I1158" t="str">
        <f t="shared" si="200"/>
        <v>Miss. Rosblom Salli</v>
      </c>
      <c r="J1158" t="s">
        <v>47</v>
      </c>
      <c r="K1158" t="str">
        <f t="shared" si="201"/>
        <v>Female</v>
      </c>
      <c r="L1158">
        <v>2</v>
      </c>
      <c r="O1158">
        <f t="shared" si="202"/>
        <v>2</v>
      </c>
      <c r="P1158">
        <v>1</v>
      </c>
      <c r="R1158" s="4">
        <v>1</v>
      </c>
      <c r="T1158" s="5">
        <v>20.212499999999999</v>
      </c>
      <c r="W1158" s="4">
        <v>2</v>
      </c>
      <c r="X1158" s="4" t="str">
        <f t="shared" si="203"/>
        <v>Child</v>
      </c>
      <c r="Y1158" s="4" t="s">
        <v>3561</v>
      </c>
      <c r="AB1158" s="4" t="str">
        <f t="shared" si="204"/>
        <v/>
      </c>
      <c r="AC1158" s="4" t="str">
        <f t="shared" si="205"/>
        <v>Unknown</v>
      </c>
      <c r="AD1158" s="4" t="s">
        <v>457</v>
      </c>
      <c r="AG1158" s="4" t="str">
        <f t="shared" si="206"/>
        <v>Not Applicable</v>
      </c>
      <c r="AK1158" s="4" t="s">
        <v>3573</v>
      </c>
      <c r="AL1158" s="4" t="str">
        <f t="shared" si="207"/>
        <v>Found</v>
      </c>
      <c r="AN1158" s="6">
        <v>20.212499999999999</v>
      </c>
      <c r="AO1158" s="4" t="str">
        <f t="shared" si="208"/>
        <v>Mid</v>
      </c>
    </row>
    <row r="1159" spans="1:41">
      <c r="A1159">
        <v>3</v>
      </c>
      <c r="B1159" t="str">
        <f t="shared" si="198"/>
        <v>Third Class</v>
      </c>
      <c r="C1159">
        <v>0</v>
      </c>
      <c r="E1159" t="str">
        <f t="shared" si="199"/>
        <v>Died</v>
      </c>
      <c r="F1159" t="s">
        <v>2113</v>
      </c>
      <c r="G1159" t="s">
        <v>848</v>
      </c>
      <c r="H1159" t="s">
        <v>1614</v>
      </c>
      <c r="I1159" t="str">
        <f t="shared" si="200"/>
        <v>Mr. Rosblom Viktor</v>
      </c>
      <c r="J1159" t="s">
        <v>20</v>
      </c>
      <c r="K1159" t="str">
        <f t="shared" si="201"/>
        <v>Male</v>
      </c>
      <c r="L1159">
        <v>18</v>
      </c>
      <c r="O1159">
        <f t="shared" si="202"/>
        <v>18</v>
      </c>
      <c r="P1159">
        <v>1</v>
      </c>
      <c r="R1159" s="4">
        <v>1</v>
      </c>
      <c r="T1159" s="5">
        <v>20.212499999999999</v>
      </c>
      <c r="W1159" s="4">
        <v>18</v>
      </c>
      <c r="X1159" s="4" t="str">
        <f t="shared" si="203"/>
        <v>Young Adult</v>
      </c>
      <c r="Y1159" s="4" t="s">
        <v>3561</v>
      </c>
      <c r="AB1159" s="4" t="str">
        <f t="shared" si="204"/>
        <v/>
      </c>
      <c r="AC1159" s="4" t="str">
        <f t="shared" si="205"/>
        <v>Unknown</v>
      </c>
      <c r="AD1159" s="4" t="s">
        <v>457</v>
      </c>
      <c r="AG1159" s="4" t="str">
        <f t="shared" si="206"/>
        <v>Not Applicable</v>
      </c>
      <c r="AK1159" s="4" t="s">
        <v>3573</v>
      </c>
      <c r="AL1159" s="4" t="str">
        <f t="shared" si="207"/>
        <v>Found</v>
      </c>
      <c r="AN1159" s="6">
        <v>20.212499999999999</v>
      </c>
      <c r="AO1159" s="4" t="str">
        <f t="shared" si="208"/>
        <v>Mid</v>
      </c>
    </row>
    <row r="1160" spans="1:41">
      <c r="A1160">
        <v>3</v>
      </c>
      <c r="B1160" t="str">
        <f t="shared" si="198"/>
        <v>Third Class</v>
      </c>
      <c r="C1160">
        <v>0</v>
      </c>
      <c r="E1160" t="str">
        <f t="shared" si="199"/>
        <v>Died</v>
      </c>
      <c r="F1160" t="s">
        <v>2113</v>
      </c>
      <c r="G1160" t="s">
        <v>849</v>
      </c>
      <c r="H1160" t="s">
        <v>1614</v>
      </c>
      <c r="I1160" t="str">
        <f t="shared" si="200"/>
        <v>Mrs. Rosblom Viktor</v>
      </c>
      <c r="J1160" t="s">
        <v>47</v>
      </c>
      <c r="K1160" t="str">
        <f t="shared" si="201"/>
        <v>Female</v>
      </c>
      <c r="L1160">
        <v>41</v>
      </c>
      <c r="O1160">
        <f t="shared" si="202"/>
        <v>41</v>
      </c>
      <c r="P1160">
        <v>0</v>
      </c>
      <c r="R1160" s="4">
        <v>2</v>
      </c>
      <c r="T1160" s="5">
        <v>20.212499999999999</v>
      </c>
      <c r="W1160" s="4">
        <v>41</v>
      </c>
      <c r="X1160" s="4" t="str">
        <f t="shared" si="203"/>
        <v>Adult</v>
      </c>
      <c r="Y1160" s="4" t="s">
        <v>3561</v>
      </c>
      <c r="AB1160" s="4" t="str">
        <f t="shared" si="204"/>
        <v/>
      </c>
      <c r="AC1160" s="4" t="str">
        <f t="shared" si="205"/>
        <v>Unknown</v>
      </c>
      <c r="AD1160" s="4" t="s">
        <v>457</v>
      </c>
      <c r="AG1160" s="4" t="str">
        <f t="shared" si="206"/>
        <v>Not Applicable</v>
      </c>
      <c r="AK1160" s="4" t="s">
        <v>3573</v>
      </c>
      <c r="AL1160" s="4" t="str">
        <f t="shared" si="207"/>
        <v>Found</v>
      </c>
      <c r="AN1160" s="6">
        <v>20.212499999999999</v>
      </c>
      <c r="AO1160" s="4" t="str">
        <f t="shared" si="208"/>
        <v>Mid</v>
      </c>
    </row>
    <row r="1161" spans="1:41">
      <c r="A1161">
        <v>3</v>
      </c>
      <c r="B1161" t="str">
        <f t="shared" si="198"/>
        <v>Third Class</v>
      </c>
      <c r="C1161">
        <v>1</v>
      </c>
      <c r="E1161" t="str">
        <f t="shared" si="199"/>
        <v>Survived</v>
      </c>
      <c r="F1161" t="s">
        <v>2115</v>
      </c>
      <c r="G1161" t="s">
        <v>842</v>
      </c>
      <c r="H1161" t="s">
        <v>992</v>
      </c>
      <c r="I1161" t="str">
        <f t="shared" si="200"/>
        <v>Miss. Roth Sarah</v>
      </c>
      <c r="J1161" t="s">
        <v>47</v>
      </c>
      <c r="K1161" t="str">
        <f t="shared" si="201"/>
        <v>Female</v>
      </c>
      <c r="L1161">
        <v>28</v>
      </c>
      <c r="O1161">
        <f t="shared" si="202"/>
        <v>28</v>
      </c>
      <c r="P1161">
        <v>0</v>
      </c>
      <c r="R1161" s="4">
        <v>0</v>
      </c>
      <c r="T1161" s="5">
        <v>8.0500000000000007</v>
      </c>
      <c r="W1161" s="4">
        <v>28</v>
      </c>
      <c r="X1161" s="4" t="str">
        <f t="shared" si="203"/>
        <v>Young Adult</v>
      </c>
      <c r="Y1161" s="4" t="s">
        <v>3561</v>
      </c>
      <c r="AB1161" s="4" t="str">
        <f t="shared" si="204"/>
        <v/>
      </c>
      <c r="AC1161" s="4" t="str">
        <f t="shared" si="205"/>
        <v>Unknown</v>
      </c>
      <c r="AD1161" s="4" t="s">
        <v>457</v>
      </c>
      <c r="AF1161" s="4" t="s">
        <v>62</v>
      </c>
      <c r="AG1161" s="4" t="str">
        <f t="shared" si="206"/>
        <v>C</v>
      </c>
      <c r="AK1161" s="4" t="s">
        <v>3573</v>
      </c>
      <c r="AL1161" s="4" t="str">
        <f t="shared" si="207"/>
        <v>Found</v>
      </c>
      <c r="AN1161" s="6">
        <v>8.0500000000000007</v>
      </c>
      <c r="AO1161" s="4" t="str">
        <f t="shared" si="208"/>
        <v>Low</v>
      </c>
    </row>
    <row r="1162" spans="1:41">
      <c r="A1162">
        <v>3</v>
      </c>
      <c r="B1162" t="str">
        <f t="shared" si="198"/>
        <v>Third Class</v>
      </c>
      <c r="C1162">
        <v>0</v>
      </c>
      <c r="E1162" t="str">
        <f t="shared" si="199"/>
        <v>Died</v>
      </c>
      <c r="F1162" t="s">
        <v>2116</v>
      </c>
      <c r="G1162" t="s">
        <v>848</v>
      </c>
      <c r="H1162" t="s">
        <v>884</v>
      </c>
      <c r="I1162" t="str">
        <f t="shared" si="200"/>
        <v>Mr. Rouse Richard</v>
      </c>
      <c r="J1162" t="s">
        <v>20</v>
      </c>
      <c r="K1162" t="str">
        <f t="shared" si="201"/>
        <v>Male</v>
      </c>
      <c r="L1162">
        <v>50</v>
      </c>
      <c r="O1162">
        <f t="shared" si="202"/>
        <v>50</v>
      </c>
      <c r="P1162">
        <v>0</v>
      </c>
      <c r="R1162" s="4">
        <v>0</v>
      </c>
      <c r="T1162" s="5">
        <v>8.0500000000000007</v>
      </c>
      <c r="W1162" s="4">
        <v>50</v>
      </c>
      <c r="X1162" s="4" t="str">
        <f t="shared" si="203"/>
        <v>Adult</v>
      </c>
      <c r="Y1162" s="4" t="s">
        <v>3561</v>
      </c>
      <c r="AB1162" s="4" t="str">
        <f t="shared" si="204"/>
        <v/>
      </c>
      <c r="AC1162" s="4" t="str">
        <f t="shared" si="205"/>
        <v>Unknown</v>
      </c>
      <c r="AD1162" s="4" t="s">
        <v>457</v>
      </c>
      <c r="AG1162" s="4" t="str">
        <f t="shared" si="206"/>
        <v>Not Applicable</v>
      </c>
      <c r="AK1162" s="4" t="s">
        <v>3573</v>
      </c>
      <c r="AL1162" s="4" t="str">
        <f t="shared" si="207"/>
        <v>Found</v>
      </c>
      <c r="AN1162" s="6">
        <v>8.0500000000000007</v>
      </c>
      <c r="AO1162" s="4" t="str">
        <f t="shared" si="208"/>
        <v>Low</v>
      </c>
    </row>
    <row r="1163" spans="1:41">
      <c r="A1163">
        <v>3</v>
      </c>
      <c r="B1163" t="str">
        <f t="shared" si="198"/>
        <v>Third Class</v>
      </c>
      <c r="C1163">
        <v>0</v>
      </c>
      <c r="E1163" t="str">
        <f t="shared" si="199"/>
        <v>Died</v>
      </c>
      <c r="F1163" t="s">
        <v>2117</v>
      </c>
      <c r="G1163" t="s">
        <v>848</v>
      </c>
      <c r="H1163" t="s">
        <v>1015</v>
      </c>
      <c r="I1163" t="str">
        <f t="shared" si="200"/>
        <v>Mr. Rush Alfred</v>
      </c>
      <c r="J1163" t="s">
        <v>20</v>
      </c>
      <c r="K1163" t="str">
        <f t="shared" si="201"/>
        <v>Male</v>
      </c>
      <c r="L1163">
        <v>16</v>
      </c>
      <c r="O1163">
        <f t="shared" si="202"/>
        <v>16</v>
      </c>
      <c r="P1163">
        <v>0</v>
      </c>
      <c r="R1163" s="4">
        <v>0</v>
      </c>
      <c r="T1163" s="5">
        <v>8.0500000000000007</v>
      </c>
      <c r="W1163" s="4">
        <v>16</v>
      </c>
      <c r="X1163" s="4" t="str">
        <f t="shared" si="203"/>
        <v>Teenager</v>
      </c>
      <c r="Y1163" s="4" t="s">
        <v>3561</v>
      </c>
      <c r="AB1163" s="4" t="str">
        <f t="shared" si="204"/>
        <v/>
      </c>
      <c r="AC1163" s="4" t="str">
        <f t="shared" si="205"/>
        <v>Unknown</v>
      </c>
      <c r="AD1163" s="4" t="s">
        <v>457</v>
      </c>
      <c r="AG1163" s="4" t="str">
        <f t="shared" si="206"/>
        <v>Not Applicable</v>
      </c>
      <c r="AK1163" s="4" t="s">
        <v>3573</v>
      </c>
      <c r="AL1163" s="4" t="str">
        <f t="shared" si="207"/>
        <v>Found</v>
      </c>
      <c r="AN1163" s="6">
        <v>8.0500000000000007</v>
      </c>
      <c r="AO1163" s="4" t="str">
        <f t="shared" si="208"/>
        <v>Low</v>
      </c>
    </row>
    <row r="1164" spans="1:41">
      <c r="A1164">
        <v>3</v>
      </c>
      <c r="B1164" t="str">
        <f t="shared" si="198"/>
        <v>Third Class</v>
      </c>
      <c r="C1164">
        <v>1</v>
      </c>
      <c r="E1164" t="str">
        <f t="shared" si="199"/>
        <v>Survived</v>
      </c>
      <c r="F1164" t="s">
        <v>2118</v>
      </c>
      <c r="G1164" t="s">
        <v>848</v>
      </c>
      <c r="H1164" t="s">
        <v>857</v>
      </c>
      <c r="I1164" t="str">
        <f t="shared" si="200"/>
        <v>Mr. Ryan Edward</v>
      </c>
      <c r="J1164" t="s">
        <v>20</v>
      </c>
      <c r="K1164" t="str">
        <f t="shared" si="201"/>
        <v>Male</v>
      </c>
      <c r="L1164">
        <v>28</v>
      </c>
      <c r="O1164">
        <f t="shared" si="202"/>
        <v>28</v>
      </c>
      <c r="P1164">
        <v>0</v>
      </c>
      <c r="R1164" s="4">
        <v>0</v>
      </c>
      <c r="T1164" s="5">
        <v>7.75</v>
      </c>
      <c r="W1164" s="4">
        <v>28</v>
      </c>
      <c r="X1164" s="4" t="str">
        <f t="shared" si="203"/>
        <v>Young Adult</v>
      </c>
      <c r="Y1164" s="4" t="s">
        <v>3561</v>
      </c>
      <c r="AB1164" s="4" t="str">
        <f t="shared" si="204"/>
        <v/>
      </c>
      <c r="AC1164" s="4" t="str">
        <f t="shared" si="205"/>
        <v>Unknown</v>
      </c>
      <c r="AD1164" s="4" t="s">
        <v>3567</v>
      </c>
      <c r="AF1164" s="4">
        <v>14</v>
      </c>
      <c r="AG1164" s="4">
        <f t="shared" si="206"/>
        <v>14</v>
      </c>
      <c r="AK1164" s="4" t="s">
        <v>3573</v>
      </c>
      <c r="AL1164" s="4" t="str">
        <f t="shared" si="207"/>
        <v>Found</v>
      </c>
      <c r="AN1164" s="6">
        <v>7.75</v>
      </c>
      <c r="AO1164" s="4" t="str">
        <f t="shared" si="208"/>
        <v>Low</v>
      </c>
    </row>
    <row r="1165" spans="1:41">
      <c r="A1165">
        <v>3</v>
      </c>
      <c r="B1165" t="str">
        <f t="shared" si="198"/>
        <v>Third Class</v>
      </c>
      <c r="C1165">
        <v>0</v>
      </c>
      <c r="E1165" t="str">
        <f t="shared" si="199"/>
        <v>Died</v>
      </c>
      <c r="F1165" t="s">
        <v>2118</v>
      </c>
      <c r="G1165" t="s">
        <v>848</v>
      </c>
      <c r="H1165" t="s">
        <v>1649</v>
      </c>
      <c r="I1165" t="str">
        <f t="shared" si="200"/>
        <v>Mr. Ryan Patrick</v>
      </c>
      <c r="J1165" t="s">
        <v>20</v>
      </c>
      <c r="K1165" t="str">
        <f t="shared" si="201"/>
        <v>Male</v>
      </c>
      <c r="L1165">
        <v>28</v>
      </c>
      <c r="O1165">
        <f t="shared" si="202"/>
        <v>28</v>
      </c>
      <c r="P1165">
        <v>0</v>
      </c>
      <c r="R1165" s="4">
        <v>0</v>
      </c>
      <c r="T1165" s="5">
        <v>24.15</v>
      </c>
      <c r="W1165" s="4">
        <v>28</v>
      </c>
      <c r="X1165" s="4" t="str">
        <f t="shared" si="203"/>
        <v>Young Adult</v>
      </c>
      <c r="Y1165" s="4" t="s">
        <v>3561</v>
      </c>
      <c r="AB1165" s="4" t="str">
        <f t="shared" si="204"/>
        <v/>
      </c>
      <c r="AC1165" s="4" t="str">
        <f t="shared" si="205"/>
        <v>Unknown</v>
      </c>
      <c r="AD1165" s="4" t="s">
        <v>3567</v>
      </c>
      <c r="AG1165" s="4" t="str">
        <f t="shared" si="206"/>
        <v>Not Applicable</v>
      </c>
      <c r="AK1165" s="4" t="s">
        <v>3573</v>
      </c>
      <c r="AL1165" s="4" t="str">
        <f t="shared" si="207"/>
        <v>Found</v>
      </c>
      <c r="AN1165" s="6">
        <v>24.15</v>
      </c>
      <c r="AO1165" s="4" t="str">
        <f t="shared" si="208"/>
        <v>Mid</v>
      </c>
    </row>
    <row r="1166" spans="1:41">
      <c r="A1166">
        <v>3</v>
      </c>
      <c r="B1166" t="str">
        <f t="shared" si="198"/>
        <v>Third Class</v>
      </c>
      <c r="C1166">
        <v>0</v>
      </c>
      <c r="E1166" t="str">
        <f t="shared" si="199"/>
        <v>Died</v>
      </c>
      <c r="F1166" t="s">
        <v>2119</v>
      </c>
      <c r="G1166" t="s">
        <v>848</v>
      </c>
      <c r="H1166" t="s">
        <v>1394</v>
      </c>
      <c r="I1166" t="str">
        <f t="shared" si="200"/>
        <v>Mr. Saad Amin</v>
      </c>
      <c r="J1166" t="s">
        <v>20</v>
      </c>
      <c r="K1166" t="str">
        <f t="shared" si="201"/>
        <v>Male</v>
      </c>
      <c r="L1166">
        <v>28</v>
      </c>
      <c r="O1166">
        <f t="shared" si="202"/>
        <v>28</v>
      </c>
      <c r="P1166">
        <v>0</v>
      </c>
      <c r="R1166" s="4">
        <v>0</v>
      </c>
      <c r="T1166" s="5">
        <v>7.2291999999999996</v>
      </c>
      <c r="W1166" s="4">
        <v>28</v>
      </c>
      <c r="X1166" s="4" t="str">
        <f t="shared" si="203"/>
        <v>Young Adult</v>
      </c>
      <c r="Y1166" s="4" t="s">
        <v>3561</v>
      </c>
      <c r="AB1166" s="4" t="str">
        <f t="shared" si="204"/>
        <v/>
      </c>
      <c r="AC1166" s="4" t="str">
        <f t="shared" si="205"/>
        <v>Unknown</v>
      </c>
      <c r="AD1166" s="4" t="s">
        <v>3566</v>
      </c>
      <c r="AG1166" s="4" t="str">
        <f t="shared" si="206"/>
        <v>Not Applicable</v>
      </c>
      <c r="AK1166" s="4" t="s">
        <v>3573</v>
      </c>
      <c r="AL1166" s="4" t="str">
        <f t="shared" si="207"/>
        <v>Found</v>
      </c>
      <c r="AN1166" s="6">
        <v>7.2291999999999996</v>
      </c>
      <c r="AO1166" s="4" t="str">
        <f t="shared" si="208"/>
        <v>Low</v>
      </c>
    </row>
    <row r="1167" spans="1:41">
      <c r="A1167">
        <v>3</v>
      </c>
      <c r="B1167" t="str">
        <f t="shared" si="198"/>
        <v>Third Class</v>
      </c>
      <c r="C1167">
        <v>0</v>
      </c>
      <c r="E1167" t="str">
        <f t="shared" si="199"/>
        <v>Died</v>
      </c>
      <c r="F1167" t="s">
        <v>2119</v>
      </c>
      <c r="G1167" t="s">
        <v>848</v>
      </c>
      <c r="H1167" t="s">
        <v>1588</v>
      </c>
      <c r="I1167" t="str">
        <f t="shared" si="200"/>
        <v>Mr. Saad Khalil</v>
      </c>
      <c r="J1167" t="s">
        <v>20</v>
      </c>
      <c r="K1167" t="str">
        <f t="shared" si="201"/>
        <v>Male</v>
      </c>
      <c r="L1167">
        <v>25</v>
      </c>
      <c r="O1167">
        <f t="shared" si="202"/>
        <v>25</v>
      </c>
      <c r="P1167">
        <v>0</v>
      </c>
      <c r="R1167" s="4">
        <v>0</v>
      </c>
      <c r="T1167" s="5">
        <v>7.2249999999999996</v>
      </c>
      <c r="W1167" s="4">
        <v>25</v>
      </c>
      <c r="X1167" s="4" t="str">
        <f t="shared" si="203"/>
        <v>Young Adult</v>
      </c>
      <c r="Y1167" s="4" t="s">
        <v>3561</v>
      </c>
      <c r="AB1167" s="4" t="str">
        <f t="shared" si="204"/>
        <v/>
      </c>
      <c r="AC1167" s="4" t="str">
        <f t="shared" si="205"/>
        <v>Unknown</v>
      </c>
      <c r="AD1167" s="4" t="s">
        <v>3566</v>
      </c>
      <c r="AG1167" s="4" t="str">
        <f t="shared" si="206"/>
        <v>Not Applicable</v>
      </c>
      <c r="AK1167" s="4" t="s">
        <v>3573</v>
      </c>
      <c r="AL1167" s="4" t="str">
        <f t="shared" si="207"/>
        <v>Found</v>
      </c>
      <c r="AN1167" s="6">
        <v>7.2249999999999996</v>
      </c>
      <c r="AO1167" s="4" t="str">
        <f t="shared" si="208"/>
        <v>Low</v>
      </c>
    </row>
    <row r="1168" spans="1:41">
      <c r="A1168">
        <v>3</v>
      </c>
      <c r="B1168" t="str">
        <f t="shared" si="198"/>
        <v>Third Class</v>
      </c>
      <c r="C1168">
        <v>0</v>
      </c>
      <c r="E1168" t="str">
        <f t="shared" si="199"/>
        <v>Died</v>
      </c>
      <c r="F1168" t="s">
        <v>2120</v>
      </c>
      <c r="G1168" t="s">
        <v>848</v>
      </c>
      <c r="H1168" t="s">
        <v>1068</v>
      </c>
      <c r="I1168" t="str">
        <f t="shared" si="200"/>
        <v>Mr. Saade Jean</v>
      </c>
      <c r="J1168" t="s">
        <v>20</v>
      </c>
      <c r="K1168" t="str">
        <f t="shared" si="201"/>
        <v>Male</v>
      </c>
      <c r="L1168">
        <v>28</v>
      </c>
      <c r="O1168">
        <f t="shared" si="202"/>
        <v>28</v>
      </c>
      <c r="P1168">
        <v>0</v>
      </c>
      <c r="R1168" s="4">
        <v>0</v>
      </c>
      <c r="T1168" s="5">
        <v>7.2249999999999996</v>
      </c>
      <c r="W1168" s="4">
        <v>28</v>
      </c>
      <c r="X1168" s="4" t="str">
        <f t="shared" si="203"/>
        <v>Young Adult</v>
      </c>
      <c r="Y1168" s="4" t="s">
        <v>3561</v>
      </c>
      <c r="AB1168" s="4" t="str">
        <f t="shared" si="204"/>
        <v/>
      </c>
      <c r="AC1168" s="4" t="str">
        <f t="shared" si="205"/>
        <v>Unknown</v>
      </c>
      <c r="AD1168" s="4" t="s">
        <v>3566</v>
      </c>
      <c r="AG1168" s="4" t="str">
        <f t="shared" si="206"/>
        <v>Not Applicable</v>
      </c>
      <c r="AK1168" s="4" t="s">
        <v>3573</v>
      </c>
      <c r="AL1168" s="4" t="str">
        <f t="shared" si="207"/>
        <v>Found</v>
      </c>
      <c r="AN1168" s="6">
        <v>7.2249999999999996</v>
      </c>
      <c r="AO1168" s="4" t="str">
        <f t="shared" si="208"/>
        <v>Low</v>
      </c>
    </row>
    <row r="1169" spans="1:41">
      <c r="A1169">
        <v>3</v>
      </c>
      <c r="B1169" t="str">
        <f t="shared" si="198"/>
        <v>Third Class</v>
      </c>
      <c r="C1169">
        <v>0</v>
      </c>
      <c r="E1169" t="str">
        <f t="shared" si="199"/>
        <v>Died</v>
      </c>
      <c r="F1169" t="s">
        <v>2121</v>
      </c>
      <c r="G1169" t="s">
        <v>848</v>
      </c>
      <c r="H1169" t="s">
        <v>1430</v>
      </c>
      <c r="I1169" t="str">
        <f t="shared" si="200"/>
        <v>Mr. Sadlier Matthew</v>
      </c>
      <c r="J1169" t="s">
        <v>20</v>
      </c>
      <c r="K1169" t="str">
        <f t="shared" si="201"/>
        <v>Male</v>
      </c>
      <c r="L1169">
        <v>28</v>
      </c>
      <c r="O1169">
        <f t="shared" si="202"/>
        <v>28</v>
      </c>
      <c r="P1169">
        <v>0</v>
      </c>
      <c r="R1169" s="4">
        <v>0</v>
      </c>
      <c r="T1169" s="5">
        <v>7.7291999999999996</v>
      </c>
      <c r="W1169" s="4">
        <v>28</v>
      </c>
      <c r="X1169" s="4" t="str">
        <f t="shared" si="203"/>
        <v>Young Adult</v>
      </c>
      <c r="Y1169" s="4" t="s">
        <v>3561</v>
      </c>
      <c r="AB1169" s="4" t="str">
        <f t="shared" si="204"/>
        <v/>
      </c>
      <c r="AC1169" s="4" t="str">
        <f t="shared" si="205"/>
        <v>Unknown</v>
      </c>
      <c r="AD1169" s="4" t="s">
        <v>3567</v>
      </c>
      <c r="AG1169" s="4" t="str">
        <f t="shared" si="206"/>
        <v>Not Applicable</v>
      </c>
      <c r="AK1169" s="4" t="s">
        <v>3573</v>
      </c>
      <c r="AL1169" s="4" t="str">
        <f t="shared" si="207"/>
        <v>Found</v>
      </c>
      <c r="AN1169" s="6">
        <v>7.7291999999999996</v>
      </c>
      <c r="AO1169" s="4" t="str">
        <f t="shared" si="208"/>
        <v>Low</v>
      </c>
    </row>
    <row r="1170" spans="1:41">
      <c r="A1170">
        <v>3</v>
      </c>
      <c r="B1170" t="str">
        <f t="shared" si="198"/>
        <v>Third Class</v>
      </c>
      <c r="C1170">
        <v>0</v>
      </c>
      <c r="E1170" t="str">
        <f t="shared" si="199"/>
        <v>Died</v>
      </c>
      <c r="F1170" t="s">
        <v>2122</v>
      </c>
      <c r="G1170" t="s">
        <v>848</v>
      </c>
      <c r="H1170" t="s">
        <v>852</v>
      </c>
      <c r="I1170" t="str">
        <f t="shared" si="200"/>
        <v>Mr. Sadowitz Harry</v>
      </c>
      <c r="J1170" t="s">
        <v>20</v>
      </c>
      <c r="K1170" t="str">
        <f t="shared" si="201"/>
        <v>Male</v>
      </c>
      <c r="L1170">
        <v>28</v>
      </c>
      <c r="O1170">
        <f t="shared" si="202"/>
        <v>28</v>
      </c>
      <c r="P1170">
        <v>0</v>
      </c>
      <c r="R1170" s="4">
        <v>0</v>
      </c>
      <c r="T1170" s="5">
        <v>7.5750000000000002</v>
      </c>
      <c r="W1170" s="4">
        <v>28</v>
      </c>
      <c r="X1170" s="4" t="str">
        <f t="shared" si="203"/>
        <v>Young Adult</v>
      </c>
      <c r="Y1170" s="4" t="s">
        <v>3561</v>
      </c>
      <c r="AB1170" s="4" t="str">
        <f t="shared" si="204"/>
        <v/>
      </c>
      <c r="AC1170" s="4" t="str">
        <f t="shared" si="205"/>
        <v>Unknown</v>
      </c>
      <c r="AD1170" s="4" t="s">
        <v>457</v>
      </c>
      <c r="AG1170" s="4" t="str">
        <f t="shared" si="206"/>
        <v>Not Applicable</v>
      </c>
      <c r="AK1170" s="4" t="s">
        <v>3573</v>
      </c>
      <c r="AL1170" s="4" t="str">
        <f t="shared" si="207"/>
        <v>Found</v>
      </c>
      <c r="AN1170" s="6">
        <v>7.5750000000000002</v>
      </c>
      <c r="AO1170" s="4" t="str">
        <f t="shared" si="208"/>
        <v>Low</v>
      </c>
    </row>
    <row r="1171" spans="1:41">
      <c r="A1171">
        <v>3</v>
      </c>
      <c r="B1171" t="str">
        <f t="shared" si="198"/>
        <v>Third Class</v>
      </c>
      <c r="C1171">
        <v>0</v>
      </c>
      <c r="E1171" t="str">
        <f t="shared" si="199"/>
        <v>Died</v>
      </c>
      <c r="F1171" t="s">
        <v>2123</v>
      </c>
      <c r="G1171" t="s">
        <v>848</v>
      </c>
      <c r="H1171" t="s">
        <v>1911</v>
      </c>
      <c r="I1171" t="str">
        <f t="shared" si="200"/>
        <v>Mr. Saether Simon</v>
      </c>
      <c r="J1171" t="s">
        <v>20</v>
      </c>
      <c r="K1171" t="str">
        <f t="shared" si="201"/>
        <v>Male</v>
      </c>
      <c r="L1171">
        <v>38.5</v>
      </c>
      <c r="O1171">
        <f t="shared" si="202"/>
        <v>39</v>
      </c>
      <c r="P1171">
        <v>0</v>
      </c>
      <c r="R1171" s="4">
        <v>0</v>
      </c>
      <c r="T1171" s="5">
        <v>7.25</v>
      </c>
      <c r="W1171" s="4">
        <v>39</v>
      </c>
      <c r="X1171" s="4" t="str">
        <f t="shared" si="203"/>
        <v>Adult</v>
      </c>
      <c r="Y1171" s="4" t="s">
        <v>3561</v>
      </c>
      <c r="AB1171" s="4" t="str">
        <f t="shared" si="204"/>
        <v/>
      </c>
      <c r="AC1171" s="4" t="str">
        <f t="shared" si="205"/>
        <v>Unknown</v>
      </c>
      <c r="AD1171" s="4" t="s">
        <v>457</v>
      </c>
      <c r="AG1171" s="4" t="str">
        <f t="shared" si="206"/>
        <v>Not Applicable</v>
      </c>
      <c r="AH1171" s="4">
        <v>32</v>
      </c>
      <c r="AK1171" s="4">
        <v>32</v>
      </c>
      <c r="AL1171" s="4" t="str">
        <f t="shared" si="207"/>
        <v>Found</v>
      </c>
      <c r="AN1171" s="6">
        <v>7.25</v>
      </c>
      <c r="AO1171" s="4" t="str">
        <f t="shared" si="208"/>
        <v>Low</v>
      </c>
    </row>
    <row r="1172" spans="1:41">
      <c r="A1172">
        <v>3</v>
      </c>
      <c r="B1172" t="str">
        <f t="shared" si="198"/>
        <v>Third Class</v>
      </c>
      <c r="C1172">
        <v>0</v>
      </c>
      <c r="E1172" t="str">
        <f t="shared" si="199"/>
        <v>Died</v>
      </c>
      <c r="F1172" t="s">
        <v>2124</v>
      </c>
      <c r="G1172" t="s">
        <v>845</v>
      </c>
      <c r="H1172" t="s">
        <v>855</v>
      </c>
      <c r="I1172" t="str">
        <f t="shared" si="200"/>
        <v>Master. Sage Thomas</v>
      </c>
      <c r="J1172" t="s">
        <v>20</v>
      </c>
      <c r="K1172" t="str">
        <f t="shared" si="201"/>
        <v>Male</v>
      </c>
      <c r="L1172">
        <v>28</v>
      </c>
      <c r="O1172">
        <f t="shared" si="202"/>
        <v>28</v>
      </c>
      <c r="P1172">
        <v>8</v>
      </c>
      <c r="R1172" s="4">
        <v>2</v>
      </c>
      <c r="T1172" s="5">
        <v>69.55</v>
      </c>
      <c r="W1172" s="4">
        <v>28</v>
      </c>
      <c r="X1172" s="4" t="str">
        <f t="shared" si="203"/>
        <v>Young Adult</v>
      </c>
      <c r="Y1172" s="4" t="s">
        <v>3561</v>
      </c>
      <c r="AB1172" s="4" t="str">
        <f t="shared" si="204"/>
        <v/>
      </c>
      <c r="AC1172" s="4" t="str">
        <f t="shared" si="205"/>
        <v>Unknown</v>
      </c>
      <c r="AD1172" s="4" t="s">
        <v>457</v>
      </c>
      <c r="AG1172" s="4" t="str">
        <f t="shared" si="206"/>
        <v>Not Applicable</v>
      </c>
      <c r="AK1172" s="4" t="s">
        <v>3573</v>
      </c>
      <c r="AL1172" s="4" t="str">
        <f t="shared" si="207"/>
        <v>Found</v>
      </c>
      <c r="AN1172" s="6">
        <v>69.55</v>
      </c>
      <c r="AO1172" s="4" t="str">
        <f t="shared" si="208"/>
        <v>High</v>
      </c>
    </row>
    <row r="1173" spans="1:41">
      <c r="A1173">
        <v>3</v>
      </c>
      <c r="B1173" t="str">
        <f t="shared" si="198"/>
        <v>Third Class</v>
      </c>
      <c r="C1173">
        <v>0</v>
      </c>
      <c r="E1173" t="str">
        <f t="shared" si="199"/>
        <v>Died</v>
      </c>
      <c r="F1173" t="s">
        <v>2124</v>
      </c>
      <c r="G1173" t="s">
        <v>845</v>
      </c>
      <c r="H1173" t="s">
        <v>924</v>
      </c>
      <c r="I1173" t="str">
        <f t="shared" si="200"/>
        <v>Master. Sage William</v>
      </c>
      <c r="J1173" t="s">
        <v>20</v>
      </c>
      <c r="K1173" t="str">
        <f t="shared" si="201"/>
        <v>Male</v>
      </c>
      <c r="L1173">
        <v>14.5</v>
      </c>
      <c r="O1173">
        <f t="shared" si="202"/>
        <v>15</v>
      </c>
      <c r="P1173">
        <v>8</v>
      </c>
      <c r="R1173" s="4">
        <v>2</v>
      </c>
      <c r="T1173" s="5">
        <v>69.55</v>
      </c>
      <c r="W1173" s="4">
        <v>15</v>
      </c>
      <c r="X1173" s="4" t="str">
        <f t="shared" si="203"/>
        <v>Teenager</v>
      </c>
      <c r="Y1173" s="4" t="s">
        <v>3561</v>
      </c>
      <c r="AB1173" s="4" t="str">
        <f t="shared" si="204"/>
        <v/>
      </c>
      <c r="AC1173" s="4" t="str">
        <f t="shared" si="205"/>
        <v>Unknown</v>
      </c>
      <c r="AD1173" s="4" t="s">
        <v>457</v>
      </c>
      <c r="AG1173" s="4" t="str">
        <f t="shared" si="206"/>
        <v>Not Applicable</v>
      </c>
      <c r="AH1173" s="4">
        <v>67</v>
      </c>
      <c r="AK1173" s="4">
        <v>67</v>
      </c>
      <c r="AL1173" s="4" t="str">
        <f t="shared" si="207"/>
        <v>Found</v>
      </c>
      <c r="AN1173" s="6">
        <v>69.55</v>
      </c>
      <c r="AO1173" s="4" t="str">
        <f t="shared" si="208"/>
        <v>High</v>
      </c>
    </row>
    <row r="1174" spans="1:41">
      <c r="A1174">
        <v>3</v>
      </c>
      <c r="B1174" t="str">
        <f t="shared" si="198"/>
        <v>Third Class</v>
      </c>
      <c r="C1174">
        <v>0</v>
      </c>
      <c r="E1174" t="str">
        <f t="shared" si="199"/>
        <v>Died</v>
      </c>
      <c r="F1174" t="s">
        <v>2124</v>
      </c>
      <c r="G1174" t="s">
        <v>842</v>
      </c>
      <c r="H1174" t="s">
        <v>1374</v>
      </c>
      <c r="I1174" t="str">
        <f t="shared" si="200"/>
        <v>Miss. Sage Ada</v>
      </c>
      <c r="J1174" t="s">
        <v>47</v>
      </c>
      <c r="K1174" t="str">
        <f t="shared" si="201"/>
        <v>Female</v>
      </c>
      <c r="L1174">
        <v>28</v>
      </c>
      <c r="O1174">
        <f t="shared" si="202"/>
        <v>28</v>
      </c>
      <c r="P1174">
        <v>8</v>
      </c>
      <c r="R1174" s="4">
        <v>2</v>
      </c>
      <c r="T1174" s="5">
        <v>69.55</v>
      </c>
      <c r="W1174" s="4">
        <v>28</v>
      </c>
      <c r="X1174" s="4" t="str">
        <f t="shared" si="203"/>
        <v>Young Adult</v>
      </c>
      <c r="Y1174" s="4" t="s">
        <v>3561</v>
      </c>
      <c r="AB1174" s="4" t="str">
        <f t="shared" si="204"/>
        <v/>
      </c>
      <c r="AC1174" s="4" t="str">
        <f t="shared" si="205"/>
        <v>Unknown</v>
      </c>
      <c r="AD1174" s="4" t="s">
        <v>457</v>
      </c>
      <c r="AG1174" s="4" t="str">
        <f t="shared" si="206"/>
        <v>Not Applicable</v>
      </c>
      <c r="AK1174" s="4" t="s">
        <v>3573</v>
      </c>
      <c r="AL1174" s="4" t="str">
        <f t="shared" si="207"/>
        <v>Found</v>
      </c>
      <c r="AN1174" s="6">
        <v>69.55</v>
      </c>
      <c r="AO1174" s="4" t="str">
        <f t="shared" si="208"/>
        <v>High</v>
      </c>
    </row>
    <row r="1175" spans="1:41">
      <c r="A1175">
        <v>3</v>
      </c>
      <c r="B1175" t="str">
        <f t="shared" si="198"/>
        <v>Third Class</v>
      </c>
      <c r="C1175">
        <v>0</v>
      </c>
      <c r="E1175" t="str">
        <f t="shared" si="199"/>
        <v>Died</v>
      </c>
      <c r="F1175" t="s">
        <v>2124</v>
      </c>
      <c r="G1175" t="s">
        <v>842</v>
      </c>
      <c r="H1175" t="s">
        <v>954</v>
      </c>
      <c r="I1175" t="str">
        <f t="shared" si="200"/>
        <v>Miss. Sage Constance</v>
      </c>
      <c r="J1175" t="s">
        <v>47</v>
      </c>
      <c r="K1175" t="str">
        <f t="shared" si="201"/>
        <v>Female</v>
      </c>
      <c r="L1175">
        <v>28</v>
      </c>
      <c r="O1175">
        <f t="shared" si="202"/>
        <v>28</v>
      </c>
      <c r="P1175">
        <v>8</v>
      </c>
      <c r="R1175" s="4">
        <v>2</v>
      </c>
      <c r="T1175" s="5">
        <v>69.55</v>
      </c>
      <c r="W1175" s="4">
        <v>28</v>
      </c>
      <c r="X1175" s="4" t="str">
        <f t="shared" si="203"/>
        <v>Young Adult</v>
      </c>
      <c r="Y1175" s="4" t="s">
        <v>3561</v>
      </c>
      <c r="AB1175" s="4" t="str">
        <f t="shared" si="204"/>
        <v/>
      </c>
      <c r="AC1175" s="4" t="str">
        <f t="shared" si="205"/>
        <v>Unknown</v>
      </c>
      <c r="AD1175" s="4" t="s">
        <v>457</v>
      </c>
      <c r="AG1175" s="4" t="str">
        <f t="shared" si="206"/>
        <v>Not Applicable</v>
      </c>
      <c r="AK1175" s="4" t="s">
        <v>3573</v>
      </c>
      <c r="AL1175" s="4" t="str">
        <f t="shared" si="207"/>
        <v>Found</v>
      </c>
      <c r="AN1175" s="6">
        <v>69.55</v>
      </c>
      <c r="AO1175" s="4" t="str">
        <f t="shared" si="208"/>
        <v>High</v>
      </c>
    </row>
    <row r="1176" spans="1:41">
      <c r="A1176">
        <v>3</v>
      </c>
      <c r="B1176" t="str">
        <f t="shared" si="198"/>
        <v>Third Class</v>
      </c>
      <c r="C1176">
        <v>0</v>
      </c>
      <c r="E1176" t="str">
        <f t="shared" si="199"/>
        <v>Died</v>
      </c>
      <c r="F1176" t="s">
        <v>2124</v>
      </c>
      <c r="G1176" t="s">
        <v>842</v>
      </c>
      <c r="H1176" t="s">
        <v>1041</v>
      </c>
      <c r="I1176" t="str">
        <f t="shared" si="200"/>
        <v>Miss. Sage Dorothy</v>
      </c>
      <c r="J1176" t="s">
        <v>47</v>
      </c>
      <c r="K1176" t="str">
        <f t="shared" si="201"/>
        <v>Female</v>
      </c>
      <c r="L1176">
        <v>28</v>
      </c>
      <c r="O1176">
        <f t="shared" si="202"/>
        <v>28</v>
      </c>
      <c r="P1176">
        <v>8</v>
      </c>
      <c r="R1176" s="4">
        <v>2</v>
      </c>
      <c r="T1176" s="5">
        <v>69.55</v>
      </c>
      <c r="W1176" s="4">
        <v>28</v>
      </c>
      <c r="X1176" s="4" t="str">
        <f t="shared" si="203"/>
        <v>Young Adult</v>
      </c>
      <c r="Y1176" s="4" t="s">
        <v>3561</v>
      </c>
      <c r="AB1176" s="4" t="str">
        <f t="shared" si="204"/>
        <v/>
      </c>
      <c r="AC1176" s="4" t="str">
        <f t="shared" si="205"/>
        <v>Unknown</v>
      </c>
      <c r="AD1176" s="4" t="s">
        <v>457</v>
      </c>
      <c r="AG1176" s="4" t="str">
        <f t="shared" si="206"/>
        <v>Not Applicable</v>
      </c>
      <c r="AK1176" s="4" t="s">
        <v>3573</v>
      </c>
      <c r="AL1176" s="4" t="str">
        <f t="shared" si="207"/>
        <v>Found</v>
      </c>
      <c r="AN1176" s="6">
        <v>69.55</v>
      </c>
      <c r="AO1176" s="4" t="str">
        <f t="shared" si="208"/>
        <v>High</v>
      </c>
    </row>
    <row r="1177" spans="1:41">
      <c r="A1177">
        <v>3</v>
      </c>
      <c r="B1177" t="str">
        <f t="shared" si="198"/>
        <v>Third Class</v>
      </c>
      <c r="C1177">
        <v>0</v>
      </c>
      <c r="E1177" t="str">
        <f t="shared" si="199"/>
        <v>Died</v>
      </c>
      <c r="F1177" t="s">
        <v>2124</v>
      </c>
      <c r="G1177" t="s">
        <v>842</v>
      </c>
      <c r="H1177" t="s">
        <v>2125</v>
      </c>
      <c r="I1177" t="str">
        <f t="shared" si="200"/>
        <v>Miss. Sage Stella</v>
      </c>
      <c r="J1177" t="s">
        <v>47</v>
      </c>
      <c r="K1177" t="str">
        <f t="shared" si="201"/>
        <v>Female</v>
      </c>
      <c r="L1177">
        <v>28</v>
      </c>
      <c r="O1177">
        <f t="shared" si="202"/>
        <v>28</v>
      </c>
      <c r="P1177">
        <v>8</v>
      </c>
      <c r="R1177" s="4">
        <v>2</v>
      </c>
      <c r="T1177" s="5">
        <v>69.55</v>
      </c>
      <c r="W1177" s="4">
        <v>28</v>
      </c>
      <c r="X1177" s="4" t="str">
        <f t="shared" si="203"/>
        <v>Young Adult</v>
      </c>
      <c r="Y1177" s="4" t="s">
        <v>3561</v>
      </c>
      <c r="AB1177" s="4" t="str">
        <f t="shared" si="204"/>
        <v/>
      </c>
      <c r="AC1177" s="4" t="str">
        <f t="shared" si="205"/>
        <v>Unknown</v>
      </c>
      <c r="AD1177" s="4" t="s">
        <v>457</v>
      </c>
      <c r="AG1177" s="4" t="str">
        <f t="shared" si="206"/>
        <v>Not Applicable</v>
      </c>
      <c r="AK1177" s="4" t="s">
        <v>3573</v>
      </c>
      <c r="AL1177" s="4" t="str">
        <f t="shared" si="207"/>
        <v>Found</v>
      </c>
      <c r="AN1177" s="6">
        <v>69.55</v>
      </c>
      <c r="AO1177" s="4" t="str">
        <f t="shared" si="208"/>
        <v>High</v>
      </c>
    </row>
    <row r="1178" spans="1:41">
      <c r="A1178">
        <v>3</v>
      </c>
      <c r="B1178" t="str">
        <f t="shared" si="198"/>
        <v>Third Class</v>
      </c>
      <c r="C1178">
        <v>0</v>
      </c>
      <c r="E1178" t="str">
        <f t="shared" si="199"/>
        <v>Died</v>
      </c>
      <c r="F1178" t="s">
        <v>2124</v>
      </c>
      <c r="G1178" t="s">
        <v>848</v>
      </c>
      <c r="H1178" t="s">
        <v>998</v>
      </c>
      <c r="I1178" t="str">
        <f t="shared" si="200"/>
        <v>Mr. Sage Douglas</v>
      </c>
      <c r="J1178" t="s">
        <v>20</v>
      </c>
      <c r="K1178" t="str">
        <f t="shared" si="201"/>
        <v>Male</v>
      </c>
      <c r="L1178">
        <v>28</v>
      </c>
      <c r="O1178">
        <f t="shared" si="202"/>
        <v>28</v>
      </c>
      <c r="P1178">
        <v>8</v>
      </c>
      <c r="R1178" s="4">
        <v>2</v>
      </c>
      <c r="T1178" s="5">
        <v>69.55</v>
      </c>
      <c r="W1178" s="4">
        <v>28</v>
      </c>
      <c r="X1178" s="4" t="str">
        <f t="shared" si="203"/>
        <v>Young Adult</v>
      </c>
      <c r="Y1178" s="4" t="s">
        <v>3561</v>
      </c>
      <c r="AB1178" s="4" t="str">
        <f t="shared" si="204"/>
        <v/>
      </c>
      <c r="AC1178" s="4" t="str">
        <f t="shared" si="205"/>
        <v>Unknown</v>
      </c>
      <c r="AD1178" s="4" t="s">
        <v>457</v>
      </c>
      <c r="AG1178" s="4" t="str">
        <f t="shared" si="206"/>
        <v>Not Applicable</v>
      </c>
      <c r="AK1178" s="4" t="s">
        <v>3573</v>
      </c>
      <c r="AL1178" s="4" t="str">
        <f t="shared" si="207"/>
        <v>Found</v>
      </c>
      <c r="AN1178" s="6">
        <v>69.55</v>
      </c>
      <c r="AO1178" s="4" t="str">
        <f t="shared" si="208"/>
        <v>High</v>
      </c>
    </row>
    <row r="1179" spans="1:41">
      <c r="A1179">
        <v>3</v>
      </c>
      <c r="B1179" t="str">
        <f t="shared" si="198"/>
        <v>Third Class</v>
      </c>
      <c r="C1179">
        <v>0</v>
      </c>
      <c r="E1179" t="str">
        <f t="shared" si="199"/>
        <v>Died</v>
      </c>
      <c r="F1179" t="s">
        <v>2124</v>
      </c>
      <c r="G1179" t="s">
        <v>848</v>
      </c>
      <c r="H1179" t="s">
        <v>999</v>
      </c>
      <c r="I1179" t="str">
        <f t="shared" si="200"/>
        <v>Mr. Sage Frederick</v>
      </c>
      <c r="J1179" t="s">
        <v>20</v>
      </c>
      <c r="K1179" t="str">
        <f t="shared" si="201"/>
        <v>Male</v>
      </c>
      <c r="L1179">
        <v>28</v>
      </c>
      <c r="O1179">
        <f t="shared" si="202"/>
        <v>28</v>
      </c>
      <c r="P1179">
        <v>8</v>
      </c>
      <c r="R1179" s="4">
        <v>2</v>
      </c>
      <c r="T1179" s="5">
        <v>69.55</v>
      </c>
      <c r="W1179" s="4">
        <v>28</v>
      </c>
      <c r="X1179" s="4" t="str">
        <f t="shared" si="203"/>
        <v>Young Adult</v>
      </c>
      <c r="Y1179" s="4" t="s">
        <v>3561</v>
      </c>
      <c r="AB1179" s="4" t="str">
        <f t="shared" si="204"/>
        <v/>
      </c>
      <c r="AC1179" s="4" t="str">
        <f t="shared" si="205"/>
        <v>Unknown</v>
      </c>
      <c r="AD1179" s="4" t="s">
        <v>457</v>
      </c>
      <c r="AG1179" s="4" t="str">
        <f t="shared" si="206"/>
        <v>Not Applicable</v>
      </c>
      <c r="AK1179" s="4" t="s">
        <v>3573</v>
      </c>
      <c r="AL1179" s="4" t="str">
        <f t="shared" si="207"/>
        <v>Found</v>
      </c>
      <c r="AN1179" s="6">
        <v>69.55</v>
      </c>
      <c r="AO1179" s="4" t="str">
        <f t="shared" si="208"/>
        <v>High</v>
      </c>
    </row>
    <row r="1180" spans="1:41">
      <c r="A1180">
        <v>3</v>
      </c>
      <c r="B1180" t="str">
        <f t="shared" si="198"/>
        <v>Third Class</v>
      </c>
      <c r="C1180">
        <v>0</v>
      </c>
      <c r="E1180" t="str">
        <f t="shared" si="199"/>
        <v>Died</v>
      </c>
      <c r="F1180" t="s">
        <v>2124</v>
      </c>
      <c r="G1180" t="s">
        <v>848</v>
      </c>
      <c r="H1180" t="s">
        <v>912</v>
      </c>
      <c r="I1180" t="str">
        <f t="shared" si="200"/>
        <v>Mr. Sage George</v>
      </c>
      <c r="J1180" t="s">
        <v>20</v>
      </c>
      <c r="K1180" t="str">
        <f t="shared" si="201"/>
        <v>Male</v>
      </c>
      <c r="L1180">
        <v>28</v>
      </c>
      <c r="O1180">
        <f t="shared" si="202"/>
        <v>28</v>
      </c>
      <c r="P1180">
        <v>8</v>
      </c>
      <c r="R1180" s="4">
        <v>2</v>
      </c>
      <c r="T1180" s="5">
        <v>69.55</v>
      </c>
      <c r="W1180" s="4">
        <v>28</v>
      </c>
      <c r="X1180" s="4" t="str">
        <f t="shared" si="203"/>
        <v>Young Adult</v>
      </c>
      <c r="Y1180" s="4" t="s">
        <v>3561</v>
      </c>
      <c r="AB1180" s="4" t="str">
        <f t="shared" si="204"/>
        <v/>
      </c>
      <c r="AC1180" s="4" t="str">
        <f t="shared" si="205"/>
        <v>Unknown</v>
      </c>
      <c r="AD1180" s="4" t="s">
        <v>457</v>
      </c>
      <c r="AG1180" s="4" t="str">
        <f t="shared" si="206"/>
        <v>Not Applicable</v>
      </c>
      <c r="AK1180" s="4" t="s">
        <v>3573</v>
      </c>
      <c r="AL1180" s="4" t="str">
        <f t="shared" si="207"/>
        <v>Found</v>
      </c>
      <c r="AN1180" s="6">
        <v>69.55</v>
      </c>
      <c r="AO1180" s="4" t="str">
        <f t="shared" si="208"/>
        <v>High</v>
      </c>
    </row>
    <row r="1181" spans="1:41">
      <c r="A1181">
        <v>3</v>
      </c>
      <c r="B1181" t="str">
        <f t="shared" si="198"/>
        <v>Third Class</v>
      </c>
      <c r="C1181">
        <v>0</v>
      </c>
      <c r="E1181" t="str">
        <f t="shared" si="199"/>
        <v>Died</v>
      </c>
      <c r="F1181" t="s">
        <v>2124</v>
      </c>
      <c r="G1181" t="s">
        <v>848</v>
      </c>
      <c r="H1181" t="s">
        <v>862</v>
      </c>
      <c r="I1181" t="str">
        <f t="shared" si="200"/>
        <v>Mr. Sage John</v>
      </c>
      <c r="J1181" t="s">
        <v>20</v>
      </c>
      <c r="K1181" t="str">
        <f t="shared" si="201"/>
        <v>Male</v>
      </c>
      <c r="L1181">
        <v>28</v>
      </c>
      <c r="O1181">
        <f t="shared" si="202"/>
        <v>28</v>
      </c>
      <c r="P1181">
        <v>1</v>
      </c>
      <c r="R1181" s="4">
        <v>9</v>
      </c>
      <c r="T1181" s="5">
        <v>69.55</v>
      </c>
      <c r="W1181" s="4">
        <v>28</v>
      </c>
      <c r="X1181" s="4" t="str">
        <f t="shared" si="203"/>
        <v>Young Adult</v>
      </c>
      <c r="Y1181" s="4" t="s">
        <v>3561</v>
      </c>
      <c r="AB1181" s="4" t="str">
        <f t="shared" si="204"/>
        <v/>
      </c>
      <c r="AC1181" s="4" t="str">
        <f t="shared" si="205"/>
        <v>Unknown</v>
      </c>
      <c r="AD1181" s="4" t="s">
        <v>457</v>
      </c>
      <c r="AG1181" s="4" t="str">
        <f t="shared" si="206"/>
        <v>Not Applicable</v>
      </c>
      <c r="AK1181" s="4" t="s">
        <v>3573</v>
      </c>
      <c r="AL1181" s="4" t="str">
        <f t="shared" si="207"/>
        <v>Found</v>
      </c>
      <c r="AN1181" s="6">
        <v>69.55</v>
      </c>
      <c r="AO1181" s="4" t="str">
        <f t="shared" si="208"/>
        <v>High</v>
      </c>
    </row>
    <row r="1182" spans="1:41">
      <c r="A1182">
        <v>3</v>
      </c>
      <c r="B1182" t="str">
        <f t="shared" si="198"/>
        <v>Third Class</v>
      </c>
      <c r="C1182">
        <v>0</v>
      </c>
      <c r="E1182" t="str">
        <f t="shared" si="199"/>
        <v>Died</v>
      </c>
      <c r="F1182" t="s">
        <v>2124</v>
      </c>
      <c r="G1182" t="s">
        <v>849</v>
      </c>
      <c r="H1182" t="s">
        <v>862</v>
      </c>
      <c r="I1182" t="str">
        <f t="shared" si="200"/>
        <v>Mrs. Sage John</v>
      </c>
      <c r="J1182" t="s">
        <v>47</v>
      </c>
      <c r="K1182" t="str">
        <f t="shared" si="201"/>
        <v>Female</v>
      </c>
      <c r="L1182">
        <v>28</v>
      </c>
      <c r="O1182">
        <f t="shared" si="202"/>
        <v>28</v>
      </c>
      <c r="P1182">
        <v>1</v>
      </c>
      <c r="R1182" s="4">
        <v>9</v>
      </c>
      <c r="T1182" s="5">
        <v>69.55</v>
      </c>
      <c r="W1182" s="4">
        <v>28</v>
      </c>
      <c r="X1182" s="4" t="str">
        <f t="shared" si="203"/>
        <v>Young Adult</v>
      </c>
      <c r="Y1182" s="4" t="s">
        <v>3561</v>
      </c>
      <c r="AB1182" s="4" t="str">
        <f t="shared" si="204"/>
        <v/>
      </c>
      <c r="AC1182" s="4" t="str">
        <f t="shared" si="205"/>
        <v>Unknown</v>
      </c>
      <c r="AD1182" s="4" t="s">
        <v>457</v>
      </c>
      <c r="AG1182" s="4" t="str">
        <f t="shared" si="206"/>
        <v>Not Applicable</v>
      </c>
      <c r="AK1182" s="4" t="s">
        <v>3573</v>
      </c>
      <c r="AL1182" s="4" t="str">
        <f t="shared" si="207"/>
        <v>Found</v>
      </c>
      <c r="AN1182" s="6">
        <v>69.55</v>
      </c>
      <c r="AO1182" s="4" t="str">
        <f t="shared" si="208"/>
        <v>High</v>
      </c>
    </row>
    <row r="1183" spans="1:41">
      <c r="A1183">
        <v>3</v>
      </c>
      <c r="B1183" t="str">
        <f t="shared" si="198"/>
        <v>Third Class</v>
      </c>
      <c r="C1183">
        <v>0</v>
      </c>
      <c r="E1183" t="str">
        <f t="shared" si="199"/>
        <v>Died</v>
      </c>
      <c r="F1183" t="s">
        <v>2126</v>
      </c>
      <c r="G1183" t="s">
        <v>848</v>
      </c>
      <c r="H1183" t="s">
        <v>887</v>
      </c>
      <c r="I1183" t="str">
        <f t="shared" si="200"/>
        <v>Mr. Salander Karl</v>
      </c>
      <c r="J1183" t="s">
        <v>20</v>
      </c>
      <c r="K1183" t="str">
        <f t="shared" si="201"/>
        <v>Male</v>
      </c>
      <c r="L1183">
        <v>24</v>
      </c>
      <c r="O1183">
        <f t="shared" si="202"/>
        <v>24</v>
      </c>
      <c r="P1183">
        <v>0</v>
      </c>
      <c r="R1183" s="4">
        <v>0</v>
      </c>
      <c r="T1183" s="5">
        <v>9.3249999999999993</v>
      </c>
      <c r="W1183" s="4">
        <v>24</v>
      </c>
      <c r="X1183" s="4" t="str">
        <f t="shared" si="203"/>
        <v>Young Adult</v>
      </c>
      <c r="Y1183" s="4" t="s">
        <v>3561</v>
      </c>
      <c r="AB1183" s="4" t="str">
        <f t="shared" si="204"/>
        <v/>
      </c>
      <c r="AC1183" s="4" t="str">
        <f t="shared" si="205"/>
        <v>Unknown</v>
      </c>
      <c r="AD1183" s="4" t="s">
        <v>457</v>
      </c>
      <c r="AG1183" s="4" t="str">
        <f t="shared" si="206"/>
        <v>Not Applicable</v>
      </c>
      <c r="AK1183" s="4" t="s">
        <v>3573</v>
      </c>
      <c r="AL1183" s="4" t="str">
        <f t="shared" si="207"/>
        <v>Found</v>
      </c>
      <c r="AN1183" s="6">
        <v>9.3249999999999993</v>
      </c>
      <c r="AO1183" s="4" t="str">
        <f t="shared" si="208"/>
        <v>Low</v>
      </c>
    </row>
    <row r="1184" spans="1:41">
      <c r="A1184">
        <v>3</v>
      </c>
      <c r="B1184" t="str">
        <f t="shared" si="198"/>
        <v>Third Class</v>
      </c>
      <c r="C1184">
        <v>1</v>
      </c>
      <c r="E1184" t="str">
        <f t="shared" si="199"/>
        <v>Survived</v>
      </c>
      <c r="F1184" t="s">
        <v>2127</v>
      </c>
      <c r="G1184" t="s">
        <v>842</v>
      </c>
      <c r="H1184" t="s">
        <v>1247</v>
      </c>
      <c r="I1184" t="str">
        <f t="shared" si="200"/>
        <v>Miss. Salkjelsvik Anna</v>
      </c>
      <c r="J1184" t="s">
        <v>47</v>
      </c>
      <c r="K1184" t="str">
        <f t="shared" si="201"/>
        <v>Female</v>
      </c>
      <c r="L1184">
        <v>21</v>
      </c>
      <c r="O1184">
        <f t="shared" si="202"/>
        <v>21</v>
      </c>
      <c r="P1184">
        <v>0</v>
      </c>
      <c r="R1184" s="4">
        <v>0</v>
      </c>
      <c r="T1184" s="5">
        <v>7.65</v>
      </c>
      <c r="W1184" s="4">
        <v>21</v>
      </c>
      <c r="X1184" s="4" t="str">
        <f t="shared" si="203"/>
        <v>Young Adult</v>
      </c>
      <c r="Y1184" s="4" t="s">
        <v>3561</v>
      </c>
      <c r="AB1184" s="4" t="str">
        <f t="shared" si="204"/>
        <v/>
      </c>
      <c r="AC1184" s="4" t="str">
        <f t="shared" si="205"/>
        <v>Unknown</v>
      </c>
      <c r="AD1184" s="4" t="s">
        <v>457</v>
      </c>
      <c r="AF1184" s="4" t="s">
        <v>62</v>
      </c>
      <c r="AG1184" s="4" t="str">
        <f t="shared" si="206"/>
        <v>C</v>
      </c>
      <c r="AK1184" s="4" t="s">
        <v>3573</v>
      </c>
      <c r="AL1184" s="4" t="str">
        <f t="shared" si="207"/>
        <v>Found</v>
      </c>
      <c r="AN1184" s="6">
        <v>7.65</v>
      </c>
      <c r="AO1184" s="4" t="str">
        <f t="shared" si="208"/>
        <v>Low</v>
      </c>
    </row>
    <row r="1185" spans="1:41">
      <c r="A1185">
        <v>3</v>
      </c>
      <c r="B1185" t="str">
        <f t="shared" si="198"/>
        <v>Third Class</v>
      </c>
      <c r="C1185">
        <v>0</v>
      </c>
      <c r="E1185" t="str">
        <f t="shared" si="199"/>
        <v>Died</v>
      </c>
      <c r="F1185" t="s">
        <v>2128</v>
      </c>
      <c r="G1185" t="s">
        <v>848</v>
      </c>
      <c r="H1185" t="s">
        <v>1105</v>
      </c>
      <c r="I1185" t="str">
        <f t="shared" si="200"/>
        <v>Mr. Salonen Johan</v>
      </c>
      <c r="J1185" t="s">
        <v>20</v>
      </c>
      <c r="K1185" t="str">
        <f t="shared" si="201"/>
        <v>Male</v>
      </c>
      <c r="L1185">
        <v>39</v>
      </c>
      <c r="O1185">
        <f t="shared" si="202"/>
        <v>39</v>
      </c>
      <c r="P1185">
        <v>0</v>
      </c>
      <c r="R1185" s="4">
        <v>0</v>
      </c>
      <c r="T1185" s="5">
        <v>7.9249999999999998</v>
      </c>
      <c r="W1185" s="4">
        <v>39</v>
      </c>
      <c r="X1185" s="4" t="str">
        <f t="shared" si="203"/>
        <v>Adult</v>
      </c>
      <c r="Y1185" s="4" t="s">
        <v>3561</v>
      </c>
      <c r="AB1185" s="4" t="str">
        <f t="shared" si="204"/>
        <v/>
      </c>
      <c r="AC1185" s="4" t="str">
        <f t="shared" si="205"/>
        <v>Unknown</v>
      </c>
      <c r="AD1185" s="4" t="s">
        <v>457</v>
      </c>
      <c r="AG1185" s="4" t="str">
        <f t="shared" si="206"/>
        <v>Not Applicable</v>
      </c>
      <c r="AK1185" s="4" t="s">
        <v>3573</v>
      </c>
      <c r="AL1185" s="4" t="str">
        <f t="shared" si="207"/>
        <v>Found</v>
      </c>
      <c r="AN1185" s="6">
        <v>7.9249999999999998</v>
      </c>
      <c r="AO1185" s="4" t="str">
        <f t="shared" si="208"/>
        <v>Low</v>
      </c>
    </row>
    <row r="1186" spans="1:41">
      <c r="A1186">
        <v>3</v>
      </c>
      <c r="B1186" t="str">
        <f t="shared" si="198"/>
        <v>Third Class</v>
      </c>
      <c r="C1186">
        <v>0</v>
      </c>
      <c r="E1186" t="str">
        <f t="shared" si="199"/>
        <v>Died</v>
      </c>
      <c r="F1186" t="s">
        <v>2129</v>
      </c>
      <c r="G1186" t="s">
        <v>848</v>
      </c>
      <c r="H1186" t="s">
        <v>1565</v>
      </c>
      <c r="I1186" t="str">
        <f t="shared" si="200"/>
        <v>Mr. Samaan Elias</v>
      </c>
      <c r="J1186" t="s">
        <v>20</v>
      </c>
      <c r="K1186" t="str">
        <f t="shared" si="201"/>
        <v>Male</v>
      </c>
      <c r="L1186">
        <v>28</v>
      </c>
      <c r="O1186">
        <f t="shared" si="202"/>
        <v>28</v>
      </c>
      <c r="P1186">
        <v>2</v>
      </c>
      <c r="R1186" s="4">
        <v>0</v>
      </c>
      <c r="T1186" s="5">
        <v>21.679200000000002</v>
      </c>
      <c r="W1186" s="4">
        <v>28</v>
      </c>
      <c r="X1186" s="4" t="str">
        <f t="shared" si="203"/>
        <v>Young Adult</v>
      </c>
      <c r="Y1186" s="4" t="s">
        <v>3561</v>
      </c>
      <c r="AB1186" s="4" t="str">
        <f t="shared" si="204"/>
        <v/>
      </c>
      <c r="AC1186" s="4" t="str">
        <f t="shared" si="205"/>
        <v>Unknown</v>
      </c>
      <c r="AD1186" s="4" t="s">
        <v>3566</v>
      </c>
      <c r="AG1186" s="4" t="str">
        <f t="shared" si="206"/>
        <v>Not Applicable</v>
      </c>
      <c r="AK1186" s="4" t="s">
        <v>3573</v>
      </c>
      <c r="AL1186" s="4" t="str">
        <f t="shared" si="207"/>
        <v>Found</v>
      </c>
      <c r="AN1186" s="6">
        <v>21.679200000000002</v>
      </c>
      <c r="AO1186" s="4" t="str">
        <f t="shared" si="208"/>
        <v>Mid</v>
      </c>
    </row>
    <row r="1187" spans="1:41">
      <c r="A1187">
        <v>3</v>
      </c>
      <c r="B1187" t="str">
        <f t="shared" si="198"/>
        <v>Third Class</v>
      </c>
      <c r="C1187">
        <v>0</v>
      </c>
      <c r="E1187" t="str">
        <f t="shared" si="199"/>
        <v>Died</v>
      </c>
      <c r="F1187" t="s">
        <v>2129</v>
      </c>
      <c r="G1187" t="s">
        <v>848</v>
      </c>
      <c r="H1187" t="s">
        <v>1608</v>
      </c>
      <c r="I1187" t="str">
        <f t="shared" si="200"/>
        <v>Mr. Samaan Hanna</v>
      </c>
      <c r="J1187" t="s">
        <v>20</v>
      </c>
      <c r="K1187" t="str">
        <f t="shared" si="201"/>
        <v>Male</v>
      </c>
      <c r="L1187">
        <v>28</v>
      </c>
      <c r="O1187">
        <f t="shared" si="202"/>
        <v>28</v>
      </c>
      <c r="P1187">
        <v>2</v>
      </c>
      <c r="R1187" s="4">
        <v>0</v>
      </c>
      <c r="T1187" s="5">
        <v>21.679200000000002</v>
      </c>
      <c r="W1187" s="4">
        <v>28</v>
      </c>
      <c r="X1187" s="4" t="str">
        <f t="shared" si="203"/>
        <v>Young Adult</v>
      </c>
      <c r="Y1187" s="4" t="s">
        <v>3561</v>
      </c>
      <c r="AB1187" s="4" t="str">
        <f t="shared" si="204"/>
        <v/>
      </c>
      <c r="AC1187" s="4" t="str">
        <f t="shared" si="205"/>
        <v>Unknown</v>
      </c>
      <c r="AD1187" s="4" t="s">
        <v>3566</v>
      </c>
      <c r="AG1187" s="4" t="str">
        <f t="shared" si="206"/>
        <v>Not Applicable</v>
      </c>
      <c r="AK1187" s="4" t="s">
        <v>3573</v>
      </c>
      <c r="AL1187" s="4" t="str">
        <f t="shared" si="207"/>
        <v>Found</v>
      </c>
      <c r="AN1187" s="6">
        <v>21.679200000000002</v>
      </c>
      <c r="AO1187" s="4" t="str">
        <f t="shared" si="208"/>
        <v>Mid</v>
      </c>
    </row>
    <row r="1188" spans="1:41">
      <c r="A1188">
        <v>3</v>
      </c>
      <c r="B1188" t="str">
        <f t="shared" si="198"/>
        <v>Third Class</v>
      </c>
      <c r="C1188">
        <v>0</v>
      </c>
      <c r="E1188" t="str">
        <f t="shared" si="199"/>
        <v>Died</v>
      </c>
      <c r="F1188" t="s">
        <v>2129</v>
      </c>
      <c r="G1188" t="s">
        <v>848</v>
      </c>
      <c r="H1188" t="s">
        <v>2130</v>
      </c>
      <c r="I1188" t="str">
        <f t="shared" si="200"/>
        <v>Mr. Samaan Youssef</v>
      </c>
      <c r="J1188" t="s">
        <v>20</v>
      </c>
      <c r="K1188" t="str">
        <f t="shared" si="201"/>
        <v>Male</v>
      </c>
      <c r="L1188">
        <v>28</v>
      </c>
      <c r="O1188">
        <f t="shared" si="202"/>
        <v>28</v>
      </c>
      <c r="P1188">
        <v>2</v>
      </c>
      <c r="R1188" s="4">
        <v>0</v>
      </c>
      <c r="T1188" s="5">
        <v>21.679200000000002</v>
      </c>
      <c r="W1188" s="4">
        <v>28</v>
      </c>
      <c r="X1188" s="4" t="str">
        <f t="shared" si="203"/>
        <v>Young Adult</v>
      </c>
      <c r="Y1188" s="4" t="s">
        <v>3561</v>
      </c>
      <c r="AB1188" s="4" t="str">
        <f t="shared" si="204"/>
        <v/>
      </c>
      <c r="AC1188" s="4" t="str">
        <f t="shared" si="205"/>
        <v>Unknown</v>
      </c>
      <c r="AD1188" s="4" t="s">
        <v>3566</v>
      </c>
      <c r="AG1188" s="4" t="str">
        <f t="shared" si="206"/>
        <v>Not Applicable</v>
      </c>
      <c r="AK1188" s="4" t="s">
        <v>3573</v>
      </c>
      <c r="AL1188" s="4" t="str">
        <f t="shared" si="207"/>
        <v>Found</v>
      </c>
      <c r="AN1188" s="6">
        <v>21.679200000000002</v>
      </c>
      <c r="AO1188" s="4" t="str">
        <f t="shared" si="208"/>
        <v>Mid</v>
      </c>
    </row>
    <row r="1189" spans="1:41">
      <c r="A1189">
        <v>3</v>
      </c>
      <c r="B1189" t="str">
        <f t="shared" si="198"/>
        <v>Third Class</v>
      </c>
      <c r="C1189">
        <v>1</v>
      </c>
      <c r="E1189" t="str">
        <f t="shared" si="199"/>
        <v>Survived</v>
      </c>
      <c r="F1189" t="s">
        <v>2131</v>
      </c>
      <c r="G1189" t="s">
        <v>842</v>
      </c>
      <c r="H1189" t="s">
        <v>2132</v>
      </c>
      <c r="I1189" t="str">
        <f t="shared" si="200"/>
        <v>Miss. Sandstrom Beatrice</v>
      </c>
      <c r="J1189" t="s">
        <v>47</v>
      </c>
      <c r="K1189" t="str">
        <f t="shared" si="201"/>
        <v>Female</v>
      </c>
      <c r="L1189">
        <v>1</v>
      </c>
      <c r="O1189">
        <f t="shared" si="202"/>
        <v>1</v>
      </c>
      <c r="P1189">
        <v>1</v>
      </c>
      <c r="R1189" s="4">
        <v>1</v>
      </c>
      <c r="T1189" s="5">
        <v>16.7</v>
      </c>
      <c r="W1189" s="4">
        <v>1</v>
      </c>
      <c r="X1189" s="4" t="str">
        <f t="shared" si="203"/>
        <v>Child</v>
      </c>
      <c r="Y1189" s="4" t="s">
        <v>810</v>
      </c>
      <c r="AA1189" s="4" t="s">
        <v>810</v>
      </c>
      <c r="AB1189" s="4" t="str">
        <f t="shared" si="204"/>
        <v>G</v>
      </c>
      <c r="AC1189" s="4" t="str">
        <f t="shared" si="205"/>
        <v>G</v>
      </c>
      <c r="AD1189" s="4" t="s">
        <v>457</v>
      </c>
      <c r="AF1189" s="4">
        <v>13</v>
      </c>
      <c r="AG1189" s="4">
        <f t="shared" si="206"/>
        <v>13</v>
      </c>
      <c r="AK1189" s="4" t="s">
        <v>3573</v>
      </c>
      <c r="AL1189" s="4" t="str">
        <f t="shared" si="207"/>
        <v>Found</v>
      </c>
      <c r="AN1189" s="6">
        <v>16.7</v>
      </c>
      <c r="AO1189" s="4" t="str">
        <f t="shared" si="208"/>
        <v>Mid</v>
      </c>
    </row>
    <row r="1190" spans="1:41">
      <c r="A1190">
        <v>3</v>
      </c>
      <c r="B1190" t="str">
        <f t="shared" si="198"/>
        <v>Third Class</v>
      </c>
      <c r="C1190">
        <v>1</v>
      </c>
      <c r="E1190" t="str">
        <f t="shared" si="199"/>
        <v>Survived</v>
      </c>
      <c r="F1190" t="s">
        <v>2131</v>
      </c>
      <c r="G1190" t="s">
        <v>849</v>
      </c>
      <c r="H1190" t="s">
        <v>1734</v>
      </c>
      <c r="I1190" t="str">
        <f t="shared" si="200"/>
        <v>Mrs. Sandstrom Hjalmar</v>
      </c>
      <c r="J1190" t="s">
        <v>47</v>
      </c>
      <c r="K1190" t="str">
        <f t="shared" si="201"/>
        <v>Female</v>
      </c>
      <c r="L1190">
        <v>24</v>
      </c>
      <c r="O1190">
        <f t="shared" si="202"/>
        <v>24</v>
      </c>
      <c r="P1190">
        <v>0</v>
      </c>
      <c r="R1190" s="4">
        <v>2</v>
      </c>
      <c r="T1190" s="5">
        <v>16.7</v>
      </c>
      <c r="W1190" s="4">
        <v>24</v>
      </c>
      <c r="X1190" s="4" t="str">
        <f t="shared" si="203"/>
        <v>Young Adult</v>
      </c>
      <c r="Y1190" s="4" t="s">
        <v>810</v>
      </c>
      <c r="AA1190" s="4" t="s">
        <v>810</v>
      </c>
      <c r="AB1190" s="4" t="str">
        <f t="shared" si="204"/>
        <v>G</v>
      </c>
      <c r="AC1190" s="4" t="str">
        <f t="shared" si="205"/>
        <v>G</v>
      </c>
      <c r="AD1190" s="4" t="s">
        <v>457</v>
      </c>
      <c r="AF1190" s="4">
        <v>13</v>
      </c>
      <c r="AG1190" s="4">
        <f t="shared" si="206"/>
        <v>13</v>
      </c>
      <c r="AK1190" s="4" t="s">
        <v>3573</v>
      </c>
      <c r="AL1190" s="4" t="str">
        <f t="shared" si="207"/>
        <v>Found</v>
      </c>
      <c r="AN1190" s="6">
        <v>16.7</v>
      </c>
      <c r="AO1190" s="4" t="str">
        <f t="shared" si="208"/>
        <v>Mid</v>
      </c>
    </row>
    <row r="1191" spans="1:41">
      <c r="A1191">
        <v>3</v>
      </c>
      <c r="B1191" t="str">
        <f t="shared" si="198"/>
        <v>Third Class</v>
      </c>
      <c r="C1191">
        <v>1</v>
      </c>
      <c r="E1191" t="str">
        <f t="shared" si="199"/>
        <v>Survived</v>
      </c>
      <c r="F1191" t="s">
        <v>2131</v>
      </c>
      <c r="G1191" t="s">
        <v>842</v>
      </c>
      <c r="H1191" t="s">
        <v>2133</v>
      </c>
      <c r="I1191" t="str">
        <f t="shared" si="200"/>
        <v>Miss. Sandstrom Marguerite</v>
      </c>
      <c r="J1191" t="s">
        <v>47</v>
      </c>
      <c r="K1191" t="str">
        <f t="shared" si="201"/>
        <v>Female</v>
      </c>
      <c r="L1191">
        <v>4</v>
      </c>
      <c r="O1191">
        <f t="shared" si="202"/>
        <v>4</v>
      </c>
      <c r="P1191">
        <v>1</v>
      </c>
      <c r="R1191" s="4">
        <v>1</v>
      </c>
      <c r="T1191" s="5">
        <v>16.7</v>
      </c>
      <c r="W1191" s="4">
        <v>4</v>
      </c>
      <c r="X1191" s="4" t="str">
        <f t="shared" si="203"/>
        <v>Child</v>
      </c>
      <c r="Y1191" s="4" t="s">
        <v>810</v>
      </c>
      <c r="AA1191" s="4" t="s">
        <v>810</v>
      </c>
      <c r="AB1191" s="4" t="str">
        <f t="shared" si="204"/>
        <v>G</v>
      </c>
      <c r="AC1191" s="4" t="str">
        <f t="shared" si="205"/>
        <v>G</v>
      </c>
      <c r="AD1191" s="4" t="s">
        <v>457</v>
      </c>
      <c r="AF1191" s="4">
        <v>13</v>
      </c>
      <c r="AG1191" s="4">
        <f t="shared" si="206"/>
        <v>13</v>
      </c>
      <c r="AK1191" s="4" t="s">
        <v>3573</v>
      </c>
      <c r="AL1191" s="4" t="str">
        <f t="shared" si="207"/>
        <v>Found</v>
      </c>
      <c r="AN1191" s="6">
        <v>16.7</v>
      </c>
      <c r="AO1191" s="4" t="str">
        <f t="shared" si="208"/>
        <v>Mid</v>
      </c>
    </row>
    <row r="1192" spans="1:41">
      <c r="A1192">
        <v>3</v>
      </c>
      <c r="B1192" t="str">
        <f t="shared" si="198"/>
        <v>Third Class</v>
      </c>
      <c r="C1192">
        <v>1</v>
      </c>
      <c r="E1192" t="str">
        <f t="shared" si="199"/>
        <v>Survived</v>
      </c>
      <c r="F1192" t="s">
        <v>2134</v>
      </c>
      <c r="G1192" t="s">
        <v>848</v>
      </c>
      <c r="H1192" t="s">
        <v>1856</v>
      </c>
      <c r="I1192" t="str">
        <f t="shared" si="200"/>
        <v>Mr. Sap Julius</v>
      </c>
      <c r="J1192" t="s">
        <v>20</v>
      </c>
      <c r="K1192" t="str">
        <f t="shared" si="201"/>
        <v>Male</v>
      </c>
      <c r="L1192">
        <v>25</v>
      </c>
      <c r="O1192">
        <f t="shared" si="202"/>
        <v>25</v>
      </c>
      <c r="P1192">
        <v>0</v>
      </c>
      <c r="R1192" s="4">
        <v>0</v>
      </c>
      <c r="T1192" s="5">
        <v>9.5</v>
      </c>
      <c r="W1192" s="4">
        <v>25</v>
      </c>
      <c r="X1192" s="4" t="str">
        <f t="shared" si="203"/>
        <v>Young Adult</v>
      </c>
      <c r="Y1192" s="4" t="s">
        <v>3561</v>
      </c>
      <c r="AB1192" s="4" t="str">
        <f t="shared" si="204"/>
        <v/>
      </c>
      <c r="AC1192" s="4" t="str">
        <f t="shared" si="205"/>
        <v>Unknown</v>
      </c>
      <c r="AD1192" s="4" t="s">
        <v>457</v>
      </c>
      <c r="AF1192" s="4">
        <v>11</v>
      </c>
      <c r="AG1192" s="4">
        <f t="shared" si="206"/>
        <v>11</v>
      </c>
      <c r="AK1192" s="4" t="s">
        <v>3573</v>
      </c>
      <c r="AL1192" s="4" t="str">
        <f t="shared" si="207"/>
        <v>Found</v>
      </c>
      <c r="AN1192" s="6">
        <v>9.5</v>
      </c>
      <c r="AO1192" s="4" t="str">
        <f t="shared" si="208"/>
        <v>Low</v>
      </c>
    </row>
    <row r="1193" spans="1:41">
      <c r="A1193">
        <v>3</v>
      </c>
      <c r="B1193" t="str">
        <f t="shared" si="198"/>
        <v>Third Class</v>
      </c>
      <c r="C1193">
        <v>0</v>
      </c>
      <c r="E1193" t="str">
        <f t="shared" si="199"/>
        <v>Died</v>
      </c>
      <c r="F1193" t="s">
        <v>2135</v>
      </c>
      <c r="G1193" t="s">
        <v>848</v>
      </c>
      <c r="H1193" t="s">
        <v>924</v>
      </c>
      <c r="I1193" t="str">
        <f t="shared" si="200"/>
        <v>Mr. Saundercock William</v>
      </c>
      <c r="J1193" t="s">
        <v>20</v>
      </c>
      <c r="K1193" t="str">
        <f t="shared" si="201"/>
        <v>Male</v>
      </c>
      <c r="L1193">
        <v>20</v>
      </c>
      <c r="O1193">
        <f t="shared" si="202"/>
        <v>20</v>
      </c>
      <c r="P1193">
        <v>0</v>
      </c>
      <c r="R1193" s="4">
        <v>0</v>
      </c>
      <c r="T1193" s="5">
        <v>8.0500000000000007</v>
      </c>
      <c r="W1193" s="4">
        <v>20</v>
      </c>
      <c r="X1193" s="4" t="str">
        <f t="shared" si="203"/>
        <v>Young Adult</v>
      </c>
      <c r="Y1193" s="4" t="s">
        <v>3561</v>
      </c>
      <c r="AB1193" s="4" t="str">
        <f t="shared" si="204"/>
        <v/>
      </c>
      <c r="AC1193" s="4" t="str">
        <f t="shared" si="205"/>
        <v>Unknown</v>
      </c>
      <c r="AD1193" s="4" t="s">
        <v>457</v>
      </c>
      <c r="AG1193" s="4" t="str">
        <f t="shared" si="206"/>
        <v>Not Applicable</v>
      </c>
      <c r="AK1193" s="4" t="s">
        <v>3573</v>
      </c>
      <c r="AL1193" s="4" t="str">
        <f t="shared" si="207"/>
        <v>Found</v>
      </c>
      <c r="AN1193" s="6">
        <v>8.0500000000000007</v>
      </c>
      <c r="AO1193" s="4" t="str">
        <f t="shared" si="208"/>
        <v>Low</v>
      </c>
    </row>
    <row r="1194" spans="1:41">
      <c r="A1194">
        <v>3</v>
      </c>
      <c r="B1194" t="str">
        <f t="shared" si="198"/>
        <v>Third Class</v>
      </c>
      <c r="C1194">
        <v>0</v>
      </c>
      <c r="E1194" t="str">
        <f t="shared" si="199"/>
        <v>Died</v>
      </c>
      <c r="F1194" t="s">
        <v>2136</v>
      </c>
      <c r="G1194" t="s">
        <v>848</v>
      </c>
      <c r="H1194" t="s">
        <v>999</v>
      </c>
      <c r="I1194" t="str">
        <f t="shared" si="200"/>
        <v>Mr. Sawyer Frederick</v>
      </c>
      <c r="J1194" t="s">
        <v>20</v>
      </c>
      <c r="K1194" t="str">
        <f t="shared" si="201"/>
        <v>Male</v>
      </c>
      <c r="L1194">
        <v>24.5</v>
      </c>
      <c r="O1194">
        <f t="shared" si="202"/>
        <v>25</v>
      </c>
      <c r="P1194">
        <v>0</v>
      </c>
      <c r="R1194" s="4">
        <v>0</v>
      </c>
      <c r="T1194" s="5">
        <v>8.0500000000000007</v>
      </c>
      <c r="W1194" s="4">
        <v>25</v>
      </c>
      <c r="X1194" s="4" t="str">
        <f t="shared" si="203"/>
        <v>Young Adult</v>
      </c>
      <c r="Y1194" s="4" t="s">
        <v>3561</v>
      </c>
      <c r="AB1194" s="4" t="str">
        <f t="shared" si="204"/>
        <v/>
      </c>
      <c r="AC1194" s="4" t="str">
        <f t="shared" si="205"/>
        <v>Unknown</v>
      </c>
      <c r="AD1194" s="4" t="s">
        <v>457</v>
      </c>
      <c r="AG1194" s="4" t="str">
        <f t="shared" si="206"/>
        <v>Not Applicable</v>
      </c>
      <c r="AH1194" s="4">
        <v>284</v>
      </c>
      <c r="AK1194" s="4">
        <v>284</v>
      </c>
      <c r="AL1194" s="4" t="str">
        <f t="shared" si="207"/>
        <v>Found</v>
      </c>
      <c r="AN1194" s="6">
        <v>8.0500000000000007</v>
      </c>
      <c r="AO1194" s="4" t="str">
        <f t="shared" si="208"/>
        <v>Low</v>
      </c>
    </row>
    <row r="1195" spans="1:41">
      <c r="A1195">
        <v>3</v>
      </c>
      <c r="B1195" t="str">
        <f t="shared" si="198"/>
        <v>Third Class</v>
      </c>
      <c r="C1195">
        <v>0</v>
      </c>
      <c r="E1195" t="str">
        <f t="shared" si="199"/>
        <v>Died</v>
      </c>
      <c r="F1195" t="s">
        <v>2137</v>
      </c>
      <c r="G1195" t="s">
        <v>848</v>
      </c>
      <c r="H1195" t="s">
        <v>878</v>
      </c>
      <c r="I1195" t="str">
        <f t="shared" si="200"/>
        <v>Mr. Scanlan James</v>
      </c>
      <c r="J1195" t="s">
        <v>20</v>
      </c>
      <c r="K1195" t="str">
        <f t="shared" si="201"/>
        <v>Male</v>
      </c>
      <c r="L1195">
        <v>28</v>
      </c>
      <c r="O1195">
        <f t="shared" si="202"/>
        <v>28</v>
      </c>
      <c r="P1195">
        <v>0</v>
      </c>
      <c r="R1195" s="4">
        <v>0</v>
      </c>
      <c r="T1195" s="5">
        <v>7.7249999999999996</v>
      </c>
      <c r="W1195" s="4">
        <v>28</v>
      </c>
      <c r="X1195" s="4" t="str">
        <f t="shared" si="203"/>
        <v>Young Adult</v>
      </c>
      <c r="Y1195" s="4" t="s">
        <v>3561</v>
      </c>
      <c r="AB1195" s="4" t="str">
        <f t="shared" si="204"/>
        <v/>
      </c>
      <c r="AC1195" s="4" t="str">
        <f t="shared" si="205"/>
        <v>Unknown</v>
      </c>
      <c r="AD1195" s="4" t="s">
        <v>3567</v>
      </c>
      <c r="AG1195" s="4" t="str">
        <f t="shared" si="206"/>
        <v>Not Applicable</v>
      </c>
      <c r="AK1195" s="4" t="s">
        <v>3573</v>
      </c>
      <c r="AL1195" s="4" t="str">
        <f t="shared" si="207"/>
        <v>Found</v>
      </c>
      <c r="AN1195" s="6">
        <v>7.7249999999999996</v>
      </c>
      <c r="AO1195" s="4" t="str">
        <f t="shared" si="208"/>
        <v>Low</v>
      </c>
    </row>
    <row r="1196" spans="1:41">
      <c r="A1196">
        <v>3</v>
      </c>
      <c r="B1196" t="str">
        <f t="shared" si="198"/>
        <v>Third Class</v>
      </c>
      <c r="C1196">
        <v>0</v>
      </c>
      <c r="E1196" t="str">
        <f t="shared" si="199"/>
        <v>Died</v>
      </c>
      <c r="F1196" t="s">
        <v>2138</v>
      </c>
      <c r="G1196" t="s">
        <v>848</v>
      </c>
      <c r="H1196" t="s">
        <v>2139</v>
      </c>
      <c r="I1196" t="str">
        <f t="shared" si="200"/>
        <v>Mr. Sdycoff Todor</v>
      </c>
      <c r="J1196" t="s">
        <v>20</v>
      </c>
      <c r="K1196" t="str">
        <f t="shared" si="201"/>
        <v>Male</v>
      </c>
      <c r="L1196">
        <v>28</v>
      </c>
      <c r="O1196">
        <f t="shared" si="202"/>
        <v>28</v>
      </c>
      <c r="P1196">
        <v>0</v>
      </c>
      <c r="R1196" s="4">
        <v>0</v>
      </c>
      <c r="T1196" s="5">
        <v>7.8958000000000004</v>
      </c>
      <c r="W1196" s="4">
        <v>28</v>
      </c>
      <c r="X1196" s="4" t="str">
        <f t="shared" si="203"/>
        <v>Young Adult</v>
      </c>
      <c r="Y1196" s="4" t="s">
        <v>3561</v>
      </c>
      <c r="AB1196" s="4" t="str">
        <f t="shared" si="204"/>
        <v/>
      </c>
      <c r="AC1196" s="4" t="str">
        <f t="shared" si="205"/>
        <v>Unknown</v>
      </c>
      <c r="AD1196" s="4" t="s">
        <v>457</v>
      </c>
      <c r="AG1196" s="4" t="str">
        <f t="shared" si="206"/>
        <v>Not Applicable</v>
      </c>
      <c r="AK1196" s="4" t="s">
        <v>3573</v>
      </c>
      <c r="AL1196" s="4" t="str">
        <f t="shared" si="207"/>
        <v>Found</v>
      </c>
      <c r="AN1196" s="6">
        <v>7.8958000000000004</v>
      </c>
      <c r="AO1196" s="4" t="str">
        <f t="shared" si="208"/>
        <v>Low</v>
      </c>
    </row>
    <row r="1197" spans="1:41">
      <c r="A1197">
        <v>3</v>
      </c>
      <c r="B1197" t="str">
        <f t="shared" si="198"/>
        <v>Third Class</v>
      </c>
      <c r="C1197">
        <v>0</v>
      </c>
      <c r="E1197" t="str">
        <f t="shared" si="199"/>
        <v>Died</v>
      </c>
      <c r="F1197" t="s">
        <v>2140</v>
      </c>
      <c r="G1197" t="s">
        <v>848</v>
      </c>
      <c r="H1197" t="s">
        <v>1649</v>
      </c>
      <c r="I1197" t="str">
        <f t="shared" si="200"/>
        <v>Mr. Shaughnessy Patrick</v>
      </c>
      <c r="J1197" t="s">
        <v>20</v>
      </c>
      <c r="K1197" t="str">
        <f t="shared" si="201"/>
        <v>Male</v>
      </c>
      <c r="L1197">
        <v>28</v>
      </c>
      <c r="O1197">
        <f t="shared" si="202"/>
        <v>28</v>
      </c>
      <c r="P1197">
        <v>0</v>
      </c>
      <c r="R1197" s="4">
        <v>0</v>
      </c>
      <c r="T1197" s="5">
        <v>7.75</v>
      </c>
      <c r="W1197" s="4">
        <v>28</v>
      </c>
      <c r="X1197" s="4" t="str">
        <f t="shared" si="203"/>
        <v>Young Adult</v>
      </c>
      <c r="Y1197" s="4" t="s">
        <v>3561</v>
      </c>
      <c r="AB1197" s="4" t="str">
        <f t="shared" si="204"/>
        <v/>
      </c>
      <c r="AC1197" s="4" t="str">
        <f t="shared" si="205"/>
        <v>Unknown</v>
      </c>
      <c r="AD1197" s="4" t="s">
        <v>3567</v>
      </c>
      <c r="AG1197" s="4" t="str">
        <f t="shared" si="206"/>
        <v>Not Applicable</v>
      </c>
      <c r="AK1197" s="4" t="s">
        <v>3573</v>
      </c>
      <c r="AL1197" s="4" t="str">
        <f t="shared" si="207"/>
        <v>Found</v>
      </c>
      <c r="AN1197" s="6">
        <v>7.75</v>
      </c>
      <c r="AO1197" s="4" t="str">
        <f t="shared" si="208"/>
        <v>Low</v>
      </c>
    </row>
    <row r="1198" spans="1:41">
      <c r="A1198">
        <v>3</v>
      </c>
      <c r="B1198" t="str">
        <f t="shared" si="198"/>
        <v>Third Class</v>
      </c>
      <c r="C1198">
        <v>1</v>
      </c>
      <c r="E1198" t="str">
        <f t="shared" si="199"/>
        <v>Survived</v>
      </c>
      <c r="F1198" t="s">
        <v>2141</v>
      </c>
      <c r="G1198" t="s">
        <v>848</v>
      </c>
      <c r="H1198" t="s">
        <v>2142</v>
      </c>
      <c r="I1198" t="str">
        <f t="shared" si="200"/>
        <v>Mr. Sheerlinck Jan</v>
      </c>
      <c r="J1198" t="s">
        <v>20</v>
      </c>
      <c r="K1198" t="str">
        <f t="shared" si="201"/>
        <v>Male</v>
      </c>
      <c r="L1198">
        <v>29</v>
      </c>
      <c r="O1198">
        <f t="shared" si="202"/>
        <v>29</v>
      </c>
      <c r="P1198">
        <v>0</v>
      </c>
      <c r="R1198" s="4">
        <v>0</v>
      </c>
      <c r="T1198" s="5">
        <v>9.5</v>
      </c>
      <c r="W1198" s="4">
        <v>29</v>
      </c>
      <c r="X1198" s="4" t="str">
        <f t="shared" si="203"/>
        <v>Young Adult</v>
      </c>
      <c r="Y1198" s="4" t="s">
        <v>3561</v>
      </c>
      <c r="AB1198" s="4" t="str">
        <f t="shared" si="204"/>
        <v/>
      </c>
      <c r="AC1198" s="4" t="str">
        <f t="shared" si="205"/>
        <v>Unknown</v>
      </c>
      <c r="AD1198" s="4" t="s">
        <v>457</v>
      </c>
      <c r="AF1198" s="4">
        <v>11</v>
      </c>
      <c r="AG1198" s="4">
        <f t="shared" si="206"/>
        <v>11</v>
      </c>
      <c r="AK1198" s="4" t="s">
        <v>3573</v>
      </c>
      <c r="AL1198" s="4" t="str">
        <f t="shared" si="207"/>
        <v>Found</v>
      </c>
      <c r="AN1198" s="6">
        <v>9.5</v>
      </c>
      <c r="AO1198" s="4" t="str">
        <f t="shared" si="208"/>
        <v>Low</v>
      </c>
    </row>
    <row r="1199" spans="1:41">
      <c r="A1199">
        <v>3</v>
      </c>
      <c r="B1199" t="str">
        <f t="shared" si="198"/>
        <v>Third Class</v>
      </c>
      <c r="C1199">
        <v>0</v>
      </c>
      <c r="E1199" t="str">
        <f t="shared" si="199"/>
        <v>Died</v>
      </c>
      <c r="F1199" t="s">
        <v>2143</v>
      </c>
      <c r="G1199" t="s">
        <v>848</v>
      </c>
      <c r="H1199" t="s">
        <v>999</v>
      </c>
      <c r="I1199" t="str">
        <f t="shared" si="200"/>
        <v>Mr. Shellard Frederick</v>
      </c>
      <c r="J1199" t="s">
        <v>20</v>
      </c>
      <c r="K1199" t="str">
        <f t="shared" si="201"/>
        <v>Male</v>
      </c>
      <c r="L1199">
        <v>28</v>
      </c>
      <c r="O1199">
        <f t="shared" si="202"/>
        <v>28</v>
      </c>
      <c r="P1199">
        <v>0</v>
      </c>
      <c r="R1199" s="4">
        <v>0</v>
      </c>
      <c r="T1199" s="5">
        <v>15.1</v>
      </c>
      <c r="W1199" s="4">
        <v>28</v>
      </c>
      <c r="X1199" s="4" t="str">
        <f t="shared" si="203"/>
        <v>Young Adult</v>
      </c>
      <c r="Y1199" s="4" t="s">
        <v>3561</v>
      </c>
      <c r="AB1199" s="4" t="str">
        <f t="shared" si="204"/>
        <v/>
      </c>
      <c r="AC1199" s="4" t="str">
        <f t="shared" si="205"/>
        <v>Unknown</v>
      </c>
      <c r="AD1199" s="4" t="s">
        <v>457</v>
      </c>
      <c r="AG1199" s="4" t="str">
        <f t="shared" si="206"/>
        <v>Not Applicable</v>
      </c>
      <c r="AK1199" s="4" t="s">
        <v>3573</v>
      </c>
      <c r="AL1199" s="4" t="str">
        <f t="shared" si="207"/>
        <v>Found</v>
      </c>
      <c r="AN1199" s="6">
        <v>15.1</v>
      </c>
      <c r="AO1199" s="4" t="str">
        <f t="shared" si="208"/>
        <v>Mid</v>
      </c>
    </row>
    <row r="1200" spans="1:41">
      <c r="A1200">
        <v>3</v>
      </c>
      <c r="B1200" t="str">
        <f t="shared" si="198"/>
        <v>Third Class</v>
      </c>
      <c r="C1200">
        <v>1</v>
      </c>
      <c r="E1200" t="str">
        <f t="shared" si="199"/>
        <v>Survived</v>
      </c>
      <c r="F1200" t="s">
        <v>2144</v>
      </c>
      <c r="G1200" t="s">
        <v>842</v>
      </c>
      <c r="H1200" t="s">
        <v>868</v>
      </c>
      <c r="I1200" t="str">
        <f t="shared" si="200"/>
        <v>Miss. Shine Ellen</v>
      </c>
      <c r="J1200" t="s">
        <v>47</v>
      </c>
      <c r="K1200" t="str">
        <f t="shared" si="201"/>
        <v>Female</v>
      </c>
      <c r="L1200">
        <v>28</v>
      </c>
      <c r="O1200">
        <f t="shared" si="202"/>
        <v>28</v>
      </c>
      <c r="P1200">
        <v>0</v>
      </c>
      <c r="R1200" s="4">
        <v>0</v>
      </c>
      <c r="T1200" s="5">
        <v>7.7792000000000003</v>
      </c>
      <c r="W1200" s="4">
        <v>28</v>
      </c>
      <c r="X1200" s="4" t="str">
        <f t="shared" si="203"/>
        <v>Young Adult</v>
      </c>
      <c r="Y1200" s="4" t="s">
        <v>3561</v>
      </c>
      <c r="AB1200" s="4" t="str">
        <f t="shared" si="204"/>
        <v/>
      </c>
      <c r="AC1200" s="4" t="str">
        <f t="shared" si="205"/>
        <v>Unknown</v>
      </c>
      <c r="AD1200" s="4" t="s">
        <v>3567</v>
      </c>
      <c r="AG1200" s="4" t="str">
        <f t="shared" si="206"/>
        <v>Not Applicable</v>
      </c>
      <c r="AK1200" s="4" t="s">
        <v>3573</v>
      </c>
      <c r="AL1200" s="4" t="str">
        <f t="shared" si="207"/>
        <v>Found</v>
      </c>
      <c r="AN1200" s="6">
        <v>7.7792000000000003</v>
      </c>
      <c r="AO1200" s="4" t="str">
        <f t="shared" si="208"/>
        <v>Low</v>
      </c>
    </row>
    <row r="1201" spans="1:41">
      <c r="A1201">
        <v>3</v>
      </c>
      <c r="B1201" t="str">
        <f t="shared" si="198"/>
        <v>Third Class</v>
      </c>
      <c r="C1201">
        <v>0</v>
      </c>
      <c r="E1201" t="str">
        <f t="shared" si="199"/>
        <v>Died</v>
      </c>
      <c r="F1201" t="s">
        <v>2145</v>
      </c>
      <c r="G1201" t="s">
        <v>848</v>
      </c>
      <c r="H1201" t="s">
        <v>1000</v>
      </c>
      <c r="I1201" t="str">
        <f t="shared" si="200"/>
        <v>Mr. Shorney Charles</v>
      </c>
      <c r="J1201" t="s">
        <v>20</v>
      </c>
      <c r="K1201" t="str">
        <f t="shared" si="201"/>
        <v>Male</v>
      </c>
      <c r="L1201">
        <v>28</v>
      </c>
      <c r="O1201">
        <f t="shared" si="202"/>
        <v>28</v>
      </c>
      <c r="P1201">
        <v>0</v>
      </c>
      <c r="R1201" s="4">
        <v>0</v>
      </c>
      <c r="T1201" s="5">
        <v>8.0500000000000007</v>
      </c>
      <c r="W1201" s="4">
        <v>28</v>
      </c>
      <c r="X1201" s="4" t="str">
        <f t="shared" si="203"/>
        <v>Young Adult</v>
      </c>
      <c r="Y1201" s="4" t="s">
        <v>3561</v>
      </c>
      <c r="AB1201" s="4" t="str">
        <f t="shared" si="204"/>
        <v/>
      </c>
      <c r="AC1201" s="4" t="str">
        <f t="shared" si="205"/>
        <v>Unknown</v>
      </c>
      <c r="AD1201" s="4" t="s">
        <v>457</v>
      </c>
      <c r="AG1201" s="4" t="str">
        <f t="shared" si="206"/>
        <v>Not Applicable</v>
      </c>
      <c r="AK1201" s="4" t="s">
        <v>3573</v>
      </c>
      <c r="AL1201" s="4" t="str">
        <f t="shared" si="207"/>
        <v>Found</v>
      </c>
      <c r="AN1201" s="6">
        <v>8.0500000000000007</v>
      </c>
      <c r="AO1201" s="4" t="str">
        <f t="shared" si="208"/>
        <v>Low</v>
      </c>
    </row>
    <row r="1202" spans="1:41">
      <c r="A1202">
        <v>3</v>
      </c>
      <c r="B1202" t="str">
        <f t="shared" si="198"/>
        <v>Third Class</v>
      </c>
      <c r="C1202">
        <v>0</v>
      </c>
      <c r="E1202" t="str">
        <f t="shared" si="199"/>
        <v>Died</v>
      </c>
      <c r="F1202" t="s">
        <v>2146</v>
      </c>
      <c r="G1202" t="s">
        <v>848</v>
      </c>
      <c r="H1202" t="s">
        <v>862</v>
      </c>
      <c r="I1202" t="str">
        <f t="shared" si="200"/>
        <v>Mr. Simmons John</v>
      </c>
      <c r="J1202" t="s">
        <v>20</v>
      </c>
      <c r="K1202" t="str">
        <f t="shared" si="201"/>
        <v>Male</v>
      </c>
      <c r="L1202">
        <v>28</v>
      </c>
      <c r="O1202">
        <f t="shared" si="202"/>
        <v>28</v>
      </c>
      <c r="P1202">
        <v>0</v>
      </c>
      <c r="R1202" s="4">
        <v>0</v>
      </c>
      <c r="T1202" s="5">
        <v>8.0500000000000007</v>
      </c>
      <c r="W1202" s="4">
        <v>28</v>
      </c>
      <c r="X1202" s="4" t="str">
        <f t="shared" si="203"/>
        <v>Young Adult</v>
      </c>
      <c r="Y1202" s="4" t="s">
        <v>3561</v>
      </c>
      <c r="AB1202" s="4" t="str">
        <f t="shared" si="204"/>
        <v/>
      </c>
      <c r="AC1202" s="4" t="str">
        <f t="shared" si="205"/>
        <v>Unknown</v>
      </c>
      <c r="AD1202" s="4" t="s">
        <v>457</v>
      </c>
      <c r="AG1202" s="4" t="str">
        <f t="shared" si="206"/>
        <v>Not Applicable</v>
      </c>
      <c r="AK1202" s="4" t="s">
        <v>3573</v>
      </c>
      <c r="AL1202" s="4" t="str">
        <f t="shared" si="207"/>
        <v>Found</v>
      </c>
      <c r="AN1202" s="6">
        <v>8.0500000000000007</v>
      </c>
      <c r="AO1202" s="4" t="str">
        <f t="shared" si="208"/>
        <v>Low</v>
      </c>
    </row>
    <row r="1203" spans="1:41">
      <c r="A1203">
        <v>3</v>
      </c>
      <c r="B1203" t="str">
        <f t="shared" si="198"/>
        <v>Third Class</v>
      </c>
      <c r="C1203">
        <v>0</v>
      </c>
      <c r="E1203" t="str">
        <f t="shared" si="199"/>
        <v>Died</v>
      </c>
      <c r="F1203" t="s">
        <v>2147</v>
      </c>
      <c r="G1203" t="s">
        <v>848</v>
      </c>
      <c r="H1203" t="s">
        <v>2148</v>
      </c>
      <c r="I1203" t="str">
        <f t="shared" si="200"/>
        <v>Mr. Sirayanian Orsen</v>
      </c>
      <c r="J1203" t="s">
        <v>20</v>
      </c>
      <c r="K1203" t="str">
        <f t="shared" si="201"/>
        <v>Male</v>
      </c>
      <c r="L1203">
        <v>22</v>
      </c>
      <c r="O1203">
        <f t="shared" si="202"/>
        <v>22</v>
      </c>
      <c r="P1203">
        <v>0</v>
      </c>
      <c r="R1203" s="4">
        <v>0</v>
      </c>
      <c r="T1203" s="5">
        <v>7.2291999999999996</v>
      </c>
      <c r="W1203" s="4">
        <v>22</v>
      </c>
      <c r="X1203" s="4" t="str">
        <f t="shared" si="203"/>
        <v>Young Adult</v>
      </c>
      <c r="Y1203" s="4" t="s">
        <v>3561</v>
      </c>
      <c r="AB1203" s="4" t="str">
        <f t="shared" si="204"/>
        <v/>
      </c>
      <c r="AC1203" s="4" t="str">
        <f t="shared" si="205"/>
        <v>Unknown</v>
      </c>
      <c r="AD1203" s="4" t="s">
        <v>3566</v>
      </c>
      <c r="AG1203" s="4" t="str">
        <f t="shared" si="206"/>
        <v>Not Applicable</v>
      </c>
      <c r="AK1203" s="4" t="s">
        <v>3573</v>
      </c>
      <c r="AL1203" s="4" t="str">
        <f t="shared" si="207"/>
        <v>Found</v>
      </c>
      <c r="AN1203" s="6">
        <v>7.2291999999999996</v>
      </c>
      <c r="AO1203" s="4" t="str">
        <f t="shared" si="208"/>
        <v>Low</v>
      </c>
    </row>
    <row r="1204" spans="1:41">
      <c r="A1204">
        <v>3</v>
      </c>
      <c r="B1204" t="str">
        <f t="shared" si="198"/>
        <v>Third Class</v>
      </c>
      <c r="C1204">
        <v>0</v>
      </c>
      <c r="E1204" t="str">
        <f t="shared" si="199"/>
        <v>Died</v>
      </c>
      <c r="F1204" t="s">
        <v>2149</v>
      </c>
      <c r="G1204" t="s">
        <v>848</v>
      </c>
      <c r="H1204" t="s">
        <v>2031</v>
      </c>
      <c r="I1204" t="str">
        <f t="shared" si="200"/>
        <v>Mr. Sirota Maurice</v>
      </c>
      <c r="J1204" t="s">
        <v>20</v>
      </c>
      <c r="K1204" t="str">
        <f t="shared" si="201"/>
        <v>Male</v>
      </c>
      <c r="L1204">
        <v>28</v>
      </c>
      <c r="O1204">
        <f t="shared" si="202"/>
        <v>28</v>
      </c>
      <c r="P1204">
        <v>0</v>
      </c>
      <c r="R1204" s="4">
        <v>0</v>
      </c>
      <c r="T1204" s="5">
        <v>8.0500000000000007</v>
      </c>
      <c r="W1204" s="4">
        <v>28</v>
      </c>
      <c r="X1204" s="4" t="str">
        <f t="shared" si="203"/>
        <v>Young Adult</v>
      </c>
      <c r="Y1204" s="4" t="s">
        <v>3561</v>
      </c>
      <c r="AB1204" s="4" t="str">
        <f t="shared" si="204"/>
        <v/>
      </c>
      <c r="AC1204" s="4" t="str">
        <f t="shared" si="205"/>
        <v>Unknown</v>
      </c>
      <c r="AD1204" s="4" t="s">
        <v>457</v>
      </c>
      <c r="AG1204" s="4" t="str">
        <f t="shared" si="206"/>
        <v>Not Applicable</v>
      </c>
      <c r="AK1204" s="4" t="s">
        <v>3573</v>
      </c>
      <c r="AL1204" s="4" t="str">
        <f t="shared" si="207"/>
        <v>Found</v>
      </c>
      <c r="AN1204" s="6">
        <v>8.0500000000000007</v>
      </c>
      <c r="AO1204" s="4" t="str">
        <f t="shared" si="208"/>
        <v>Low</v>
      </c>
    </row>
    <row r="1205" spans="1:41">
      <c r="A1205">
        <v>3</v>
      </c>
      <c r="B1205" t="str">
        <f t="shared" si="198"/>
        <v>Third Class</v>
      </c>
      <c r="C1205">
        <v>0</v>
      </c>
      <c r="E1205" t="str">
        <f t="shared" si="199"/>
        <v>Died</v>
      </c>
      <c r="F1205" t="s">
        <v>2150</v>
      </c>
      <c r="G1205" t="s">
        <v>848</v>
      </c>
      <c r="H1205" t="s">
        <v>2151</v>
      </c>
      <c r="I1205" t="str">
        <f t="shared" si="200"/>
        <v>Mr. Sivic Husein</v>
      </c>
      <c r="J1205" t="s">
        <v>20</v>
      </c>
      <c r="K1205" t="str">
        <f t="shared" si="201"/>
        <v>Male</v>
      </c>
      <c r="L1205">
        <v>40</v>
      </c>
      <c r="O1205">
        <f t="shared" si="202"/>
        <v>40</v>
      </c>
      <c r="P1205">
        <v>0</v>
      </c>
      <c r="R1205" s="4">
        <v>0</v>
      </c>
      <c r="T1205" s="5">
        <v>7.8958000000000004</v>
      </c>
      <c r="W1205" s="4">
        <v>40</v>
      </c>
      <c r="X1205" s="4" t="str">
        <f t="shared" si="203"/>
        <v>Adult</v>
      </c>
      <c r="Y1205" s="4" t="s">
        <v>3561</v>
      </c>
      <c r="AB1205" s="4" t="str">
        <f t="shared" si="204"/>
        <v/>
      </c>
      <c r="AC1205" s="4" t="str">
        <f t="shared" si="205"/>
        <v>Unknown</v>
      </c>
      <c r="AD1205" s="4" t="s">
        <v>457</v>
      </c>
      <c r="AG1205" s="4" t="str">
        <f t="shared" si="206"/>
        <v>Not Applicable</v>
      </c>
      <c r="AK1205" s="4" t="s">
        <v>3573</v>
      </c>
      <c r="AL1205" s="4" t="str">
        <f t="shared" si="207"/>
        <v>Found</v>
      </c>
      <c r="AN1205" s="6">
        <v>7.8958000000000004</v>
      </c>
      <c r="AO1205" s="4" t="str">
        <f t="shared" si="208"/>
        <v>Low</v>
      </c>
    </row>
    <row r="1206" spans="1:41">
      <c r="A1206">
        <v>3</v>
      </c>
      <c r="B1206" t="str">
        <f t="shared" si="198"/>
        <v>Third Class</v>
      </c>
      <c r="C1206">
        <v>0</v>
      </c>
      <c r="E1206" t="str">
        <f t="shared" si="199"/>
        <v>Died</v>
      </c>
      <c r="F1206" t="s">
        <v>2152</v>
      </c>
      <c r="G1206" t="s">
        <v>848</v>
      </c>
      <c r="H1206" t="s">
        <v>1898</v>
      </c>
      <c r="I1206" t="str">
        <f t="shared" si="200"/>
        <v>Mr. Sivola Antti</v>
      </c>
      <c r="J1206" t="s">
        <v>20</v>
      </c>
      <c r="K1206" t="str">
        <f t="shared" si="201"/>
        <v>Male</v>
      </c>
      <c r="L1206">
        <v>21</v>
      </c>
      <c r="O1206">
        <f t="shared" si="202"/>
        <v>21</v>
      </c>
      <c r="P1206">
        <v>0</v>
      </c>
      <c r="R1206" s="4">
        <v>0</v>
      </c>
      <c r="T1206" s="5">
        <v>7.9249999999999998</v>
      </c>
      <c r="W1206" s="4">
        <v>21</v>
      </c>
      <c r="X1206" s="4" t="str">
        <f t="shared" si="203"/>
        <v>Young Adult</v>
      </c>
      <c r="Y1206" s="4" t="s">
        <v>3561</v>
      </c>
      <c r="AB1206" s="4" t="str">
        <f t="shared" si="204"/>
        <v/>
      </c>
      <c r="AC1206" s="4" t="str">
        <f t="shared" si="205"/>
        <v>Unknown</v>
      </c>
      <c r="AD1206" s="4" t="s">
        <v>457</v>
      </c>
      <c r="AG1206" s="4" t="str">
        <f t="shared" si="206"/>
        <v>Not Applicable</v>
      </c>
      <c r="AK1206" s="4" t="s">
        <v>3573</v>
      </c>
      <c r="AL1206" s="4" t="str">
        <f t="shared" si="207"/>
        <v>Found</v>
      </c>
      <c r="AN1206" s="6">
        <v>7.9249999999999998</v>
      </c>
      <c r="AO1206" s="4" t="str">
        <f t="shared" si="208"/>
        <v>Low</v>
      </c>
    </row>
    <row r="1207" spans="1:41">
      <c r="A1207">
        <v>3</v>
      </c>
      <c r="B1207" t="str">
        <f t="shared" si="198"/>
        <v>Third Class</v>
      </c>
      <c r="C1207">
        <v>1</v>
      </c>
      <c r="E1207" t="str">
        <f t="shared" si="199"/>
        <v>Survived</v>
      </c>
      <c r="F1207" t="s">
        <v>2153</v>
      </c>
      <c r="G1207" t="s">
        <v>842</v>
      </c>
      <c r="H1207" t="s">
        <v>1247</v>
      </c>
      <c r="I1207" t="str">
        <f t="shared" si="200"/>
        <v>Miss. Sjoblom Anna</v>
      </c>
      <c r="J1207" t="s">
        <v>47</v>
      </c>
      <c r="K1207" t="str">
        <f t="shared" si="201"/>
        <v>Female</v>
      </c>
      <c r="L1207">
        <v>18</v>
      </c>
      <c r="O1207">
        <f t="shared" si="202"/>
        <v>18</v>
      </c>
      <c r="P1207">
        <v>0</v>
      </c>
      <c r="R1207" s="4">
        <v>0</v>
      </c>
      <c r="T1207" s="5">
        <v>7.4958</v>
      </c>
      <c r="W1207" s="4">
        <v>18</v>
      </c>
      <c r="X1207" s="4" t="str">
        <f t="shared" si="203"/>
        <v>Young Adult</v>
      </c>
      <c r="Y1207" s="4" t="s">
        <v>3561</v>
      </c>
      <c r="AB1207" s="4" t="str">
        <f t="shared" si="204"/>
        <v/>
      </c>
      <c r="AC1207" s="4" t="str">
        <f t="shared" si="205"/>
        <v>Unknown</v>
      </c>
      <c r="AD1207" s="4" t="s">
        <v>457</v>
      </c>
      <c r="AF1207" s="4">
        <v>16</v>
      </c>
      <c r="AG1207" s="4">
        <f t="shared" si="206"/>
        <v>16</v>
      </c>
      <c r="AK1207" s="4" t="s">
        <v>3573</v>
      </c>
      <c r="AL1207" s="4" t="str">
        <f t="shared" si="207"/>
        <v>Found</v>
      </c>
      <c r="AN1207" s="6">
        <v>7.4958</v>
      </c>
      <c r="AO1207" s="4" t="str">
        <f t="shared" si="208"/>
        <v>Low</v>
      </c>
    </row>
    <row r="1208" spans="1:41">
      <c r="A1208">
        <v>3</v>
      </c>
      <c r="B1208" t="str">
        <f t="shared" si="198"/>
        <v>Third Class</v>
      </c>
      <c r="C1208">
        <v>0</v>
      </c>
      <c r="E1208" t="str">
        <f t="shared" si="199"/>
        <v>Died</v>
      </c>
      <c r="F1208" t="s">
        <v>2154</v>
      </c>
      <c r="G1208" t="s">
        <v>845</v>
      </c>
      <c r="H1208" t="s">
        <v>1564</v>
      </c>
      <c r="I1208" t="str">
        <f t="shared" si="200"/>
        <v>Master. Skoog Harald</v>
      </c>
      <c r="J1208" t="s">
        <v>20</v>
      </c>
      <c r="K1208" t="str">
        <f t="shared" si="201"/>
        <v>Male</v>
      </c>
      <c r="L1208">
        <v>4</v>
      </c>
      <c r="O1208">
        <f t="shared" si="202"/>
        <v>4</v>
      </c>
      <c r="P1208">
        <v>3</v>
      </c>
      <c r="R1208" s="4">
        <v>2</v>
      </c>
      <c r="T1208" s="5">
        <v>27.9</v>
      </c>
      <c r="W1208" s="4">
        <v>4</v>
      </c>
      <c r="X1208" s="4" t="str">
        <f t="shared" si="203"/>
        <v>Child</v>
      </c>
      <c r="Y1208" s="4" t="s">
        <v>3561</v>
      </c>
      <c r="AB1208" s="4" t="str">
        <f t="shared" si="204"/>
        <v/>
      </c>
      <c r="AC1208" s="4" t="str">
        <f t="shared" si="205"/>
        <v>Unknown</v>
      </c>
      <c r="AD1208" s="4" t="s">
        <v>457</v>
      </c>
      <c r="AG1208" s="4" t="str">
        <f t="shared" si="206"/>
        <v>Not Applicable</v>
      </c>
      <c r="AK1208" s="4" t="s">
        <v>3573</v>
      </c>
      <c r="AL1208" s="4" t="str">
        <f t="shared" si="207"/>
        <v>Found</v>
      </c>
      <c r="AN1208" s="6">
        <v>27.9</v>
      </c>
      <c r="AO1208" s="4" t="str">
        <f t="shared" si="208"/>
        <v>Mid</v>
      </c>
    </row>
    <row r="1209" spans="1:41">
      <c r="A1209">
        <v>3</v>
      </c>
      <c r="B1209" t="str">
        <f t="shared" si="198"/>
        <v>Third Class</v>
      </c>
      <c r="C1209">
        <v>0</v>
      </c>
      <c r="E1209" t="str">
        <f t="shared" si="199"/>
        <v>Died</v>
      </c>
      <c r="F1209" t="s">
        <v>2154</v>
      </c>
      <c r="G1209" t="s">
        <v>845</v>
      </c>
      <c r="H1209" t="s">
        <v>887</v>
      </c>
      <c r="I1209" t="str">
        <f t="shared" si="200"/>
        <v>Master. Skoog Karl</v>
      </c>
      <c r="J1209" t="s">
        <v>20</v>
      </c>
      <c r="K1209" t="str">
        <f t="shared" si="201"/>
        <v>Male</v>
      </c>
      <c r="L1209">
        <v>10</v>
      </c>
      <c r="O1209">
        <f t="shared" si="202"/>
        <v>10</v>
      </c>
      <c r="P1209">
        <v>3</v>
      </c>
      <c r="R1209" s="4">
        <v>2</v>
      </c>
      <c r="T1209" s="5">
        <v>27.9</v>
      </c>
      <c r="W1209" s="4">
        <v>10</v>
      </c>
      <c r="X1209" s="4" t="str">
        <f t="shared" si="203"/>
        <v>Teenager</v>
      </c>
      <c r="Y1209" s="4" t="s">
        <v>3561</v>
      </c>
      <c r="AB1209" s="4" t="str">
        <f t="shared" si="204"/>
        <v/>
      </c>
      <c r="AC1209" s="4" t="str">
        <f t="shared" si="205"/>
        <v>Unknown</v>
      </c>
      <c r="AD1209" s="4" t="s">
        <v>457</v>
      </c>
      <c r="AG1209" s="4" t="str">
        <f t="shared" si="206"/>
        <v>Not Applicable</v>
      </c>
      <c r="AK1209" s="4" t="s">
        <v>3573</v>
      </c>
      <c r="AL1209" s="4" t="str">
        <f t="shared" si="207"/>
        <v>Found</v>
      </c>
      <c r="AN1209" s="6">
        <v>27.9</v>
      </c>
      <c r="AO1209" s="4" t="str">
        <f t="shared" si="208"/>
        <v>Mid</v>
      </c>
    </row>
    <row r="1210" spans="1:41">
      <c r="A1210">
        <v>3</v>
      </c>
      <c r="B1210" t="str">
        <f t="shared" si="198"/>
        <v>Third Class</v>
      </c>
      <c r="C1210">
        <v>0</v>
      </c>
      <c r="E1210" t="str">
        <f t="shared" si="199"/>
        <v>Died</v>
      </c>
      <c r="F1210" t="s">
        <v>2154</v>
      </c>
      <c r="G1210" t="s">
        <v>842</v>
      </c>
      <c r="H1210" t="s">
        <v>1022</v>
      </c>
      <c r="I1210" t="str">
        <f t="shared" si="200"/>
        <v>Miss. Skoog Mabel</v>
      </c>
      <c r="J1210" t="s">
        <v>47</v>
      </c>
      <c r="K1210" t="str">
        <f t="shared" si="201"/>
        <v>Female</v>
      </c>
      <c r="L1210">
        <v>9</v>
      </c>
      <c r="O1210">
        <f t="shared" si="202"/>
        <v>9</v>
      </c>
      <c r="P1210">
        <v>3</v>
      </c>
      <c r="R1210" s="4">
        <v>2</v>
      </c>
      <c r="T1210" s="5">
        <v>27.9</v>
      </c>
      <c r="W1210" s="4">
        <v>9</v>
      </c>
      <c r="X1210" s="4" t="str">
        <f t="shared" si="203"/>
        <v>Child</v>
      </c>
      <c r="Y1210" s="4" t="s">
        <v>3561</v>
      </c>
      <c r="AB1210" s="4" t="str">
        <f t="shared" si="204"/>
        <v/>
      </c>
      <c r="AC1210" s="4" t="str">
        <f t="shared" si="205"/>
        <v>Unknown</v>
      </c>
      <c r="AD1210" s="4" t="s">
        <v>457</v>
      </c>
      <c r="AG1210" s="4" t="str">
        <f t="shared" si="206"/>
        <v>Not Applicable</v>
      </c>
      <c r="AK1210" s="4" t="s">
        <v>3573</v>
      </c>
      <c r="AL1210" s="4" t="str">
        <f t="shared" si="207"/>
        <v>Found</v>
      </c>
      <c r="AN1210" s="6">
        <v>27.9</v>
      </c>
      <c r="AO1210" s="4" t="str">
        <f t="shared" si="208"/>
        <v>Mid</v>
      </c>
    </row>
    <row r="1211" spans="1:41">
      <c r="A1211">
        <v>3</v>
      </c>
      <c r="B1211" t="str">
        <f t="shared" si="198"/>
        <v>Third Class</v>
      </c>
      <c r="C1211">
        <v>0</v>
      </c>
      <c r="E1211" t="str">
        <f t="shared" si="199"/>
        <v>Died</v>
      </c>
      <c r="F1211" t="s">
        <v>2154</v>
      </c>
      <c r="G1211" t="s">
        <v>842</v>
      </c>
      <c r="H1211" t="s">
        <v>2155</v>
      </c>
      <c r="I1211" t="str">
        <f t="shared" si="200"/>
        <v>Miss. Skoog Margit</v>
      </c>
      <c r="J1211" t="s">
        <v>47</v>
      </c>
      <c r="K1211" t="str">
        <f t="shared" si="201"/>
        <v>Female</v>
      </c>
      <c r="L1211">
        <v>2</v>
      </c>
      <c r="O1211">
        <f t="shared" si="202"/>
        <v>2</v>
      </c>
      <c r="P1211">
        <v>3</v>
      </c>
      <c r="R1211" s="4">
        <v>2</v>
      </c>
      <c r="T1211" s="5">
        <v>27.9</v>
      </c>
      <c r="W1211" s="4">
        <v>2</v>
      </c>
      <c r="X1211" s="4" t="str">
        <f t="shared" si="203"/>
        <v>Child</v>
      </c>
      <c r="Y1211" s="4" t="s">
        <v>3561</v>
      </c>
      <c r="AB1211" s="4" t="str">
        <f t="shared" si="204"/>
        <v/>
      </c>
      <c r="AC1211" s="4" t="str">
        <f t="shared" si="205"/>
        <v>Unknown</v>
      </c>
      <c r="AD1211" s="4" t="s">
        <v>457</v>
      </c>
      <c r="AG1211" s="4" t="str">
        <f t="shared" si="206"/>
        <v>Not Applicable</v>
      </c>
      <c r="AK1211" s="4" t="s">
        <v>3573</v>
      </c>
      <c r="AL1211" s="4" t="str">
        <f t="shared" si="207"/>
        <v>Found</v>
      </c>
      <c r="AN1211" s="6">
        <v>27.9</v>
      </c>
      <c r="AO1211" s="4" t="str">
        <f t="shared" si="208"/>
        <v>Mid</v>
      </c>
    </row>
    <row r="1212" spans="1:41">
      <c r="A1212">
        <v>3</v>
      </c>
      <c r="B1212" t="str">
        <f t="shared" si="198"/>
        <v>Third Class</v>
      </c>
      <c r="C1212">
        <v>0</v>
      </c>
      <c r="E1212" t="str">
        <f t="shared" si="199"/>
        <v>Died</v>
      </c>
      <c r="F1212" t="s">
        <v>2154</v>
      </c>
      <c r="G1212" t="s">
        <v>848</v>
      </c>
      <c r="H1212" t="s">
        <v>2044</v>
      </c>
      <c r="I1212" t="str">
        <f t="shared" si="200"/>
        <v>Mr. Skoog Wilhelm</v>
      </c>
      <c r="J1212" t="s">
        <v>20</v>
      </c>
      <c r="K1212" t="str">
        <f t="shared" si="201"/>
        <v>Male</v>
      </c>
      <c r="L1212">
        <v>40</v>
      </c>
      <c r="O1212">
        <f t="shared" si="202"/>
        <v>40</v>
      </c>
      <c r="P1212">
        <v>1</v>
      </c>
      <c r="R1212" s="4">
        <v>4</v>
      </c>
      <c r="T1212" s="5">
        <v>27.9</v>
      </c>
      <c r="W1212" s="4">
        <v>40</v>
      </c>
      <c r="X1212" s="4" t="str">
        <f t="shared" si="203"/>
        <v>Adult</v>
      </c>
      <c r="Y1212" s="4" t="s">
        <v>3561</v>
      </c>
      <c r="AB1212" s="4" t="str">
        <f t="shared" si="204"/>
        <v/>
      </c>
      <c r="AC1212" s="4" t="str">
        <f t="shared" si="205"/>
        <v>Unknown</v>
      </c>
      <c r="AD1212" s="4" t="s">
        <v>457</v>
      </c>
      <c r="AG1212" s="4" t="str">
        <f t="shared" si="206"/>
        <v>Not Applicable</v>
      </c>
      <c r="AK1212" s="4" t="s">
        <v>3573</v>
      </c>
      <c r="AL1212" s="4" t="str">
        <f t="shared" si="207"/>
        <v>Found</v>
      </c>
      <c r="AN1212" s="6">
        <v>27.9</v>
      </c>
      <c r="AO1212" s="4" t="str">
        <f t="shared" si="208"/>
        <v>Mid</v>
      </c>
    </row>
    <row r="1213" spans="1:41">
      <c r="A1213">
        <v>3</v>
      </c>
      <c r="B1213" t="str">
        <f t="shared" si="198"/>
        <v>Third Class</v>
      </c>
      <c r="C1213">
        <v>0</v>
      </c>
      <c r="E1213" t="str">
        <f t="shared" si="199"/>
        <v>Died</v>
      </c>
      <c r="F1213" t="s">
        <v>2154</v>
      </c>
      <c r="G1213" t="s">
        <v>849</v>
      </c>
      <c r="H1213" t="s">
        <v>924</v>
      </c>
      <c r="I1213" t="str">
        <f t="shared" si="200"/>
        <v>Mrs. Skoog William</v>
      </c>
      <c r="J1213" t="s">
        <v>47</v>
      </c>
      <c r="K1213" t="str">
        <f t="shared" si="201"/>
        <v>Female</v>
      </c>
      <c r="L1213">
        <v>45</v>
      </c>
      <c r="O1213">
        <f t="shared" si="202"/>
        <v>45</v>
      </c>
      <c r="P1213">
        <v>1</v>
      </c>
      <c r="R1213" s="4">
        <v>4</v>
      </c>
      <c r="T1213" s="5">
        <v>27.9</v>
      </c>
      <c r="W1213" s="4">
        <v>45</v>
      </c>
      <c r="X1213" s="4" t="str">
        <f t="shared" si="203"/>
        <v>Adult</v>
      </c>
      <c r="Y1213" s="4" t="s">
        <v>3561</v>
      </c>
      <c r="AB1213" s="4" t="str">
        <f t="shared" si="204"/>
        <v/>
      </c>
      <c r="AC1213" s="4" t="str">
        <f t="shared" si="205"/>
        <v>Unknown</v>
      </c>
      <c r="AD1213" s="4" t="s">
        <v>457</v>
      </c>
      <c r="AG1213" s="4" t="str">
        <f t="shared" si="206"/>
        <v>Not Applicable</v>
      </c>
      <c r="AK1213" s="4" t="s">
        <v>3573</v>
      </c>
      <c r="AL1213" s="4" t="str">
        <f t="shared" si="207"/>
        <v>Found</v>
      </c>
      <c r="AN1213" s="6">
        <v>27.9</v>
      </c>
      <c r="AO1213" s="4" t="str">
        <f t="shared" si="208"/>
        <v>Mid</v>
      </c>
    </row>
    <row r="1214" spans="1:41">
      <c r="A1214">
        <v>3</v>
      </c>
      <c r="B1214" t="str">
        <f t="shared" si="198"/>
        <v>Third Class</v>
      </c>
      <c r="C1214">
        <v>0</v>
      </c>
      <c r="E1214" t="str">
        <f t="shared" si="199"/>
        <v>Died</v>
      </c>
      <c r="F1214" t="s">
        <v>2156</v>
      </c>
      <c r="G1214" t="s">
        <v>848</v>
      </c>
      <c r="H1214" t="s">
        <v>2157</v>
      </c>
      <c r="I1214" t="str">
        <f t="shared" si="200"/>
        <v>Mr. Slabenoff Petco</v>
      </c>
      <c r="J1214" t="s">
        <v>20</v>
      </c>
      <c r="K1214" t="str">
        <f t="shared" si="201"/>
        <v>Male</v>
      </c>
      <c r="L1214">
        <v>28</v>
      </c>
      <c r="O1214">
        <f t="shared" si="202"/>
        <v>28</v>
      </c>
      <c r="P1214">
        <v>0</v>
      </c>
      <c r="R1214" s="4">
        <v>0</v>
      </c>
      <c r="T1214" s="5">
        <v>7.8958000000000004</v>
      </c>
      <c r="W1214" s="4">
        <v>28</v>
      </c>
      <c r="X1214" s="4" t="str">
        <f t="shared" si="203"/>
        <v>Young Adult</v>
      </c>
      <c r="Y1214" s="4" t="s">
        <v>3561</v>
      </c>
      <c r="AB1214" s="4" t="str">
        <f t="shared" si="204"/>
        <v/>
      </c>
      <c r="AC1214" s="4" t="str">
        <f t="shared" si="205"/>
        <v>Unknown</v>
      </c>
      <c r="AD1214" s="4" t="s">
        <v>457</v>
      </c>
      <c r="AG1214" s="4" t="str">
        <f t="shared" si="206"/>
        <v>Not Applicable</v>
      </c>
      <c r="AK1214" s="4" t="s">
        <v>3573</v>
      </c>
      <c r="AL1214" s="4" t="str">
        <f t="shared" si="207"/>
        <v>Found</v>
      </c>
      <c r="AN1214" s="6">
        <v>7.8958000000000004</v>
      </c>
      <c r="AO1214" s="4" t="str">
        <f t="shared" si="208"/>
        <v>Low</v>
      </c>
    </row>
    <row r="1215" spans="1:41">
      <c r="A1215">
        <v>3</v>
      </c>
      <c r="B1215" t="str">
        <f t="shared" si="198"/>
        <v>Third Class</v>
      </c>
      <c r="C1215">
        <v>0</v>
      </c>
      <c r="E1215" t="str">
        <f t="shared" si="199"/>
        <v>Died</v>
      </c>
      <c r="F1215" t="s">
        <v>2158</v>
      </c>
      <c r="G1215" t="s">
        <v>848</v>
      </c>
      <c r="H1215" t="s">
        <v>2159</v>
      </c>
      <c r="I1215" t="str">
        <f t="shared" si="200"/>
        <v>Mr. Slocovski Selman</v>
      </c>
      <c r="J1215" t="s">
        <v>20</v>
      </c>
      <c r="K1215" t="str">
        <f t="shared" si="201"/>
        <v>Male</v>
      </c>
      <c r="L1215">
        <v>28</v>
      </c>
      <c r="O1215">
        <f t="shared" si="202"/>
        <v>28</v>
      </c>
      <c r="P1215">
        <v>0</v>
      </c>
      <c r="R1215" s="4">
        <v>0</v>
      </c>
      <c r="T1215" s="5">
        <v>8.0500000000000007</v>
      </c>
      <c r="W1215" s="4">
        <v>28</v>
      </c>
      <c r="X1215" s="4" t="str">
        <f t="shared" si="203"/>
        <v>Young Adult</v>
      </c>
      <c r="Y1215" s="4" t="s">
        <v>3561</v>
      </c>
      <c r="AB1215" s="4" t="str">
        <f t="shared" si="204"/>
        <v/>
      </c>
      <c r="AC1215" s="4" t="str">
        <f t="shared" si="205"/>
        <v>Unknown</v>
      </c>
      <c r="AD1215" s="4" t="s">
        <v>457</v>
      </c>
      <c r="AG1215" s="4" t="str">
        <f t="shared" si="206"/>
        <v>Not Applicable</v>
      </c>
      <c r="AK1215" s="4" t="s">
        <v>3573</v>
      </c>
      <c r="AL1215" s="4" t="str">
        <f t="shared" si="207"/>
        <v>Found</v>
      </c>
      <c r="AN1215" s="6">
        <v>8.0500000000000007</v>
      </c>
      <c r="AO1215" s="4" t="str">
        <f t="shared" si="208"/>
        <v>Low</v>
      </c>
    </row>
    <row r="1216" spans="1:41">
      <c r="A1216">
        <v>3</v>
      </c>
      <c r="B1216" t="str">
        <f t="shared" si="198"/>
        <v>Third Class</v>
      </c>
      <c r="C1216">
        <v>0</v>
      </c>
      <c r="E1216" t="str">
        <f t="shared" si="199"/>
        <v>Died</v>
      </c>
      <c r="F1216" t="s">
        <v>2160</v>
      </c>
      <c r="G1216" t="s">
        <v>848</v>
      </c>
      <c r="H1216" t="s">
        <v>2161</v>
      </c>
      <c r="I1216" t="str">
        <f t="shared" si="200"/>
        <v>Mr. Smiljanic Mile</v>
      </c>
      <c r="J1216" t="s">
        <v>20</v>
      </c>
      <c r="K1216" t="str">
        <f t="shared" si="201"/>
        <v>Male</v>
      </c>
      <c r="L1216">
        <v>28</v>
      </c>
      <c r="O1216">
        <f t="shared" si="202"/>
        <v>28</v>
      </c>
      <c r="P1216">
        <v>0</v>
      </c>
      <c r="R1216" s="4">
        <v>0</v>
      </c>
      <c r="T1216" s="5">
        <v>8.6624999999999996</v>
      </c>
      <c r="W1216" s="4">
        <v>28</v>
      </c>
      <c r="X1216" s="4" t="str">
        <f t="shared" si="203"/>
        <v>Young Adult</v>
      </c>
      <c r="Y1216" s="4" t="s">
        <v>3561</v>
      </c>
      <c r="AB1216" s="4" t="str">
        <f t="shared" si="204"/>
        <v/>
      </c>
      <c r="AC1216" s="4" t="str">
        <f t="shared" si="205"/>
        <v>Unknown</v>
      </c>
      <c r="AD1216" s="4" t="s">
        <v>457</v>
      </c>
      <c r="AG1216" s="4" t="str">
        <f t="shared" si="206"/>
        <v>Not Applicable</v>
      </c>
      <c r="AK1216" s="4" t="s">
        <v>3573</v>
      </c>
      <c r="AL1216" s="4" t="str">
        <f t="shared" si="207"/>
        <v>Found</v>
      </c>
      <c r="AN1216" s="6">
        <v>8.6624999999999996</v>
      </c>
      <c r="AO1216" s="4" t="str">
        <f t="shared" si="208"/>
        <v>Low</v>
      </c>
    </row>
    <row r="1217" spans="1:41">
      <c r="A1217">
        <v>3</v>
      </c>
      <c r="B1217" t="str">
        <f t="shared" si="198"/>
        <v>Third Class</v>
      </c>
      <c r="C1217">
        <v>0</v>
      </c>
      <c r="E1217" t="str">
        <f t="shared" si="199"/>
        <v>Died</v>
      </c>
      <c r="F1217" t="s">
        <v>1216</v>
      </c>
      <c r="G1217" t="s">
        <v>848</v>
      </c>
      <c r="H1217" t="s">
        <v>855</v>
      </c>
      <c r="I1217" t="str">
        <f t="shared" si="200"/>
        <v>Mr. Smith Thomas</v>
      </c>
      <c r="J1217" t="s">
        <v>20</v>
      </c>
      <c r="K1217" t="str">
        <f t="shared" si="201"/>
        <v>Male</v>
      </c>
      <c r="L1217">
        <v>28</v>
      </c>
      <c r="O1217">
        <f t="shared" si="202"/>
        <v>28</v>
      </c>
      <c r="P1217">
        <v>0</v>
      </c>
      <c r="R1217" s="4">
        <v>0</v>
      </c>
      <c r="T1217" s="5">
        <v>7.75</v>
      </c>
      <c r="W1217" s="4">
        <v>28</v>
      </c>
      <c r="X1217" s="4" t="str">
        <f t="shared" si="203"/>
        <v>Young Adult</v>
      </c>
      <c r="Y1217" s="4" t="s">
        <v>3561</v>
      </c>
      <c r="AB1217" s="4" t="str">
        <f t="shared" si="204"/>
        <v/>
      </c>
      <c r="AC1217" s="4" t="str">
        <f t="shared" si="205"/>
        <v>Unknown</v>
      </c>
      <c r="AD1217" s="4" t="s">
        <v>3567</v>
      </c>
      <c r="AG1217" s="4" t="str">
        <f t="shared" si="206"/>
        <v>Not Applicable</v>
      </c>
      <c r="AK1217" s="4" t="s">
        <v>3573</v>
      </c>
      <c r="AL1217" s="4" t="str">
        <f t="shared" si="207"/>
        <v>Found</v>
      </c>
      <c r="AN1217" s="6">
        <v>7.75</v>
      </c>
      <c r="AO1217" s="4" t="str">
        <f t="shared" si="208"/>
        <v>Low</v>
      </c>
    </row>
    <row r="1218" spans="1:41">
      <c r="A1218">
        <v>3</v>
      </c>
      <c r="B1218" t="str">
        <f t="shared" si="198"/>
        <v>Third Class</v>
      </c>
      <c r="C1218">
        <v>1</v>
      </c>
      <c r="E1218" t="str">
        <f t="shared" si="199"/>
        <v>Survived</v>
      </c>
      <c r="F1218" t="s">
        <v>2162</v>
      </c>
      <c r="G1218" t="s">
        <v>842</v>
      </c>
      <c r="H1218" t="s">
        <v>1335</v>
      </c>
      <c r="I1218" t="str">
        <f t="shared" si="200"/>
        <v>Miss. Smyth Julia</v>
      </c>
      <c r="J1218" t="s">
        <v>47</v>
      </c>
      <c r="K1218" t="str">
        <f t="shared" si="201"/>
        <v>Female</v>
      </c>
      <c r="L1218">
        <v>28</v>
      </c>
      <c r="O1218">
        <f t="shared" si="202"/>
        <v>28</v>
      </c>
      <c r="P1218">
        <v>0</v>
      </c>
      <c r="R1218" s="4">
        <v>0</v>
      </c>
      <c r="T1218" s="5">
        <v>7.7332999999999998</v>
      </c>
      <c r="W1218" s="4">
        <v>28</v>
      </c>
      <c r="X1218" s="4" t="str">
        <f t="shared" si="203"/>
        <v>Young Adult</v>
      </c>
      <c r="Y1218" s="4" t="s">
        <v>3561</v>
      </c>
      <c r="AB1218" s="4" t="str">
        <f t="shared" si="204"/>
        <v/>
      </c>
      <c r="AC1218" s="4" t="str">
        <f t="shared" si="205"/>
        <v>Unknown</v>
      </c>
      <c r="AD1218" s="4" t="s">
        <v>3567</v>
      </c>
      <c r="AF1218" s="4">
        <v>13</v>
      </c>
      <c r="AG1218" s="4">
        <f t="shared" si="206"/>
        <v>13</v>
      </c>
      <c r="AK1218" s="4" t="s">
        <v>3573</v>
      </c>
      <c r="AL1218" s="4" t="str">
        <f t="shared" si="207"/>
        <v>Found</v>
      </c>
      <c r="AN1218" s="6">
        <v>7.7332999999999998</v>
      </c>
      <c r="AO1218" s="4" t="str">
        <f t="shared" si="208"/>
        <v>Low</v>
      </c>
    </row>
    <row r="1219" spans="1:41">
      <c r="A1219">
        <v>3</v>
      </c>
      <c r="B1219" t="str">
        <f t="shared" ref="B1219:B1282" si="209">IF(A1219=1,"First Class",IF(A1219=2,"Second Class",IF(A1219=3,"Third Class"," ")))</f>
        <v>Third Class</v>
      </c>
      <c r="C1219">
        <v>0</v>
      </c>
      <c r="E1219" t="str">
        <f t="shared" ref="E1219:E1282" si="210">IF(C1219=1,"Survived",IF(C1219=0,"Died"))</f>
        <v>Died</v>
      </c>
      <c r="F1219" t="s">
        <v>2163</v>
      </c>
      <c r="G1219" t="s">
        <v>848</v>
      </c>
      <c r="H1219" t="s">
        <v>987</v>
      </c>
      <c r="I1219" t="str">
        <f t="shared" ref="I1219:I1282" si="211">_xlfn.CONCAT(G1219," ",F1219," ",H1219)</f>
        <v>Mr. Soholt Peter</v>
      </c>
      <c r="J1219" t="s">
        <v>20</v>
      </c>
      <c r="K1219" t="str">
        <f t="shared" ref="K1219:K1282" si="212">PROPER(J1219)</f>
        <v>Male</v>
      </c>
      <c r="L1219">
        <v>19</v>
      </c>
      <c r="O1219">
        <f t="shared" ref="O1219:O1282" si="213">IF(L1219&lt;1,1,ROUND(L1219,0))</f>
        <v>19</v>
      </c>
      <c r="P1219">
        <v>0</v>
      </c>
      <c r="R1219" s="4">
        <v>0</v>
      </c>
      <c r="T1219" s="5">
        <v>7.65</v>
      </c>
      <c r="W1219" s="4">
        <v>19</v>
      </c>
      <c r="X1219" s="4" t="str">
        <f t="shared" ref="X1219:X1282" si="214">IF(W1219&lt;10,"Child",IF(W1219&lt;18,"Teenager",IF(W1219&lt;30,"Young Adult",IF(W1219&lt;60,"Adult","Old Adult"))))</f>
        <v>Young Adult</v>
      </c>
      <c r="Y1219" s="4" t="s">
        <v>781</v>
      </c>
      <c r="AA1219" s="4" t="s">
        <v>781</v>
      </c>
      <c r="AB1219" s="4" t="str">
        <f t="shared" ref="AB1219:AB1282" si="215">LEFT(AA1219,1)</f>
        <v>F</v>
      </c>
      <c r="AC1219" s="4" t="str">
        <f t="shared" ref="AC1219:AC1282" si="216">IF(AB1219="","Unknown",LEFT(AB1219,1))</f>
        <v>F</v>
      </c>
      <c r="AD1219" s="4" t="s">
        <v>457</v>
      </c>
      <c r="AG1219" s="4" t="str">
        <f t="shared" ref="AG1219:AG1282" si="217">IF(AF1219="",IF(E1219=1,"Unknown","Not Applicable"),AF1219)</f>
        <v>Not Applicable</v>
      </c>
      <c r="AK1219" s="4" t="s">
        <v>3573</v>
      </c>
      <c r="AL1219" s="4" t="str">
        <f t="shared" ref="AL1219:AL1282" si="218">IF(AK1219="","Not Found","Found")</f>
        <v>Found</v>
      </c>
      <c r="AN1219" s="6">
        <v>7.65</v>
      </c>
      <c r="AO1219" s="4" t="str">
        <f t="shared" ref="AO1219:AO1282" si="219">IF(AN1219&lt;=10,"Low",IF(AN1219&lt;=50,"Mid","High"))</f>
        <v>Low</v>
      </c>
    </row>
    <row r="1220" spans="1:41">
      <c r="A1220">
        <v>3</v>
      </c>
      <c r="B1220" t="str">
        <f t="shared" si="209"/>
        <v>Third Class</v>
      </c>
      <c r="C1220">
        <v>0</v>
      </c>
      <c r="E1220" t="str">
        <f t="shared" si="210"/>
        <v>Died</v>
      </c>
      <c r="F1220" t="s">
        <v>2164</v>
      </c>
      <c r="G1220" t="s">
        <v>848</v>
      </c>
      <c r="H1220" t="s">
        <v>1129</v>
      </c>
      <c r="I1220" t="str">
        <f t="shared" si="211"/>
        <v>Mr. Somerton Francis</v>
      </c>
      <c r="J1220" t="s">
        <v>20</v>
      </c>
      <c r="K1220" t="str">
        <f t="shared" si="212"/>
        <v>Male</v>
      </c>
      <c r="L1220">
        <v>30</v>
      </c>
      <c r="O1220">
        <f t="shared" si="213"/>
        <v>30</v>
      </c>
      <c r="P1220">
        <v>0</v>
      </c>
      <c r="R1220" s="4">
        <v>0</v>
      </c>
      <c r="T1220" s="5">
        <v>8.0500000000000007</v>
      </c>
      <c r="W1220" s="4">
        <v>30</v>
      </c>
      <c r="X1220" s="4" t="str">
        <f t="shared" si="214"/>
        <v>Adult</v>
      </c>
      <c r="Y1220" s="4" t="s">
        <v>3561</v>
      </c>
      <c r="AB1220" s="4" t="str">
        <f t="shared" si="215"/>
        <v/>
      </c>
      <c r="AC1220" s="4" t="str">
        <f t="shared" si="216"/>
        <v>Unknown</v>
      </c>
      <c r="AD1220" s="4" t="s">
        <v>457</v>
      </c>
      <c r="AG1220" s="4" t="str">
        <f t="shared" si="217"/>
        <v>Not Applicable</v>
      </c>
      <c r="AK1220" s="4" t="s">
        <v>3573</v>
      </c>
      <c r="AL1220" s="4" t="str">
        <f t="shared" si="218"/>
        <v>Found</v>
      </c>
      <c r="AN1220" s="6">
        <v>8.0500000000000007</v>
      </c>
      <c r="AO1220" s="4" t="str">
        <f t="shared" si="219"/>
        <v>Low</v>
      </c>
    </row>
    <row r="1221" spans="1:41">
      <c r="A1221">
        <v>3</v>
      </c>
      <c r="B1221" t="str">
        <f t="shared" si="209"/>
        <v>Third Class</v>
      </c>
      <c r="C1221">
        <v>0</v>
      </c>
      <c r="E1221" t="str">
        <f t="shared" si="210"/>
        <v>Died</v>
      </c>
      <c r="F1221" t="s">
        <v>2165</v>
      </c>
      <c r="G1221" t="s">
        <v>848</v>
      </c>
      <c r="H1221" t="s">
        <v>2166</v>
      </c>
      <c r="I1221" t="str">
        <f t="shared" si="211"/>
        <v>Mr. Spector Woolf</v>
      </c>
      <c r="J1221" t="s">
        <v>20</v>
      </c>
      <c r="K1221" t="str">
        <f t="shared" si="212"/>
        <v>Male</v>
      </c>
      <c r="L1221">
        <v>28</v>
      </c>
      <c r="O1221">
        <f t="shared" si="213"/>
        <v>28</v>
      </c>
      <c r="P1221">
        <v>0</v>
      </c>
      <c r="R1221" s="4">
        <v>0</v>
      </c>
      <c r="T1221" s="5">
        <v>8.0500000000000007</v>
      </c>
      <c r="W1221" s="4">
        <v>28</v>
      </c>
      <c r="X1221" s="4" t="str">
        <f t="shared" si="214"/>
        <v>Young Adult</v>
      </c>
      <c r="Y1221" s="4" t="s">
        <v>3561</v>
      </c>
      <c r="AB1221" s="4" t="str">
        <f t="shared" si="215"/>
        <v/>
      </c>
      <c r="AC1221" s="4" t="str">
        <f t="shared" si="216"/>
        <v>Unknown</v>
      </c>
      <c r="AD1221" s="4" t="s">
        <v>457</v>
      </c>
      <c r="AG1221" s="4" t="str">
        <f t="shared" si="217"/>
        <v>Not Applicable</v>
      </c>
      <c r="AK1221" s="4" t="s">
        <v>3573</v>
      </c>
      <c r="AL1221" s="4" t="str">
        <f t="shared" si="218"/>
        <v>Found</v>
      </c>
      <c r="AN1221" s="6">
        <v>8.0500000000000007</v>
      </c>
      <c r="AO1221" s="4" t="str">
        <f t="shared" si="219"/>
        <v>Low</v>
      </c>
    </row>
    <row r="1222" spans="1:41">
      <c r="A1222">
        <v>3</v>
      </c>
      <c r="B1222" t="str">
        <f t="shared" si="209"/>
        <v>Third Class</v>
      </c>
      <c r="C1222">
        <v>0</v>
      </c>
      <c r="E1222" t="str">
        <f t="shared" si="210"/>
        <v>Died</v>
      </c>
      <c r="F1222" t="s">
        <v>2167</v>
      </c>
      <c r="G1222" t="s">
        <v>848</v>
      </c>
      <c r="H1222" t="s">
        <v>872</v>
      </c>
      <c r="I1222" t="str">
        <f t="shared" si="211"/>
        <v>Mr. Spinner Henry</v>
      </c>
      <c r="J1222" t="s">
        <v>20</v>
      </c>
      <c r="K1222" t="str">
        <f t="shared" si="212"/>
        <v>Male</v>
      </c>
      <c r="L1222">
        <v>32</v>
      </c>
      <c r="O1222">
        <f t="shared" si="213"/>
        <v>32</v>
      </c>
      <c r="P1222">
        <v>0</v>
      </c>
      <c r="R1222" s="4">
        <v>0</v>
      </c>
      <c r="T1222" s="5">
        <v>8.0500000000000007</v>
      </c>
      <c r="W1222" s="4">
        <v>32</v>
      </c>
      <c r="X1222" s="4" t="str">
        <f t="shared" si="214"/>
        <v>Adult</v>
      </c>
      <c r="Y1222" s="4" t="s">
        <v>3561</v>
      </c>
      <c r="AB1222" s="4" t="str">
        <f t="shared" si="215"/>
        <v/>
      </c>
      <c r="AC1222" s="4" t="str">
        <f t="shared" si="216"/>
        <v>Unknown</v>
      </c>
      <c r="AD1222" s="4" t="s">
        <v>457</v>
      </c>
      <c r="AG1222" s="4" t="str">
        <f t="shared" si="217"/>
        <v>Not Applicable</v>
      </c>
      <c r="AK1222" s="4" t="s">
        <v>3573</v>
      </c>
      <c r="AL1222" s="4" t="str">
        <f t="shared" si="218"/>
        <v>Found</v>
      </c>
      <c r="AN1222" s="6">
        <v>8.0500000000000007</v>
      </c>
      <c r="AO1222" s="4" t="str">
        <f t="shared" si="219"/>
        <v>Low</v>
      </c>
    </row>
    <row r="1223" spans="1:41">
      <c r="A1223">
        <v>3</v>
      </c>
      <c r="B1223" t="str">
        <f t="shared" si="209"/>
        <v>Third Class</v>
      </c>
      <c r="C1223">
        <v>0</v>
      </c>
      <c r="E1223" t="str">
        <f t="shared" si="210"/>
        <v>Died</v>
      </c>
      <c r="F1223" t="s">
        <v>2168</v>
      </c>
      <c r="G1223" t="s">
        <v>848</v>
      </c>
      <c r="H1223" t="s">
        <v>1678</v>
      </c>
      <c r="I1223" t="str">
        <f t="shared" si="211"/>
        <v>Mr. Staneff Ivan</v>
      </c>
      <c r="J1223" t="s">
        <v>20</v>
      </c>
      <c r="K1223" t="str">
        <f t="shared" si="212"/>
        <v>Male</v>
      </c>
      <c r="L1223">
        <v>28</v>
      </c>
      <c r="O1223">
        <f t="shared" si="213"/>
        <v>28</v>
      </c>
      <c r="P1223">
        <v>0</v>
      </c>
      <c r="R1223" s="4">
        <v>0</v>
      </c>
      <c r="T1223" s="5">
        <v>7.8958000000000004</v>
      </c>
      <c r="W1223" s="4">
        <v>28</v>
      </c>
      <c r="X1223" s="4" t="str">
        <f t="shared" si="214"/>
        <v>Young Adult</v>
      </c>
      <c r="Y1223" s="4" t="s">
        <v>3561</v>
      </c>
      <c r="AB1223" s="4" t="str">
        <f t="shared" si="215"/>
        <v/>
      </c>
      <c r="AC1223" s="4" t="str">
        <f t="shared" si="216"/>
        <v>Unknown</v>
      </c>
      <c r="AD1223" s="4" t="s">
        <v>457</v>
      </c>
      <c r="AG1223" s="4" t="str">
        <f t="shared" si="217"/>
        <v>Not Applicable</v>
      </c>
      <c r="AK1223" s="4" t="s">
        <v>3573</v>
      </c>
      <c r="AL1223" s="4" t="str">
        <f t="shared" si="218"/>
        <v>Found</v>
      </c>
      <c r="AN1223" s="6">
        <v>7.8958000000000004</v>
      </c>
      <c r="AO1223" s="4" t="str">
        <f t="shared" si="219"/>
        <v>Low</v>
      </c>
    </row>
    <row r="1224" spans="1:41">
      <c r="A1224">
        <v>3</v>
      </c>
      <c r="B1224" t="str">
        <f t="shared" si="209"/>
        <v>Third Class</v>
      </c>
      <c r="C1224">
        <v>0</v>
      </c>
      <c r="E1224" t="str">
        <f t="shared" si="210"/>
        <v>Died</v>
      </c>
      <c r="F1224" t="s">
        <v>2169</v>
      </c>
      <c r="G1224" t="s">
        <v>848</v>
      </c>
      <c r="H1224" t="s">
        <v>1678</v>
      </c>
      <c r="I1224" t="str">
        <f t="shared" si="211"/>
        <v>Mr. Stankovic Ivan</v>
      </c>
      <c r="J1224" t="s">
        <v>20</v>
      </c>
      <c r="K1224" t="str">
        <f t="shared" si="212"/>
        <v>Male</v>
      </c>
      <c r="L1224">
        <v>33</v>
      </c>
      <c r="O1224">
        <f t="shared" si="213"/>
        <v>33</v>
      </c>
      <c r="P1224">
        <v>0</v>
      </c>
      <c r="R1224" s="4">
        <v>0</v>
      </c>
      <c r="T1224" s="5">
        <v>8.6624999999999996</v>
      </c>
      <c r="W1224" s="4">
        <v>33</v>
      </c>
      <c r="X1224" s="4" t="str">
        <f t="shared" si="214"/>
        <v>Adult</v>
      </c>
      <c r="Y1224" s="4" t="s">
        <v>3561</v>
      </c>
      <c r="AB1224" s="4" t="str">
        <f t="shared" si="215"/>
        <v/>
      </c>
      <c r="AC1224" s="4" t="str">
        <f t="shared" si="216"/>
        <v>Unknown</v>
      </c>
      <c r="AD1224" s="4" t="s">
        <v>3566</v>
      </c>
      <c r="AG1224" s="4" t="str">
        <f t="shared" si="217"/>
        <v>Not Applicable</v>
      </c>
      <c r="AK1224" s="4" t="s">
        <v>3573</v>
      </c>
      <c r="AL1224" s="4" t="str">
        <f t="shared" si="218"/>
        <v>Found</v>
      </c>
      <c r="AN1224" s="6">
        <v>8.6624999999999996</v>
      </c>
      <c r="AO1224" s="4" t="str">
        <f t="shared" si="219"/>
        <v>Low</v>
      </c>
    </row>
    <row r="1225" spans="1:41">
      <c r="A1225">
        <v>3</v>
      </c>
      <c r="B1225" t="str">
        <f t="shared" si="209"/>
        <v>Third Class</v>
      </c>
      <c r="C1225">
        <v>1</v>
      </c>
      <c r="E1225" t="str">
        <f t="shared" si="210"/>
        <v>Survived</v>
      </c>
      <c r="F1225" t="s">
        <v>1350</v>
      </c>
      <c r="G1225" t="s">
        <v>842</v>
      </c>
      <c r="H1225" t="s">
        <v>1770</v>
      </c>
      <c r="I1225" t="str">
        <f t="shared" si="211"/>
        <v>Miss. Stanley Amy</v>
      </c>
      <c r="J1225" t="s">
        <v>47</v>
      </c>
      <c r="K1225" t="str">
        <f t="shared" si="212"/>
        <v>Female</v>
      </c>
      <c r="L1225">
        <v>23</v>
      </c>
      <c r="O1225">
        <f t="shared" si="213"/>
        <v>23</v>
      </c>
      <c r="P1225">
        <v>0</v>
      </c>
      <c r="R1225" s="4">
        <v>0</v>
      </c>
      <c r="T1225" s="5">
        <v>7.55</v>
      </c>
      <c r="W1225" s="4">
        <v>23</v>
      </c>
      <c r="X1225" s="4" t="str">
        <f t="shared" si="214"/>
        <v>Young Adult</v>
      </c>
      <c r="Y1225" s="4" t="s">
        <v>3561</v>
      </c>
      <c r="AB1225" s="4" t="str">
        <f t="shared" si="215"/>
        <v/>
      </c>
      <c r="AC1225" s="4" t="str">
        <f t="shared" si="216"/>
        <v>Unknown</v>
      </c>
      <c r="AD1225" s="4" t="s">
        <v>457</v>
      </c>
      <c r="AF1225" s="4" t="s">
        <v>62</v>
      </c>
      <c r="AG1225" s="4" t="str">
        <f t="shared" si="217"/>
        <v>C</v>
      </c>
      <c r="AK1225" s="4" t="s">
        <v>3573</v>
      </c>
      <c r="AL1225" s="4" t="str">
        <f t="shared" si="218"/>
        <v>Found</v>
      </c>
      <c r="AN1225" s="6">
        <v>7.55</v>
      </c>
      <c r="AO1225" s="4" t="str">
        <f t="shared" si="219"/>
        <v>Low</v>
      </c>
    </row>
    <row r="1226" spans="1:41">
      <c r="A1226">
        <v>3</v>
      </c>
      <c r="B1226" t="str">
        <f t="shared" si="209"/>
        <v>Third Class</v>
      </c>
      <c r="C1226">
        <v>0</v>
      </c>
      <c r="E1226" t="str">
        <f t="shared" si="210"/>
        <v>Died</v>
      </c>
      <c r="F1226" t="s">
        <v>1350</v>
      </c>
      <c r="G1226" t="s">
        <v>848</v>
      </c>
      <c r="H1226" t="s">
        <v>857</v>
      </c>
      <c r="I1226" t="str">
        <f t="shared" si="211"/>
        <v>Mr. Stanley Edward</v>
      </c>
      <c r="J1226" t="s">
        <v>20</v>
      </c>
      <c r="K1226" t="str">
        <f t="shared" si="212"/>
        <v>Male</v>
      </c>
      <c r="L1226">
        <v>21</v>
      </c>
      <c r="O1226">
        <f t="shared" si="213"/>
        <v>21</v>
      </c>
      <c r="P1226">
        <v>0</v>
      </c>
      <c r="R1226" s="4">
        <v>0</v>
      </c>
      <c r="T1226" s="5">
        <v>8.0500000000000007</v>
      </c>
      <c r="W1226" s="4">
        <v>21</v>
      </c>
      <c r="X1226" s="4" t="str">
        <f t="shared" si="214"/>
        <v>Young Adult</v>
      </c>
      <c r="Y1226" s="4" t="s">
        <v>3561</v>
      </c>
      <c r="AB1226" s="4" t="str">
        <f t="shared" si="215"/>
        <v/>
      </c>
      <c r="AC1226" s="4" t="str">
        <f t="shared" si="216"/>
        <v>Unknown</v>
      </c>
      <c r="AD1226" s="4" t="s">
        <v>457</v>
      </c>
      <c r="AG1226" s="4" t="str">
        <f t="shared" si="217"/>
        <v>Not Applicable</v>
      </c>
      <c r="AK1226" s="4" t="s">
        <v>3573</v>
      </c>
      <c r="AL1226" s="4" t="str">
        <f t="shared" si="218"/>
        <v>Found</v>
      </c>
      <c r="AN1226" s="6">
        <v>8.0500000000000007</v>
      </c>
      <c r="AO1226" s="4" t="str">
        <f t="shared" si="219"/>
        <v>Low</v>
      </c>
    </row>
    <row r="1227" spans="1:41">
      <c r="A1227">
        <v>3</v>
      </c>
      <c r="B1227" t="str">
        <f t="shared" si="209"/>
        <v>Third Class</v>
      </c>
      <c r="C1227">
        <v>0</v>
      </c>
      <c r="E1227" t="str">
        <f t="shared" si="210"/>
        <v>Died</v>
      </c>
      <c r="F1227" t="s">
        <v>2170</v>
      </c>
      <c r="G1227" t="s">
        <v>848</v>
      </c>
      <c r="H1227" t="s">
        <v>855</v>
      </c>
      <c r="I1227" t="str">
        <f t="shared" si="211"/>
        <v>Mr. Storey Thomas</v>
      </c>
      <c r="J1227" t="s">
        <v>20</v>
      </c>
      <c r="K1227" t="str">
        <f t="shared" si="212"/>
        <v>Male</v>
      </c>
      <c r="L1227">
        <v>60.5</v>
      </c>
      <c r="O1227">
        <f t="shared" si="213"/>
        <v>61</v>
      </c>
      <c r="P1227">
        <v>0</v>
      </c>
      <c r="R1227" s="4">
        <v>0</v>
      </c>
      <c r="T1227" s="5">
        <v>14.4542</v>
      </c>
      <c r="W1227" s="4">
        <v>61</v>
      </c>
      <c r="X1227" s="4" t="str">
        <f t="shared" si="214"/>
        <v>Old Adult</v>
      </c>
      <c r="Y1227" s="4" t="s">
        <v>3561</v>
      </c>
      <c r="AB1227" s="4" t="str">
        <f t="shared" si="215"/>
        <v/>
      </c>
      <c r="AC1227" s="4" t="str">
        <f t="shared" si="216"/>
        <v>Unknown</v>
      </c>
      <c r="AD1227" s="4" t="s">
        <v>457</v>
      </c>
      <c r="AG1227" s="4" t="str">
        <f t="shared" si="217"/>
        <v>Not Applicable</v>
      </c>
      <c r="AH1227" s="4">
        <v>261</v>
      </c>
      <c r="AK1227" s="4">
        <v>261</v>
      </c>
      <c r="AL1227" s="4" t="str">
        <f t="shared" si="218"/>
        <v>Found</v>
      </c>
      <c r="AN1227" s="6">
        <v>14.4542</v>
      </c>
      <c r="AO1227" s="4" t="str">
        <f t="shared" si="219"/>
        <v>Mid</v>
      </c>
    </row>
    <row r="1228" spans="1:41">
      <c r="A1228">
        <v>3</v>
      </c>
      <c r="B1228" t="str">
        <f t="shared" si="209"/>
        <v>Third Class</v>
      </c>
      <c r="C1228">
        <v>0</v>
      </c>
      <c r="E1228" t="str">
        <f t="shared" si="210"/>
        <v>Died</v>
      </c>
      <c r="F1228" t="s">
        <v>2171</v>
      </c>
      <c r="G1228" t="s">
        <v>848</v>
      </c>
      <c r="H1228" t="s">
        <v>2172</v>
      </c>
      <c r="I1228" t="str">
        <f t="shared" si="211"/>
        <v>Mr. Stoytcheff Ilia</v>
      </c>
      <c r="J1228" t="s">
        <v>20</v>
      </c>
      <c r="K1228" t="str">
        <f t="shared" si="212"/>
        <v>Male</v>
      </c>
      <c r="L1228">
        <v>19</v>
      </c>
      <c r="O1228">
        <f t="shared" si="213"/>
        <v>19</v>
      </c>
      <c r="P1228">
        <v>0</v>
      </c>
      <c r="R1228" s="4">
        <v>0</v>
      </c>
      <c r="T1228" s="5">
        <v>7.8958000000000004</v>
      </c>
      <c r="W1228" s="4">
        <v>19</v>
      </c>
      <c r="X1228" s="4" t="str">
        <f t="shared" si="214"/>
        <v>Young Adult</v>
      </c>
      <c r="Y1228" s="4" t="s">
        <v>3561</v>
      </c>
      <c r="AB1228" s="4" t="str">
        <f t="shared" si="215"/>
        <v/>
      </c>
      <c r="AC1228" s="4" t="str">
        <f t="shared" si="216"/>
        <v>Unknown</v>
      </c>
      <c r="AD1228" s="4" t="s">
        <v>457</v>
      </c>
      <c r="AG1228" s="4" t="str">
        <f t="shared" si="217"/>
        <v>Not Applicable</v>
      </c>
      <c r="AK1228" s="4" t="s">
        <v>3573</v>
      </c>
      <c r="AL1228" s="4" t="str">
        <f t="shared" si="218"/>
        <v>Found</v>
      </c>
      <c r="AN1228" s="6">
        <v>7.8958000000000004</v>
      </c>
      <c r="AO1228" s="4" t="str">
        <f t="shared" si="219"/>
        <v>Low</v>
      </c>
    </row>
    <row r="1229" spans="1:41">
      <c r="A1229">
        <v>3</v>
      </c>
      <c r="B1229" t="str">
        <f t="shared" si="209"/>
        <v>Third Class</v>
      </c>
      <c r="C1229">
        <v>0</v>
      </c>
      <c r="E1229" t="str">
        <f t="shared" si="210"/>
        <v>Died</v>
      </c>
      <c r="F1229" t="s">
        <v>2173</v>
      </c>
      <c r="G1229" t="s">
        <v>842</v>
      </c>
      <c r="H1229" t="s">
        <v>1229</v>
      </c>
      <c r="I1229" t="str">
        <f t="shared" si="211"/>
        <v>Miss. Strandberg Ida</v>
      </c>
      <c r="J1229" t="s">
        <v>47</v>
      </c>
      <c r="K1229" t="str">
        <f t="shared" si="212"/>
        <v>Female</v>
      </c>
      <c r="L1229">
        <v>22</v>
      </c>
      <c r="O1229">
        <f t="shared" si="213"/>
        <v>22</v>
      </c>
      <c r="P1229">
        <v>0</v>
      </c>
      <c r="R1229" s="4">
        <v>0</v>
      </c>
      <c r="T1229" s="5">
        <v>9.8375000000000004</v>
      </c>
      <c r="W1229" s="4">
        <v>22</v>
      </c>
      <c r="X1229" s="4" t="str">
        <f t="shared" si="214"/>
        <v>Young Adult</v>
      </c>
      <c r="Y1229" s="4" t="s">
        <v>3561</v>
      </c>
      <c r="AB1229" s="4" t="str">
        <f t="shared" si="215"/>
        <v/>
      </c>
      <c r="AC1229" s="4" t="str">
        <f t="shared" si="216"/>
        <v>Unknown</v>
      </c>
      <c r="AD1229" s="4" t="s">
        <v>457</v>
      </c>
      <c r="AG1229" s="4" t="str">
        <f t="shared" si="217"/>
        <v>Not Applicable</v>
      </c>
      <c r="AK1229" s="4" t="s">
        <v>3573</v>
      </c>
      <c r="AL1229" s="4" t="str">
        <f t="shared" si="218"/>
        <v>Found</v>
      </c>
      <c r="AN1229" s="6">
        <v>9.8375000000000004</v>
      </c>
      <c r="AO1229" s="4" t="str">
        <f t="shared" si="219"/>
        <v>Low</v>
      </c>
    </row>
    <row r="1230" spans="1:41">
      <c r="A1230">
        <v>3</v>
      </c>
      <c r="B1230" t="str">
        <f t="shared" si="209"/>
        <v>Third Class</v>
      </c>
      <c r="C1230">
        <v>1</v>
      </c>
      <c r="E1230" t="str">
        <f t="shared" si="210"/>
        <v>Survived</v>
      </c>
      <c r="F1230" t="s">
        <v>2174</v>
      </c>
      <c r="G1230" t="s">
        <v>848</v>
      </c>
      <c r="H1230" t="s">
        <v>2175</v>
      </c>
      <c r="I1230" t="str">
        <f t="shared" si="211"/>
        <v>Mr. Stranden Juho</v>
      </c>
      <c r="J1230" t="s">
        <v>20</v>
      </c>
      <c r="K1230" t="str">
        <f t="shared" si="212"/>
        <v>Male</v>
      </c>
      <c r="L1230">
        <v>31</v>
      </c>
      <c r="O1230">
        <f t="shared" si="213"/>
        <v>31</v>
      </c>
      <c r="P1230">
        <v>0</v>
      </c>
      <c r="R1230" s="4">
        <v>0</v>
      </c>
      <c r="T1230" s="5">
        <v>7.9249999999999998</v>
      </c>
      <c r="W1230" s="4">
        <v>31</v>
      </c>
      <c r="X1230" s="4" t="str">
        <f t="shared" si="214"/>
        <v>Adult</v>
      </c>
      <c r="Y1230" s="4" t="s">
        <v>3561</v>
      </c>
      <c r="AB1230" s="4" t="str">
        <f t="shared" si="215"/>
        <v/>
      </c>
      <c r="AC1230" s="4" t="str">
        <f t="shared" si="216"/>
        <v>Unknown</v>
      </c>
      <c r="AD1230" s="4" t="s">
        <v>457</v>
      </c>
      <c r="AF1230" s="4">
        <v>9</v>
      </c>
      <c r="AG1230" s="4">
        <f t="shared" si="217"/>
        <v>9</v>
      </c>
      <c r="AK1230" s="4" t="s">
        <v>3573</v>
      </c>
      <c r="AL1230" s="4" t="str">
        <f t="shared" si="218"/>
        <v>Found</v>
      </c>
      <c r="AN1230" s="6">
        <v>7.9249999999999998</v>
      </c>
      <c r="AO1230" s="4" t="str">
        <f t="shared" si="219"/>
        <v>Low</v>
      </c>
    </row>
    <row r="1231" spans="1:41">
      <c r="A1231">
        <v>3</v>
      </c>
      <c r="B1231" t="str">
        <f t="shared" si="209"/>
        <v>Third Class</v>
      </c>
      <c r="C1231">
        <v>0</v>
      </c>
      <c r="E1231" t="str">
        <f t="shared" si="210"/>
        <v>Died</v>
      </c>
      <c r="F1231" t="s">
        <v>2176</v>
      </c>
      <c r="G1231" t="s">
        <v>848</v>
      </c>
      <c r="H1231" t="s">
        <v>1678</v>
      </c>
      <c r="I1231" t="str">
        <f t="shared" si="211"/>
        <v>Mr. Strilic Ivan</v>
      </c>
      <c r="J1231" t="s">
        <v>20</v>
      </c>
      <c r="K1231" t="str">
        <f t="shared" si="212"/>
        <v>Male</v>
      </c>
      <c r="L1231">
        <v>27</v>
      </c>
      <c r="O1231">
        <f t="shared" si="213"/>
        <v>27</v>
      </c>
      <c r="P1231">
        <v>0</v>
      </c>
      <c r="R1231" s="4">
        <v>0</v>
      </c>
      <c r="T1231" s="5">
        <v>8.6624999999999996</v>
      </c>
      <c r="W1231" s="4">
        <v>27</v>
      </c>
      <c r="X1231" s="4" t="str">
        <f t="shared" si="214"/>
        <v>Young Adult</v>
      </c>
      <c r="Y1231" s="4" t="s">
        <v>3561</v>
      </c>
      <c r="AB1231" s="4" t="str">
        <f t="shared" si="215"/>
        <v/>
      </c>
      <c r="AC1231" s="4" t="str">
        <f t="shared" si="216"/>
        <v>Unknown</v>
      </c>
      <c r="AD1231" s="4" t="s">
        <v>457</v>
      </c>
      <c r="AG1231" s="4" t="str">
        <f t="shared" si="217"/>
        <v>Not Applicable</v>
      </c>
      <c r="AK1231" s="4" t="s">
        <v>3573</v>
      </c>
      <c r="AL1231" s="4" t="str">
        <f t="shared" si="218"/>
        <v>Found</v>
      </c>
      <c r="AN1231" s="6">
        <v>8.6624999999999996</v>
      </c>
      <c r="AO1231" s="4" t="str">
        <f t="shared" si="219"/>
        <v>Low</v>
      </c>
    </row>
    <row r="1232" spans="1:41">
      <c r="A1232">
        <v>3</v>
      </c>
      <c r="B1232" t="str">
        <f t="shared" si="209"/>
        <v>Third Class</v>
      </c>
      <c r="C1232">
        <v>0</v>
      </c>
      <c r="E1232" t="str">
        <f t="shared" si="210"/>
        <v>Died</v>
      </c>
      <c r="F1232" t="s">
        <v>2177</v>
      </c>
      <c r="G1232" t="s">
        <v>842</v>
      </c>
      <c r="H1232" t="s">
        <v>2178</v>
      </c>
      <c r="I1232" t="str">
        <f t="shared" si="211"/>
        <v>Miss. Strom Telma</v>
      </c>
      <c r="J1232" t="s">
        <v>47</v>
      </c>
      <c r="K1232" t="str">
        <f t="shared" si="212"/>
        <v>Female</v>
      </c>
      <c r="L1232">
        <v>2</v>
      </c>
      <c r="O1232">
        <f t="shared" si="213"/>
        <v>2</v>
      </c>
      <c r="P1232">
        <v>0</v>
      </c>
      <c r="R1232" s="4">
        <v>1</v>
      </c>
      <c r="T1232" s="5">
        <v>10.4625</v>
      </c>
      <c r="W1232" s="4">
        <v>2</v>
      </c>
      <c r="X1232" s="4" t="str">
        <f t="shared" si="214"/>
        <v>Child</v>
      </c>
      <c r="Y1232" s="4" t="s">
        <v>810</v>
      </c>
      <c r="AA1232" s="4" t="s">
        <v>810</v>
      </c>
      <c r="AB1232" s="4" t="str">
        <f t="shared" si="215"/>
        <v>G</v>
      </c>
      <c r="AC1232" s="4" t="str">
        <f t="shared" si="216"/>
        <v>G</v>
      </c>
      <c r="AD1232" s="4" t="s">
        <v>457</v>
      </c>
      <c r="AG1232" s="4" t="str">
        <f t="shared" si="217"/>
        <v>Not Applicable</v>
      </c>
      <c r="AK1232" s="4" t="s">
        <v>3573</v>
      </c>
      <c r="AL1232" s="4" t="str">
        <f t="shared" si="218"/>
        <v>Found</v>
      </c>
      <c r="AN1232" s="6">
        <v>10.4625</v>
      </c>
      <c r="AO1232" s="4" t="str">
        <f t="shared" si="219"/>
        <v>Mid</v>
      </c>
    </row>
    <row r="1233" spans="1:41">
      <c r="A1233">
        <v>3</v>
      </c>
      <c r="B1233" t="str">
        <f t="shared" si="209"/>
        <v>Third Class</v>
      </c>
      <c r="C1233">
        <v>0</v>
      </c>
      <c r="E1233" t="str">
        <f t="shared" si="210"/>
        <v>Died</v>
      </c>
      <c r="F1233" t="s">
        <v>2177</v>
      </c>
      <c r="G1233" t="s">
        <v>849</v>
      </c>
      <c r="H1233" t="s">
        <v>2044</v>
      </c>
      <c r="I1233" t="str">
        <f t="shared" si="211"/>
        <v>Mrs. Strom Wilhelm</v>
      </c>
      <c r="J1233" t="s">
        <v>47</v>
      </c>
      <c r="K1233" t="str">
        <f t="shared" si="212"/>
        <v>Female</v>
      </c>
      <c r="L1233">
        <v>29</v>
      </c>
      <c r="O1233">
        <f t="shared" si="213"/>
        <v>29</v>
      </c>
      <c r="P1233">
        <v>1</v>
      </c>
      <c r="R1233" s="4">
        <v>1</v>
      </c>
      <c r="T1233" s="5">
        <v>10.4625</v>
      </c>
      <c r="W1233" s="4">
        <v>29</v>
      </c>
      <c r="X1233" s="4" t="str">
        <f t="shared" si="214"/>
        <v>Young Adult</v>
      </c>
      <c r="Y1233" s="4" t="s">
        <v>810</v>
      </c>
      <c r="AA1233" s="4" t="s">
        <v>810</v>
      </c>
      <c r="AB1233" s="4" t="str">
        <f t="shared" si="215"/>
        <v>G</v>
      </c>
      <c r="AC1233" s="4" t="str">
        <f t="shared" si="216"/>
        <v>G</v>
      </c>
      <c r="AD1233" s="4" t="s">
        <v>457</v>
      </c>
      <c r="AG1233" s="4" t="str">
        <f t="shared" si="217"/>
        <v>Not Applicable</v>
      </c>
      <c r="AK1233" s="4" t="s">
        <v>3573</v>
      </c>
      <c r="AL1233" s="4" t="str">
        <f t="shared" si="218"/>
        <v>Found</v>
      </c>
      <c r="AN1233" s="6">
        <v>10.4625</v>
      </c>
      <c r="AO1233" s="4" t="str">
        <f t="shared" si="219"/>
        <v>Mid</v>
      </c>
    </row>
    <row r="1234" spans="1:41">
      <c r="A1234">
        <v>3</v>
      </c>
      <c r="B1234" t="str">
        <f t="shared" si="209"/>
        <v>Third Class</v>
      </c>
      <c r="C1234">
        <v>1</v>
      </c>
      <c r="E1234" t="str">
        <f t="shared" si="210"/>
        <v>Survived</v>
      </c>
      <c r="F1234" t="s">
        <v>2179</v>
      </c>
      <c r="G1234" t="s">
        <v>848</v>
      </c>
      <c r="H1234" t="s">
        <v>1044</v>
      </c>
      <c r="I1234" t="str">
        <f t="shared" si="211"/>
        <v>Mr. Sunderland Victor</v>
      </c>
      <c r="J1234" t="s">
        <v>20</v>
      </c>
      <c r="K1234" t="str">
        <f t="shared" si="212"/>
        <v>Male</v>
      </c>
      <c r="L1234">
        <v>16</v>
      </c>
      <c r="O1234">
        <f t="shared" si="213"/>
        <v>16</v>
      </c>
      <c r="P1234">
        <v>0</v>
      </c>
      <c r="R1234" s="4">
        <v>0</v>
      </c>
      <c r="T1234" s="5">
        <v>8.0500000000000007</v>
      </c>
      <c r="W1234" s="4">
        <v>16</v>
      </c>
      <c r="X1234" s="4" t="str">
        <f t="shared" si="214"/>
        <v>Teenager</v>
      </c>
      <c r="Y1234" s="4" t="s">
        <v>3561</v>
      </c>
      <c r="AB1234" s="4" t="str">
        <f t="shared" si="215"/>
        <v/>
      </c>
      <c r="AC1234" s="4" t="str">
        <f t="shared" si="216"/>
        <v>Unknown</v>
      </c>
      <c r="AD1234" s="4" t="s">
        <v>457</v>
      </c>
      <c r="AF1234" s="4" t="s">
        <v>70</v>
      </c>
      <c r="AG1234" s="4" t="str">
        <f t="shared" si="217"/>
        <v>B</v>
      </c>
      <c r="AK1234" s="4" t="s">
        <v>3573</v>
      </c>
      <c r="AL1234" s="4" t="str">
        <f t="shared" si="218"/>
        <v>Found</v>
      </c>
      <c r="AN1234" s="6">
        <v>8.0500000000000007</v>
      </c>
      <c r="AO1234" s="4" t="str">
        <f t="shared" si="219"/>
        <v>Low</v>
      </c>
    </row>
    <row r="1235" spans="1:41">
      <c r="A1235">
        <v>3</v>
      </c>
      <c r="B1235" t="str">
        <f t="shared" si="209"/>
        <v>Third Class</v>
      </c>
      <c r="C1235">
        <v>1</v>
      </c>
      <c r="E1235" t="str">
        <f t="shared" si="210"/>
        <v>Survived</v>
      </c>
      <c r="F1235" t="s">
        <v>2180</v>
      </c>
      <c r="G1235" t="s">
        <v>848</v>
      </c>
      <c r="H1235" t="s">
        <v>1105</v>
      </c>
      <c r="I1235" t="str">
        <f t="shared" si="211"/>
        <v>Mr. Sundman Johan</v>
      </c>
      <c r="J1235" t="s">
        <v>20</v>
      </c>
      <c r="K1235" t="str">
        <f t="shared" si="212"/>
        <v>Male</v>
      </c>
      <c r="L1235">
        <v>44</v>
      </c>
      <c r="O1235">
        <f t="shared" si="213"/>
        <v>44</v>
      </c>
      <c r="P1235">
        <v>0</v>
      </c>
      <c r="R1235" s="4">
        <v>0</v>
      </c>
      <c r="T1235" s="5">
        <v>7.9249999999999998</v>
      </c>
      <c r="W1235" s="4">
        <v>44</v>
      </c>
      <c r="X1235" s="4" t="str">
        <f t="shared" si="214"/>
        <v>Adult</v>
      </c>
      <c r="Y1235" s="4" t="s">
        <v>3561</v>
      </c>
      <c r="AB1235" s="4" t="str">
        <f t="shared" si="215"/>
        <v/>
      </c>
      <c r="AC1235" s="4" t="str">
        <f t="shared" si="216"/>
        <v>Unknown</v>
      </c>
      <c r="AD1235" s="4" t="s">
        <v>457</v>
      </c>
      <c r="AF1235" s="4">
        <v>15</v>
      </c>
      <c r="AG1235" s="4">
        <f t="shared" si="217"/>
        <v>15</v>
      </c>
      <c r="AK1235" s="4" t="s">
        <v>3573</v>
      </c>
      <c r="AL1235" s="4" t="str">
        <f t="shared" si="218"/>
        <v>Found</v>
      </c>
      <c r="AN1235" s="6">
        <v>7.9249999999999998</v>
      </c>
      <c r="AO1235" s="4" t="str">
        <f t="shared" si="219"/>
        <v>Low</v>
      </c>
    </row>
    <row r="1236" spans="1:41">
      <c r="A1236">
        <v>3</v>
      </c>
      <c r="B1236" t="str">
        <f t="shared" si="209"/>
        <v>Third Class</v>
      </c>
      <c r="C1236">
        <v>0</v>
      </c>
      <c r="E1236" t="str">
        <f t="shared" si="210"/>
        <v>Died</v>
      </c>
      <c r="F1236" t="s">
        <v>2181</v>
      </c>
      <c r="G1236" t="s">
        <v>848</v>
      </c>
      <c r="H1236" t="s">
        <v>872</v>
      </c>
      <c r="I1236" t="str">
        <f t="shared" si="211"/>
        <v>Mr. Sutehall Henry</v>
      </c>
      <c r="J1236" t="s">
        <v>20</v>
      </c>
      <c r="K1236" t="str">
        <f t="shared" si="212"/>
        <v>Male</v>
      </c>
      <c r="L1236">
        <v>25</v>
      </c>
      <c r="O1236">
        <f t="shared" si="213"/>
        <v>25</v>
      </c>
      <c r="P1236">
        <v>0</v>
      </c>
      <c r="R1236" s="4">
        <v>0</v>
      </c>
      <c r="T1236" s="5">
        <v>7.05</v>
      </c>
      <c r="W1236" s="4">
        <v>25</v>
      </c>
      <c r="X1236" s="4" t="str">
        <f t="shared" si="214"/>
        <v>Young Adult</v>
      </c>
      <c r="Y1236" s="4" t="s">
        <v>3561</v>
      </c>
      <c r="AB1236" s="4" t="str">
        <f t="shared" si="215"/>
        <v/>
      </c>
      <c r="AC1236" s="4" t="str">
        <f t="shared" si="216"/>
        <v>Unknown</v>
      </c>
      <c r="AD1236" s="4" t="s">
        <v>457</v>
      </c>
      <c r="AG1236" s="4" t="str">
        <f t="shared" si="217"/>
        <v>Not Applicable</v>
      </c>
      <c r="AK1236" s="4" t="s">
        <v>3573</v>
      </c>
      <c r="AL1236" s="4" t="str">
        <f t="shared" si="218"/>
        <v>Found</v>
      </c>
      <c r="AN1236" s="6">
        <v>7.05</v>
      </c>
      <c r="AO1236" s="4" t="str">
        <f t="shared" si="219"/>
        <v>Low</v>
      </c>
    </row>
    <row r="1237" spans="1:41">
      <c r="A1237">
        <v>3</v>
      </c>
      <c r="B1237" t="str">
        <f t="shared" si="209"/>
        <v>Third Class</v>
      </c>
      <c r="C1237">
        <v>0</v>
      </c>
      <c r="E1237" t="str">
        <f t="shared" si="210"/>
        <v>Died</v>
      </c>
      <c r="F1237" t="s">
        <v>1918</v>
      </c>
      <c r="G1237" t="s">
        <v>848</v>
      </c>
      <c r="H1237" t="s">
        <v>1105</v>
      </c>
      <c r="I1237" t="str">
        <f t="shared" si="211"/>
        <v>Mr. Svensson Johan</v>
      </c>
      <c r="J1237" t="s">
        <v>20</v>
      </c>
      <c r="K1237" t="str">
        <f t="shared" si="212"/>
        <v>Male</v>
      </c>
      <c r="L1237">
        <v>74</v>
      </c>
      <c r="O1237">
        <f t="shared" si="213"/>
        <v>74</v>
      </c>
      <c r="P1237">
        <v>0</v>
      </c>
      <c r="R1237" s="4">
        <v>0</v>
      </c>
      <c r="T1237" s="5">
        <v>7.7750000000000004</v>
      </c>
      <c r="W1237" s="4">
        <v>74</v>
      </c>
      <c r="X1237" s="4" t="str">
        <f t="shared" si="214"/>
        <v>Old Adult</v>
      </c>
      <c r="Y1237" s="4" t="s">
        <v>3561</v>
      </c>
      <c r="AB1237" s="4" t="str">
        <f t="shared" si="215"/>
        <v/>
      </c>
      <c r="AC1237" s="4" t="str">
        <f t="shared" si="216"/>
        <v>Unknown</v>
      </c>
      <c r="AD1237" s="4" t="s">
        <v>457</v>
      </c>
      <c r="AG1237" s="4" t="str">
        <f t="shared" si="217"/>
        <v>Not Applicable</v>
      </c>
      <c r="AK1237" s="4" t="s">
        <v>3573</v>
      </c>
      <c r="AL1237" s="4" t="str">
        <f t="shared" si="218"/>
        <v>Found</v>
      </c>
      <c r="AN1237" s="6">
        <v>7.7750000000000004</v>
      </c>
      <c r="AO1237" s="4" t="str">
        <f t="shared" si="219"/>
        <v>Low</v>
      </c>
    </row>
    <row r="1238" spans="1:41">
      <c r="A1238">
        <v>3</v>
      </c>
      <c r="B1238" t="str">
        <f t="shared" si="209"/>
        <v>Third Class</v>
      </c>
      <c r="C1238">
        <v>1</v>
      </c>
      <c r="E1238" t="str">
        <f t="shared" si="210"/>
        <v>Survived</v>
      </c>
      <c r="F1238" t="s">
        <v>1918</v>
      </c>
      <c r="G1238" t="s">
        <v>848</v>
      </c>
      <c r="H1238" t="s">
        <v>1105</v>
      </c>
      <c r="I1238" t="str">
        <f t="shared" si="211"/>
        <v>Mr. Svensson Johan</v>
      </c>
      <c r="J1238" t="s">
        <v>20</v>
      </c>
      <c r="K1238" t="str">
        <f t="shared" si="212"/>
        <v>Male</v>
      </c>
      <c r="L1238">
        <v>14</v>
      </c>
      <c r="O1238">
        <f t="shared" si="213"/>
        <v>14</v>
      </c>
      <c r="P1238">
        <v>0</v>
      </c>
      <c r="R1238" s="4">
        <v>0</v>
      </c>
      <c r="T1238" s="5">
        <v>9.2249999999999996</v>
      </c>
      <c r="W1238" s="4">
        <v>14</v>
      </c>
      <c r="X1238" s="4" t="str">
        <f t="shared" si="214"/>
        <v>Teenager</v>
      </c>
      <c r="Y1238" s="4" t="s">
        <v>3561</v>
      </c>
      <c r="AB1238" s="4" t="str">
        <f t="shared" si="215"/>
        <v/>
      </c>
      <c r="AC1238" s="4" t="str">
        <f t="shared" si="216"/>
        <v>Unknown</v>
      </c>
      <c r="AD1238" s="4" t="s">
        <v>457</v>
      </c>
      <c r="AF1238" s="4">
        <v>13</v>
      </c>
      <c r="AG1238" s="4">
        <f t="shared" si="217"/>
        <v>13</v>
      </c>
      <c r="AK1238" s="4" t="s">
        <v>3573</v>
      </c>
      <c r="AL1238" s="4" t="str">
        <f t="shared" si="218"/>
        <v>Found</v>
      </c>
      <c r="AN1238" s="6">
        <v>9.2249999999999996</v>
      </c>
      <c r="AO1238" s="4" t="str">
        <f t="shared" si="219"/>
        <v>Low</v>
      </c>
    </row>
    <row r="1239" spans="1:41">
      <c r="A1239">
        <v>3</v>
      </c>
      <c r="B1239" t="str">
        <f t="shared" si="209"/>
        <v>Third Class</v>
      </c>
      <c r="C1239">
        <v>0</v>
      </c>
      <c r="E1239" t="str">
        <f t="shared" si="210"/>
        <v>Died</v>
      </c>
      <c r="F1239" t="s">
        <v>1918</v>
      </c>
      <c r="G1239" t="s">
        <v>848</v>
      </c>
      <c r="H1239" t="s">
        <v>938</v>
      </c>
      <c r="I1239" t="str">
        <f t="shared" si="211"/>
        <v>Mr. Svensson Olof</v>
      </c>
      <c r="J1239" t="s">
        <v>20</v>
      </c>
      <c r="K1239" t="str">
        <f t="shared" si="212"/>
        <v>Male</v>
      </c>
      <c r="L1239">
        <v>24</v>
      </c>
      <c r="O1239">
        <f t="shared" si="213"/>
        <v>24</v>
      </c>
      <c r="P1239">
        <v>0</v>
      </c>
      <c r="R1239" s="4">
        <v>0</v>
      </c>
      <c r="T1239" s="5">
        <v>7.7957999999999998</v>
      </c>
      <c r="W1239" s="4">
        <v>24</v>
      </c>
      <c r="X1239" s="4" t="str">
        <f t="shared" si="214"/>
        <v>Young Adult</v>
      </c>
      <c r="Y1239" s="4" t="s">
        <v>3561</v>
      </c>
      <c r="AB1239" s="4" t="str">
        <f t="shared" si="215"/>
        <v/>
      </c>
      <c r="AC1239" s="4" t="str">
        <f t="shared" si="216"/>
        <v>Unknown</v>
      </c>
      <c r="AD1239" s="4" t="s">
        <v>457</v>
      </c>
      <c r="AG1239" s="4" t="str">
        <f t="shared" si="217"/>
        <v>Not Applicable</v>
      </c>
      <c r="AK1239" s="4" t="s">
        <v>3573</v>
      </c>
      <c r="AL1239" s="4" t="str">
        <f t="shared" si="218"/>
        <v>Found</v>
      </c>
      <c r="AN1239" s="6">
        <v>7.7957999999999998</v>
      </c>
      <c r="AO1239" s="4" t="str">
        <f t="shared" si="219"/>
        <v>Low</v>
      </c>
    </row>
    <row r="1240" spans="1:41">
      <c r="A1240">
        <v>3</v>
      </c>
      <c r="B1240" t="str">
        <f t="shared" si="209"/>
        <v>Third Class</v>
      </c>
      <c r="C1240">
        <v>1</v>
      </c>
      <c r="E1240" t="str">
        <f t="shared" si="210"/>
        <v>Survived</v>
      </c>
      <c r="F1240" t="s">
        <v>2182</v>
      </c>
      <c r="G1240" t="s">
        <v>848</v>
      </c>
      <c r="H1240" t="s">
        <v>2183</v>
      </c>
      <c r="I1240" t="str">
        <f t="shared" si="211"/>
        <v>Mr. Tenglin Gunnar</v>
      </c>
      <c r="J1240" t="s">
        <v>20</v>
      </c>
      <c r="K1240" t="str">
        <f t="shared" si="212"/>
        <v>Male</v>
      </c>
      <c r="L1240">
        <v>25</v>
      </c>
      <c r="O1240">
        <f t="shared" si="213"/>
        <v>25</v>
      </c>
      <c r="P1240">
        <v>0</v>
      </c>
      <c r="R1240" s="4">
        <v>0</v>
      </c>
      <c r="T1240" s="5">
        <v>7.7957999999999998</v>
      </c>
      <c r="W1240" s="4">
        <v>25</v>
      </c>
      <c r="X1240" s="4" t="str">
        <f t="shared" si="214"/>
        <v>Young Adult</v>
      </c>
      <c r="Y1240" s="4" t="s">
        <v>3561</v>
      </c>
      <c r="AB1240" s="4" t="str">
        <f t="shared" si="215"/>
        <v/>
      </c>
      <c r="AC1240" s="4" t="str">
        <f t="shared" si="216"/>
        <v>Unknown</v>
      </c>
      <c r="AD1240" s="4" t="s">
        <v>457</v>
      </c>
      <c r="AF1240" s="4" t="s">
        <v>824</v>
      </c>
      <c r="AG1240" s="4" t="str">
        <f t="shared" si="217"/>
        <v>13 15</v>
      </c>
      <c r="AK1240" s="4" t="s">
        <v>3573</v>
      </c>
      <c r="AL1240" s="4" t="str">
        <f t="shared" si="218"/>
        <v>Found</v>
      </c>
      <c r="AN1240" s="6">
        <v>7.7957999999999998</v>
      </c>
      <c r="AO1240" s="4" t="str">
        <f t="shared" si="219"/>
        <v>Low</v>
      </c>
    </row>
    <row r="1241" spans="1:41">
      <c r="A1241">
        <v>3</v>
      </c>
      <c r="B1241" t="str">
        <f t="shared" si="209"/>
        <v>Third Class</v>
      </c>
      <c r="C1241">
        <v>0</v>
      </c>
      <c r="E1241" t="str">
        <f t="shared" si="210"/>
        <v>Died</v>
      </c>
      <c r="F1241" t="s">
        <v>2184</v>
      </c>
      <c r="G1241" t="s">
        <v>848</v>
      </c>
      <c r="H1241" t="s">
        <v>855</v>
      </c>
      <c r="I1241" t="str">
        <f t="shared" si="211"/>
        <v>Mr. Theobald Thomas</v>
      </c>
      <c r="J1241" t="s">
        <v>20</v>
      </c>
      <c r="K1241" t="str">
        <f t="shared" si="212"/>
        <v>Male</v>
      </c>
      <c r="L1241">
        <v>34</v>
      </c>
      <c r="O1241">
        <f t="shared" si="213"/>
        <v>34</v>
      </c>
      <c r="P1241">
        <v>0</v>
      </c>
      <c r="R1241" s="4">
        <v>0</v>
      </c>
      <c r="T1241" s="5">
        <v>8.0500000000000007</v>
      </c>
      <c r="W1241" s="4">
        <v>34</v>
      </c>
      <c r="X1241" s="4" t="str">
        <f t="shared" si="214"/>
        <v>Adult</v>
      </c>
      <c r="Y1241" s="4" t="s">
        <v>3561</v>
      </c>
      <c r="AB1241" s="4" t="str">
        <f t="shared" si="215"/>
        <v/>
      </c>
      <c r="AC1241" s="4" t="str">
        <f t="shared" si="216"/>
        <v>Unknown</v>
      </c>
      <c r="AD1241" s="4" t="s">
        <v>457</v>
      </c>
      <c r="AG1241" s="4" t="str">
        <f t="shared" si="217"/>
        <v>Not Applicable</v>
      </c>
      <c r="AH1241" s="4">
        <v>176</v>
      </c>
      <c r="AK1241" s="4">
        <v>176</v>
      </c>
      <c r="AL1241" s="4" t="str">
        <f t="shared" si="218"/>
        <v>Found</v>
      </c>
      <c r="AN1241" s="6">
        <v>8.0500000000000007</v>
      </c>
      <c r="AO1241" s="4" t="str">
        <f t="shared" si="219"/>
        <v>Low</v>
      </c>
    </row>
    <row r="1242" spans="1:41">
      <c r="A1242">
        <v>3</v>
      </c>
      <c r="B1242" t="str">
        <f t="shared" si="209"/>
        <v>Third Class</v>
      </c>
      <c r="C1242">
        <v>1</v>
      </c>
      <c r="E1242" t="str">
        <f t="shared" si="210"/>
        <v>Survived</v>
      </c>
      <c r="F1242" t="s">
        <v>855</v>
      </c>
      <c r="G1242" t="s">
        <v>845</v>
      </c>
      <c r="H1242" t="s">
        <v>2185</v>
      </c>
      <c r="I1242" t="str">
        <f t="shared" si="211"/>
        <v>Master. Thomas Assad</v>
      </c>
      <c r="J1242" t="s">
        <v>20</v>
      </c>
      <c r="K1242" t="str">
        <f t="shared" si="212"/>
        <v>Male</v>
      </c>
      <c r="L1242">
        <v>0.41670000000000001</v>
      </c>
      <c r="O1242">
        <f t="shared" si="213"/>
        <v>1</v>
      </c>
      <c r="P1242">
        <v>0</v>
      </c>
      <c r="R1242" s="4">
        <v>1</v>
      </c>
      <c r="T1242" s="5">
        <v>8.5167000000000002</v>
      </c>
      <c r="W1242" s="4">
        <v>1</v>
      </c>
      <c r="X1242" s="4" t="str">
        <f t="shared" si="214"/>
        <v>Child</v>
      </c>
      <c r="Y1242" s="4" t="s">
        <v>3561</v>
      </c>
      <c r="AB1242" s="4" t="str">
        <f t="shared" si="215"/>
        <v/>
      </c>
      <c r="AC1242" s="4" t="str">
        <f t="shared" si="216"/>
        <v>Unknown</v>
      </c>
      <c r="AD1242" s="4" t="s">
        <v>3566</v>
      </c>
      <c r="AF1242" s="4">
        <v>16</v>
      </c>
      <c r="AG1242" s="4">
        <f t="shared" si="217"/>
        <v>16</v>
      </c>
      <c r="AK1242" s="4" t="s">
        <v>3573</v>
      </c>
      <c r="AL1242" s="4" t="str">
        <f t="shared" si="218"/>
        <v>Found</v>
      </c>
      <c r="AN1242" s="6">
        <v>8.5167000000000002</v>
      </c>
      <c r="AO1242" s="4" t="str">
        <f t="shared" si="219"/>
        <v>Low</v>
      </c>
    </row>
    <row r="1243" spans="1:41">
      <c r="A1243">
        <v>3</v>
      </c>
      <c r="B1243" t="str">
        <f t="shared" si="209"/>
        <v>Third Class</v>
      </c>
      <c r="C1243">
        <v>0</v>
      </c>
      <c r="E1243" t="str">
        <f t="shared" si="210"/>
        <v>Died</v>
      </c>
      <c r="F1243" t="s">
        <v>855</v>
      </c>
      <c r="G1243" t="s">
        <v>848</v>
      </c>
      <c r="H1243" t="s">
        <v>1000</v>
      </c>
      <c r="I1243" t="str">
        <f t="shared" si="211"/>
        <v>Mr. Thomas Charles</v>
      </c>
      <c r="J1243" t="s">
        <v>20</v>
      </c>
      <c r="K1243" t="str">
        <f t="shared" si="212"/>
        <v>Male</v>
      </c>
      <c r="L1243">
        <v>28</v>
      </c>
      <c r="O1243">
        <f t="shared" si="213"/>
        <v>28</v>
      </c>
      <c r="P1243">
        <v>1</v>
      </c>
      <c r="R1243" s="4">
        <v>0</v>
      </c>
      <c r="T1243" s="5">
        <v>6.4375</v>
      </c>
      <c r="W1243" s="4">
        <v>28</v>
      </c>
      <c r="X1243" s="4" t="str">
        <f t="shared" si="214"/>
        <v>Young Adult</v>
      </c>
      <c r="Y1243" s="4" t="s">
        <v>3561</v>
      </c>
      <c r="AB1243" s="4" t="str">
        <f t="shared" si="215"/>
        <v/>
      </c>
      <c r="AC1243" s="4" t="str">
        <f t="shared" si="216"/>
        <v>Unknown</v>
      </c>
      <c r="AD1243" s="4" t="s">
        <v>3566</v>
      </c>
      <c r="AG1243" s="4" t="str">
        <f t="shared" si="217"/>
        <v>Not Applicable</v>
      </c>
      <c r="AK1243" s="4" t="s">
        <v>3573</v>
      </c>
      <c r="AL1243" s="4" t="str">
        <f t="shared" si="218"/>
        <v>Found</v>
      </c>
      <c r="AN1243" s="6">
        <v>6.4375</v>
      </c>
      <c r="AO1243" s="4" t="str">
        <f t="shared" si="219"/>
        <v>Low</v>
      </c>
    </row>
    <row r="1244" spans="1:41">
      <c r="A1244">
        <v>3</v>
      </c>
      <c r="B1244" t="str">
        <f t="shared" si="209"/>
        <v>Third Class</v>
      </c>
      <c r="C1244">
        <v>0</v>
      </c>
      <c r="E1244" t="str">
        <f t="shared" si="210"/>
        <v>Died</v>
      </c>
      <c r="F1244" t="s">
        <v>855</v>
      </c>
      <c r="G1244" t="s">
        <v>848</v>
      </c>
      <c r="H1244" t="s">
        <v>862</v>
      </c>
      <c r="I1244" t="str">
        <f t="shared" si="211"/>
        <v>Mr. Thomas John</v>
      </c>
      <c r="J1244" t="s">
        <v>20</v>
      </c>
      <c r="K1244" t="str">
        <f t="shared" si="212"/>
        <v>Male</v>
      </c>
      <c r="L1244">
        <v>28</v>
      </c>
      <c r="O1244">
        <f t="shared" si="213"/>
        <v>28</v>
      </c>
      <c r="P1244">
        <v>0</v>
      </c>
      <c r="R1244" s="4">
        <v>0</v>
      </c>
      <c r="T1244" s="5">
        <v>6.4375</v>
      </c>
      <c r="W1244" s="4">
        <v>28</v>
      </c>
      <c r="X1244" s="4" t="str">
        <f t="shared" si="214"/>
        <v>Young Adult</v>
      </c>
      <c r="Y1244" s="4" t="s">
        <v>3561</v>
      </c>
      <c r="AB1244" s="4" t="str">
        <f t="shared" si="215"/>
        <v/>
      </c>
      <c r="AC1244" s="4" t="str">
        <f t="shared" si="216"/>
        <v>Unknown</v>
      </c>
      <c r="AD1244" s="4" t="s">
        <v>3566</v>
      </c>
      <c r="AG1244" s="4" t="str">
        <f t="shared" si="217"/>
        <v>Not Applicable</v>
      </c>
      <c r="AK1244" s="4" t="s">
        <v>3573</v>
      </c>
      <c r="AL1244" s="4" t="str">
        <f t="shared" si="218"/>
        <v>Found</v>
      </c>
      <c r="AN1244" s="6">
        <v>6.4375</v>
      </c>
      <c r="AO1244" s="4" t="str">
        <f t="shared" si="219"/>
        <v>Low</v>
      </c>
    </row>
    <row r="1245" spans="1:41">
      <c r="A1245">
        <v>3</v>
      </c>
      <c r="B1245" t="str">
        <f t="shared" si="209"/>
        <v>Third Class</v>
      </c>
      <c r="C1245">
        <v>0</v>
      </c>
      <c r="E1245" t="str">
        <f t="shared" si="210"/>
        <v>Died</v>
      </c>
      <c r="F1245" t="s">
        <v>855</v>
      </c>
      <c r="G1245" t="s">
        <v>848</v>
      </c>
      <c r="H1245" t="s">
        <v>1618</v>
      </c>
      <c r="I1245" t="str">
        <f t="shared" si="211"/>
        <v>Mr. Thomas Tannous</v>
      </c>
      <c r="J1245" t="s">
        <v>20</v>
      </c>
      <c r="K1245" t="str">
        <f t="shared" si="212"/>
        <v>Male</v>
      </c>
      <c r="L1245">
        <v>28</v>
      </c>
      <c r="O1245">
        <f t="shared" si="213"/>
        <v>28</v>
      </c>
      <c r="P1245">
        <v>0</v>
      </c>
      <c r="R1245" s="4">
        <v>0</v>
      </c>
      <c r="T1245" s="5">
        <v>7.2249999999999996</v>
      </c>
      <c r="W1245" s="4">
        <v>28</v>
      </c>
      <c r="X1245" s="4" t="str">
        <f t="shared" si="214"/>
        <v>Young Adult</v>
      </c>
      <c r="Y1245" s="4" t="s">
        <v>3561</v>
      </c>
      <c r="AB1245" s="4" t="str">
        <f t="shared" si="215"/>
        <v/>
      </c>
      <c r="AC1245" s="4" t="str">
        <f t="shared" si="216"/>
        <v>Unknown</v>
      </c>
      <c r="AD1245" s="4" t="s">
        <v>3566</v>
      </c>
      <c r="AG1245" s="4" t="str">
        <f t="shared" si="217"/>
        <v>Not Applicable</v>
      </c>
      <c r="AK1245" s="4" t="s">
        <v>3573</v>
      </c>
      <c r="AL1245" s="4" t="str">
        <f t="shared" si="218"/>
        <v>Found</v>
      </c>
      <c r="AN1245" s="6">
        <v>7.2249999999999996</v>
      </c>
      <c r="AO1245" s="4" t="str">
        <f t="shared" si="219"/>
        <v>Low</v>
      </c>
    </row>
    <row r="1246" spans="1:41">
      <c r="A1246">
        <v>3</v>
      </c>
      <c r="B1246" t="str">
        <f t="shared" si="209"/>
        <v>Third Class</v>
      </c>
      <c r="C1246">
        <v>1</v>
      </c>
      <c r="E1246" t="str">
        <f t="shared" si="210"/>
        <v>Survived</v>
      </c>
      <c r="F1246" t="s">
        <v>855</v>
      </c>
      <c r="G1246" t="s">
        <v>849</v>
      </c>
      <c r="H1246" t="s">
        <v>932</v>
      </c>
      <c r="I1246" t="str">
        <f t="shared" si="211"/>
        <v>Mrs. Thomas Alexander</v>
      </c>
      <c r="J1246" t="s">
        <v>47</v>
      </c>
      <c r="K1246" t="str">
        <f t="shared" si="212"/>
        <v>Female</v>
      </c>
      <c r="L1246">
        <v>16</v>
      </c>
      <c r="O1246">
        <f t="shared" si="213"/>
        <v>16</v>
      </c>
      <c r="P1246">
        <v>1</v>
      </c>
      <c r="R1246" s="4">
        <v>1</v>
      </c>
      <c r="T1246" s="5">
        <v>8.5167000000000002</v>
      </c>
      <c r="W1246" s="4">
        <v>16</v>
      </c>
      <c r="X1246" s="4" t="str">
        <f t="shared" si="214"/>
        <v>Teenager</v>
      </c>
      <c r="Y1246" s="4" t="s">
        <v>3561</v>
      </c>
      <c r="AB1246" s="4" t="str">
        <f t="shared" si="215"/>
        <v/>
      </c>
      <c r="AC1246" s="4" t="str">
        <f t="shared" si="216"/>
        <v>Unknown</v>
      </c>
      <c r="AD1246" s="4" t="s">
        <v>3566</v>
      </c>
      <c r="AF1246" s="4">
        <v>14</v>
      </c>
      <c r="AG1246" s="4">
        <f t="shared" si="217"/>
        <v>14</v>
      </c>
      <c r="AK1246" s="4" t="s">
        <v>3573</v>
      </c>
      <c r="AL1246" s="4" t="str">
        <f t="shared" si="218"/>
        <v>Found</v>
      </c>
      <c r="AN1246" s="6">
        <v>8.5167000000000002</v>
      </c>
      <c r="AO1246" s="4" t="str">
        <f t="shared" si="219"/>
        <v>Low</v>
      </c>
    </row>
    <row r="1247" spans="1:41">
      <c r="A1247">
        <v>3</v>
      </c>
      <c r="B1247" t="str">
        <f t="shared" si="209"/>
        <v>Third Class</v>
      </c>
      <c r="C1247">
        <v>0</v>
      </c>
      <c r="E1247" t="str">
        <f t="shared" si="210"/>
        <v>Died</v>
      </c>
      <c r="F1247" t="s">
        <v>882</v>
      </c>
      <c r="G1247" t="s">
        <v>848</v>
      </c>
      <c r="H1247" t="s">
        <v>932</v>
      </c>
      <c r="I1247" t="str">
        <f t="shared" si="211"/>
        <v>Mr. Thomson Alexander</v>
      </c>
      <c r="J1247" t="s">
        <v>20</v>
      </c>
      <c r="K1247" t="str">
        <f t="shared" si="212"/>
        <v>Male</v>
      </c>
      <c r="L1247">
        <v>28</v>
      </c>
      <c r="O1247">
        <f t="shared" si="213"/>
        <v>28</v>
      </c>
      <c r="P1247">
        <v>0</v>
      </c>
      <c r="R1247" s="4">
        <v>0</v>
      </c>
      <c r="T1247" s="5">
        <v>8.0500000000000007</v>
      </c>
      <c r="W1247" s="4">
        <v>28</v>
      </c>
      <c r="X1247" s="4" t="str">
        <f t="shared" si="214"/>
        <v>Young Adult</v>
      </c>
      <c r="Y1247" s="4" t="s">
        <v>3561</v>
      </c>
      <c r="AB1247" s="4" t="str">
        <f t="shared" si="215"/>
        <v/>
      </c>
      <c r="AC1247" s="4" t="str">
        <f t="shared" si="216"/>
        <v>Unknown</v>
      </c>
      <c r="AD1247" s="4" t="s">
        <v>457</v>
      </c>
      <c r="AG1247" s="4" t="str">
        <f t="shared" si="217"/>
        <v>Not Applicable</v>
      </c>
      <c r="AK1247" s="4" t="s">
        <v>3573</v>
      </c>
      <c r="AL1247" s="4" t="str">
        <f t="shared" si="218"/>
        <v>Found</v>
      </c>
      <c r="AN1247" s="6">
        <v>8.0500000000000007</v>
      </c>
      <c r="AO1247" s="4" t="str">
        <f t="shared" si="219"/>
        <v>Low</v>
      </c>
    </row>
    <row r="1248" spans="1:41">
      <c r="A1248">
        <v>3</v>
      </c>
      <c r="B1248" t="str">
        <f t="shared" si="209"/>
        <v>Third Class</v>
      </c>
      <c r="C1248">
        <v>0</v>
      </c>
      <c r="E1248" t="str">
        <f t="shared" si="210"/>
        <v>Died</v>
      </c>
      <c r="F1248" t="s">
        <v>2186</v>
      </c>
      <c r="G1248" t="s">
        <v>848</v>
      </c>
      <c r="H1248" t="s">
        <v>1252</v>
      </c>
      <c r="I1248" t="str">
        <f t="shared" si="211"/>
        <v>Mr. Thorneycroft Percival</v>
      </c>
      <c r="J1248" t="s">
        <v>20</v>
      </c>
      <c r="K1248" t="str">
        <f t="shared" si="212"/>
        <v>Male</v>
      </c>
      <c r="L1248">
        <v>28</v>
      </c>
      <c r="O1248">
        <f t="shared" si="213"/>
        <v>28</v>
      </c>
      <c r="P1248">
        <v>1</v>
      </c>
      <c r="R1248" s="4">
        <v>0</v>
      </c>
      <c r="T1248" s="5">
        <v>16.100000000000001</v>
      </c>
      <c r="W1248" s="4">
        <v>28</v>
      </c>
      <c r="X1248" s="4" t="str">
        <f t="shared" si="214"/>
        <v>Young Adult</v>
      </c>
      <c r="Y1248" s="4" t="s">
        <v>3561</v>
      </c>
      <c r="AB1248" s="4" t="str">
        <f t="shared" si="215"/>
        <v/>
      </c>
      <c r="AC1248" s="4" t="str">
        <f t="shared" si="216"/>
        <v>Unknown</v>
      </c>
      <c r="AD1248" s="4" t="s">
        <v>457</v>
      </c>
      <c r="AG1248" s="4" t="str">
        <f t="shared" si="217"/>
        <v>Not Applicable</v>
      </c>
      <c r="AK1248" s="4" t="s">
        <v>3573</v>
      </c>
      <c r="AL1248" s="4" t="str">
        <f t="shared" si="218"/>
        <v>Found</v>
      </c>
      <c r="AN1248" s="6">
        <v>16.100000000000001</v>
      </c>
      <c r="AO1248" s="4" t="str">
        <f t="shared" si="219"/>
        <v>Mid</v>
      </c>
    </row>
    <row r="1249" spans="1:41">
      <c r="A1249">
        <v>3</v>
      </c>
      <c r="B1249" t="str">
        <f t="shared" si="209"/>
        <v>Third Class</v>
      </c>
      <c r="C1249">
        <v>1</v>
      </c>
      <c r="E1249" t="str">
        <f t="shared" si="210"/>
        <v>Survived</v>
      </c>
      <c r="F1249" t="s">
        <v>2186</v>
      </c>
      <c r="G1249" t="s">
        <v>849</v>
      </c>
      <c r="H1249" t="s">
        <v>1252</v>
      </c>
      <c r="I1249" t="str">
        <f t="shared" si="211"/>
        <v>Mrs. Thorneycroft Percival</v>
      </c>
      <c r="J1249" t="s">
        <v>47</v>
      </c>
      <c r="K1249" t="str">
        <f t="shared" si="212"/>
        <v>Female</v>
      </c>
      <c r="L1249">
        <v>28</v>
      </c>
      <c r="O1249">
        <f t="shared" si="213"/>
        <v>28</v>
      </c>
      <c r="P1249">
        <v>1</v>
      </c>
      <c r="R1249" s="4">
        <v>0</v>
      </c>
      <c r="T1249" s="5">
        <v>16.100000000000001</v>
      </c>
      <c r="W1249" s="4">
        <v>28</v>
      </c>
      <c r="X1249" s="4" t="str">
        <f t="shared" si="214"/>
        <v>Young Adult</v>
      </c>
      <c r="Y1249" s="4" t="s">
        <v>3561</v>
      </c>
      <c r="AB1249" s="4" t="str">
        <f t="shared" si="215"/>
        <v/>
      </c>
      <c r="AC1249" s="4" t="str">
        <f t="shared" si="216"/>
        <v>Unknown</v>
      </c>
      <c r="AD1249" s="4" t="s">
        <v>457</v>
      </c>
      <c r="AF1249" s="4">
        <v>10</v>
      </c>
      <c r="AG1249" s="4">
        <f t="shared" si="217"/>
        <v>10</v>
      </c>
      <c r="AK1249" s="4" t="s">
        <v>3573</v>
      </c>
      <c r="AL1249" s="4" t="str">
        <f t="shared" si="218"/>
        <v>Found</v>
      </c>
      <c r="AN1249" s="6">
        <v>16.100000000000001</v>
      </c>
      <c r="AO1249" s="4" t="str">
        <f t="shared" si="219"/>
        <v>Mid</v>
      </c>
    </row>
    <row r="1250" spans="1:41">
      <c r="A1250">
        <v>3</v>
      </c>
      <c r="B1250" t="str">
        <f t="shared" si="209"/>
        <v>Third Class</v>
      </c>
      <c r="C1250">
        <v>0</v>
      </c>
      <c r="E1250" t="str">
        <f t="shared" si="210"/>
        <v>Died</v>
      </c>
      <c r="F1250" t="s">
        <v>2187</v>
      </c>
      <c r="G1250" t="s">
        <v>848</v>
      </c>
      <c r="H1250" t="s">
        <v>2175</v>
      </c>
      <c r="I1250" t="str">
        <f t="shared" si="211"/>
        <v>Mr. Tikkanen Juho</v>
      </c>
      <c r="J1250" t="s">
        <v>20</v>
      </c>
      <c r="K1250" t="str">
        <f t="shared" si="212"/>
        <v>Male</v>
      </c>
      <c r="L1250">
        <v>32</v>
      </c>
      <c r="O1250">
        <f t="shared" si="213"/>
        <v>32</v>
      </c>
      <c r="P1250">
        <v>0</v>
      </c>
      <c r="R1250" s="4">
        <v>0</v>
      </c>
      <c r="T1250" s="5">
        <v>7.9249999999999998</v>
      </c>
      <c r="W1250" s="4">
        <v>32</v>
      </c>
      <c r="X1250" s="4" t="str">
        <f t="shared" si="214"/>
        <v>Adult</v>
      </c>
      <c r="Y1250" s="4" t="s">
        <v>3561</v>
      </c>
      <c r="AB1250" s="4" t="str">
        <f t="shared" si="215"/>
        <v/>
      </c>
      <c r="AC1250" s="4" t="str">
        <f t="shared" si="216"/>
        <v>Unknown</v>
      </c>
      <c r="AD1250" s="4" t="s">
        <v>457</v>
      </c>
      <c r="AG1250" s="4" t="str">
        <f t="shared" si="217"/>
        <v>Not Applicable</v>
      </c>
      <c r="AK1250" s="4" t="s">
        <v>3573</v>
      </c>
      <c r="AL1250" s="4" t="str">
        <f t="shared" si="218"/>
        <v>Found</v>
      </c>
      <c r="AN1250" s="6">
        <v>7.9249999999999998</v>
      </c>
      <c r="AO1250" s="4" t="str">
        <f t="shared" si="219"/>
        <v>Low</v>
      </c>
    </row>
    <row r="1251" spans="1:41">
      <c r="A1251">
        <v>3</v>
      </c>
      <c r="B1251" t="str">
        <f t="shared" si="209"/>
        <v>Third Class</v>
      </c>
      <c r="C1251">
        <v>0</v>
      </c>
      <c r="E1251" t="str">
        <f t="shared" si="210"/>
        <v>Died</v>
      </c>
      <c r="F1251" t="s">
        <v>2188</v>
      </c>
      <c r="G1251" t="s">
        <v>848</v>
      </c>
      <c r="H1251" t="s">
        <v>1447</v>
      </c>
      <c r="I1251" t="str">
        <f t="shared" si="211"/>
        <v>Mr. Tobin Roger</v>
      </c>
      <c r="J1251" t="s">
        <v>20</v>
      </c>
      <c r="K1251" t="str">
        <f t="shared" si="212"/>
        <v>Male</v>
      </c>
      <c r="L1251">
        <v>28</v>
      </c>
      <c r="O1251">
        <f t="shared" si="213"/>
        <v>28</v>
      </c>
      <c r="P1251">
        <v>0</v>
      </c>
      <c r="R1251" s="4">
        <v>0</v>
      </c>
      <c r="T1251" s="5">
        <v>7.75</v>
      </c>
      <c r="W1251" s="4">
        <v>28</v>
      </c>
      <c r="X1251" s="4" t="str">
        <f t="shared" si="214"/>
        <v>Young Adult</v>
      </c>
      <c r="Y1251" s="4" t="s">
        <v>826</v>
      </c>
      <c r="AA1251" s="4" t="s">
        <v>826</v>
      </c>
      <c r="AB1251" s="4" t="str">
        <f t="shared" si="215"/>
        <v>F</v>
      </c>
      <c r="AC1251" s="4" t="str">
        <f t="shared" si="216"/>
        <v>F</v>
      </c>
      <c r="AD1251" s="4" t="s">
        <v>3567</v>
      </c>
      <c r="AG1251" s="4" t="str">
        <f t="shared" si="217"/>
        <v>Not Applicable</v>
      </c>
      <c r="AK1251" s="4" t="s">
        <v>3573</v>
      </c>
      <c r="AL1251" s="4" t="str">
        <f t="shared" si="218"/>
        <v>Found</v>
      </c>
      <c r="AN1251" s="6">
        <v>7.75</v>
      </c>
      <c r="AO1251" s="4" t="str">
        <f t="shared" si="219"/>
        <v>Low</v>
      </c>
    </row>
    <row r="1252" spans="1:41">
      <c r="A1252">
        <v>3</v>
      </c>
      <c r="B1252" t="str">
        <f t="shared" si="209"/>
        <v>Third Class</v>
      </c>
      <c r="C1252">
        <v>0</v>
      </c>
      <c r="E1252" t="str">
        <f t="shared" si="210"/>
        <v>Died</v>
      </c>
      <c r="F1252" t="s">
        <v>2189</v>
      </c>
      <c r="G1252" t="s">
        <v>848</v>
      </c>
      <c r="H1252" t="s">
        <v>1843</v>
      </c>
      <c r="I1252" t="str">
        <f t="shared" si="211"/>
        <v>Mr. Todoroff Lalio</v>
      </c>
      <c r="J1252" t="s">
        <v>20</v>
      </c>
      <c r="K1252" t="str">
        <f t="shared" si="212"/>
        <v>Male</v>
      </c>
      <c r="L1252">
        <v>28</v>
      </c>
      <c r="O1252">
        <f t="shared" si="213"/>
        <v>28</v>
      </c>
      <c r="P1252">
        <v>0</v>
      </c>
      <c r="R1252" s="4">
        <v>0</v>
      </c>
      <c r="T1252" s="5">
        <v>7.8958000000000004</v>
      </c>
      <c r="W1252" s="4">
        <v>28</v>
      </c>
      <c r="X1252" s="4" t="str">
        <f t="shared" si="214"/>
        <v>Young Adult</v>
      </c>
      <c r="Y1252" s="4" t="s">
        <v>3561</v>
      </c>
      <c r="AB1252" s="4" t="str">
        <f t="shared" si="215"/>
        <v/>
      </c>
      <c r="AC1252" s="4" t="str">
        <f t="shared" si="216"/>
        <v>Unknown</v>
      </c>
      <c r="AD1252" s="4" t="s">
        <v>457</v>
      </c>
      <c r="AG1252" s="4" t="str">
        <f t="shared" si="217"/>
        <v>Not Applicable</v>
      </c>
      <c r="AK1252" s="4" t="s">
        <v>3573</v>
      </c>
      <c r="AL1252" s="4" t="str">
        <f t="shared" si="218"/>
        <v>Found</v>
      </c>
      <c r="AN1252" s="6">
        <v>7.8958000000000004</v>
      </c>
      <c r="AO1252" s="4" t="str">
        <f t="shared" si="219"/>
        <v>Low</v>
      </c>
    </row>
    <row r="1253" spans="1:41">
      <c r="A1253">
        <v>3</v>
      </c>
      <c r="B1253" t="str">
        <f t="shared" si="209"/>
        <v>Third Class</v>
      </c>
      <c r="C1253">
        <v>0</v>
      </c>
      <c r="E1253" t="str">
        <f t="shared" si="210"/>
        <v>Died</v>
      </c>
      <c r="F1253" t="s">
        <v>2190</v>
      </c>
      <c r="G1253" t="s">
        <v>848</v>
      </c>
      <c r="H1253" t="s">
        <v>945</v>
      </c>
      <c r="I1253" t="str">
        <f t="shared" si="211"/>
        <v>Mr. Tomlin Ernest</v>
      </c>
      <c r="J1253" t="s">
        <v>20</v>
      </c>
      <c r="K1253" t="str">
        <f t="shared" si="212"/>
        <v>Male</v>
      </c>
      <c r="L1253">
        <v>30.5</v>
      </c>
      <c r="O1253">
        <f t="shared" si="213"/>
        <v>31</v>
      </c>
      <c r="P1253">
        <v>0</v>
      </c>
      <c r="R1253" s="4">
        <v>0</v>
      </c>
      <c r="T1253" s="5">
        <v>8.0500000000000007</v>
      </c>
      <c r="W1253" s="4">
        <v>31</v>
      </c>
      <c r="X1253" s="4" t="str">
        <f t="shared" si="214"/>
        <v>Adult</v>
      </c>
      <c r="Y1253" s="4" t="s">
        <v>3561</v>
      </c>
      <c r="AB1253" s="4" t="str">
        <f t="shared" si="215"/>
        <v/>
      </c>
      <c r="AC1253" s="4" t="str">
        <f t="shared" si="216"/>
        <v>Unknown</v>
      </c>
      <c r="AD1253" s="4" t="s">
        <v>457</v>
      </c>
      <c r="AG1253" s="4" t="str">
        <f t="shared" si="217"/>
        <v>Not Applicable</v>
      </c>
      <c r="AH1253" s="4">
        <v>50</v>
      </c>
      <c r="AK1253" s="4">
        <v>50</v>
      </c>
      <c r="AL1253" s="4" t="str">
        <f t="shared" si="218"/>
        <v>Found</v>
      </c>
      <c r="AN1253" s="6">
        <v>8.0500000000000007</v>
      </c>
      <c r="AO1253" s="4" t="str">
        <f t="shared" si="219"/>
        <v>Low</v>
      </c>
    </row>
    <row r="1254" spans="1:41">
      <c r="A1254">
        <v>3</v>
      </c>
      <c r="B1254" t="str">
        <f t="shared" si="209"/>
        <v>Third Class</v>
      </c>
      <c r="C1254">
        <v>0</v>
      </c>
      <c r="E1254" t="str">
        <f t="shared" si="210"/>
        <v>Died</v>
      </c>
      <c r="F1254" t="s">
        <v>2191</v>
      </c>
      <c r="G1254" t="s">
        <v>848</v>
      </c>
      <c r="H1254" t="s">
        <v>1497</v>
      </c>
      <c r="I1254" t="str">
        <f t="shared" si="211"/>
        <v>Mr. Torber Ernst</v>
      </c>
      <c r="J1254" t="s">
        <v>20</v>
      </c>
      <c r="K1254" t="str">
        <f t="shared" si="212"/>
        <v>Male</v>
      </c>
      <c r="L1254">
        <v>44</v>
      </c>
      <c r="O1254">
        <f t="shared" si="213"/>
        <v>44</v>
      </c>
      <c r="P1254">
        <v>0</v>
      </c>
      <c r="R1254" s="4">
        <v>0</v>
      </c>
      <c r="T1254" s="5">
        <v>8.0500000000000007</v>
      </c>
      <c r="W1254" s="4">
        <v>44</v>
      </c>
      <c r="X1254" s="4" t="str">
        <f t="shared" si="214"/>
        <v>Adult</v>
      </c>
      <c r="Y1254" s="4" t="s">
        <v>3561</v>
      </c>
      <c r="AB1254" s="4" t="str">
        <f t="shared" si="215"/>
        <v/>
      </c>
      <c r="AC1254" s="4" t="str">
        <f t="shared" si="216"/>
        <v>Unknown</v>
      </c>
      <c r="AD1254" s="4" t="s">
        <v>457</v>
      </c>
      <c r="AG1254" s="4" t="str">
        <f t="shared" si="217"/>
        <v>Not Applicable</v>
      </c>
      <c r="AK1254" s="4" t="s">
        <v>3573</v>
      </c>
      <c r="AL1254" s="4" t="str">
        <f t="shared" si="218"/>
        <v>Found</v>
      </c>
      <c r="AN1254" s="6">
        <v>8.0500000000000007</v>
      </c>
      <c r="AO1254" s="4" t="str">
        <f t="shared" si="219"/>
        <v>Low</v>
      </c>
    </row>
    <row r="1255" spans="1:41">
      <c r="A1255">
        <v>3</v>
      </c>
      <c r="B1255" t="str">
        <f t="shared" si="209"/>
        <v>Third Class</v>
      </c>
      <c r="C1255">
        <v>0</v>
      </c>
      <c r="E1255" t="str">
        <f t="shared" si="210"/>
        <v>Died</v>
      </c>
      <c r="F1255" t="s">
        <v>2192</v>
      </c>
      <c r="G1255" t="s">
        <v>848</v>
      </c>
      <c r="H1255" t="s">
        <v>2185</v>
      </c>
      <c r="I1255" t="str">
        <f t="shared" si="211"/>
        <v>Mr. Torfa Assad</v>
      </c>
      <c r="J1255" t="s">
        <v>20</v>
      </c>
      <c r="K1255" t="str">
        <f t="shared" si="212"/>
        <v>Male</v>
      </c>
      <c r="L1255">
        <v>28</v>
      </c>
      <c r="O1255">
        <f t="shared" si="213"/>
        <v>28</v>
      </c>
      <c r="P1255">
        <v>0</v>
      </c>
      <c r="R1255" s="4">
        <v>0</v>
      </c>
      <c r="T1255" s="5">
        <v>7.2291999999999996</v>
      </c>
      <c r="W1255" s="4">
        <v>28</v>
      </c>
      <c r="X1255" s="4" t="str">
        <f t="shared" si="214"/>
        <v>Young Adult</v>
      </c>
      <c r="Y1255" s="4" t="s">
        <v>3561</v>
      </c>
      <c r="AB1255" s="4" t="str">
        <f t="shared" si="215"/>
        <v/>
      </c>
      <c r="AC1255" s="4" t="str">
        <f t="shared" si="216"/>
        <v>Unknown</v>
      </c>
      <c r="AD1255" s="4" t="s">
        <v>3566</v>
      </c>
      <c r="AG1255" s="4" t="str">
        <f t="shared" si="217"/>
        <v>Not Applicable</v>
      </c>
      <c r="AK1255" s="4" t="s">
        <v>3573</v>
      </c>
      <c r="AL1255" s="4" t="str">
        <f t="shared" si="218"/>
        <v>Found</v>
      </c>
      <c r="AN1255" s="6">
        <v>7.2291999999999996</v>
      </c>
      <c r="AO1255" s="4" t="str">
        <f t="shared" si="219"/>
        <v>Low</v>
      </c>
    </row>
    <row r="1256" spans="1:41">
      <c r="A1256">
        <v>3</v>
      </c>
      <c r="B1256" t="str">
        <f t="shared" si="209"/>
        <v>Third Class</v>
      </c>
      <c r="C1256">
        <v>1</v>
      </c>
      <c r="E1256" t="str">
        <f t="shared" si="210"/>
        <v>Survived</v>
      </c>
      <c r="F1256" t="s">
        <v>2193</v>
      </c>
      <c r="G1256" t="s">
        <v>848</v>
      </c>
      <c r="H1256" t="s">
        <v>924</v>
      </c>
      <c r="I1256" t="str">
        <f t="shared" si="211"/>
        <v>Mr. Tornquist William</v>
      </c>
      <c r="J1256" t="s">
        <v>20</v>
      </c>
      <c r="K1256" t="str">
        <f t="shared" si="212"/>
        <v>Male</v>
      </c>
      <c r="L1256">
        <v>25</v>
      </c>
      <c r="O1256">
        <f t="shared" si="213"/>
        <v>25</v>
      </c>
      <c r="P1256">
        <v>0</v>
      </c>
      <c r="R1256" s="4">
        <v>0</v>
      </c>
      <c r="T1256" s="5">
        <v>0</v>
      </c>
      <c r="W1256" s="4">
        <v>25</v>
      </c>
      <c r="X1256" s="4" t="str">
        <f t="shared" si="214"/>
        <v>Young Adult</v>
      </c>
      <c r="Y1256" s="4" t="s">
        <v>3561</v>
      </c>
      <c r="AB1256" s="4" t="str">
        <f t="shared" si="215"/>
        <v/>
      </c>
      <c r="AC1256" s="4" t="str">
        <f t="shared" si="216"/>
        <v>Unknown</v>
      </c>
      <c r="AD1256" s="4" t="s">
        <v>457</v>
      </c>
      <c r="AF1256" s="4">
        <v>15</v>
      </c>
      <c r="AG1256" s="4">
        <f t="shared" si="217"/>
        <v>15</v>
      </c>
      <c r="AK1256" s="4" t="s">
        <v>3573</v>
      </c>
      <c r="AL1256" s="4" t="str">
        <f t="shared" si="218"/>
        <v>Found</v>
      </c>
      <c r="AN1256" s="6">
        <v>0</v>
      </c>
      <c r="AO1256" s="4" t="str">
        <f t="shared" si="219"/>
        <v>Low</v>
      </c>
    </row>
    <row r="1257" spans="1:41">
      <c r="A1257">
        <v>3</v>
      </c>
      <c r="B1257" t="str">
        <f t="shared" si="209"/>
        <v>Third Class</v>
      </c>
      <c r="C1257">
        <v>0</v>
      </c>
      <c r="E1257" t="str">
        <f t="shared" si="210"/>
        <v>Died</v>
      </c>
      <c r="F1257" t="s">
        <v>2194</v>
      </c>
      <c r="G1257" t="s">
        <v>848</v>
      </c>
      <c r="H1257" t="s">
        <v>2195</v>
      </c>
      <c r="I1257" t="str">
        <f t="shared" si="211"/>
        <v>Mr. Toufik Nakli</v>
      </c>
      <c r="J1257" t="s">
        <v>20</v>
      </c>
      <c r="K1257" t="str">
        <f t="shared" si="212"/>
        <v>Male</v>
      </c>
      <c r="L1257">
        <v>28</v>
      </c>
      <c r="O1257">
        <f t="shared" si="213"/>
        <v>28</v>
      </c>
      <c r="P1257">
        <v>0</v>
      </c>
      <c r="R1257" s="4">
        <v>0</v>
      </c>
      <c r="T1257" s="5">
        <v>7.2291999999999996</v>
      </c>
      <c r="W1257" s="4">
        <v>28</v>
      </c>
      <c r="X1257" s="4" t="str">
        <f t="shared" si="214"/>
        <v>Young Adult</v>
      </c>
      <c r="Y1257" s="4" t="s">
        <v>3561</v>
      </c>
      <c r="AB1257" s="4" t="str">
        <f t="shared" si="215"/>
        <v/>
      </c>
      <c r="AC1257" s="4" t="str">
        <f t="shared" si="216"/>
        <v>Unknown</v>
      </c>
      <c r="AD1257" s="4" t="s">
        <v>3566</v>
      </c>
      <c r="AG1257" s="4" t="str">
        <f t="shared" si="217"/>
        <v>Not Applicable</v>
      </c>
      <c r="AK1257" s="4" t="s">
        <v>3573</v>
      </c>
      <c r="AL1257" s="4" t="str">
        <f t="shared" si="218"/>
        <v>Found</v>
      </c>
      <c r="AN1257" s="6">
        <v>7.2291999999999996</v>
      </c>
      <c r="AO1257" s="4" t="str">
        <f t="shared" si="219"/>
        <v>Low</v>
      </c>
    </row>
    <row r="1258" spans="1:41">
      <c r="A1258">
        <v>3</v>
      </c>
      <c r="B1258" t="str">
        <f t="shared" si="209"/>
        <v>Third Class</v>
      </c>
      <c r="C1258">
        <v>1</v>
      </c>
      <c r="E1258" t="str">
        <f t="shared" si="210"/>
        <v>Survived</v>
      </c>
      <c r="F1258" t="s">
        <v>2196</v>
      </c>
      <c r="G1258" t="s">
        <v>845</v>
      </c>
      <c r="H1258" t="s">
        <v>2197</v>
      </c>
      <c r="I1258" t="str">
        <f t="shared" si="211"/>
        <v>Master. Touma Georges</v>
      </c>
      <c r="J1258" t="s">
        <v>20</v>
      </c>
      <c r="K1258" t="str">
        <f t="shared" si="212"/>
        <v>Male</v>
      </c>
      <c r="L1258">
        <v>7</v>
      </c>
      <c r="O1258">
        <f t="shared" si="213"/>
        <v>7</v>
      </c>
      <c r="P1258">
        <v>1</v>
      </c>
      <c r="R1258" s="4">
        <v>1</v>
      </c>
      <c r="T1258" s="5">
        <v>15.245799999999999</v>
      </c>
      <c r="W1258" s="4">
        <v>7</v>
      </c>
      <c r="X1258" s="4" t="str">
        <f t="shared" si="214"/>
        <v>Child</v>
      </c>
      <c r="Y1258" s="4" t="s">
        <v>3561</v>
      </c>
      <c r="AB1258" s="4" t="str">
        <f t="shared" si="215"/>
        <v/>
      </c>
      <c r="AC1258" s="4" t="str">
        <f t="shared" si="216"/>
        <v>Unknown</v>
      </c>
      <c r="AD1258" s="4" t="s">
        <v>3566</v>
      </c>
      <c r="AF1258" s="4" t="s">
        <v>62</v>
      </c>
      <c r="AG1258" s="4" t="str">
        <f t="shared" si="217"/>
        <v>C</v>
      </c>
      <c r="AK1258" s="4" t="s">
        <v>3573</v>
      </c>
      <c r="AL1258" s="4" t="str">
        <f t="shared" si="218"/>
        <v>Found</v>
      </c>
      <c r="AN1258" s="6">
        <v>15.245799999999999</v>
      </c>
      <c r="AO1258" s="4" t="str">
        <f t="shared" si="219"/>
        <v>Mid</v>
      </c>
    </row>
    <row r="1259" spans="1:41">
      <c r="A1259">
        <v>3</v>
      </c>
      <c r="B1259" t="str">
        <f t="shared" si="209"/>
        <v>Third Class</v>
      </c>
      <c r="C1259">
        <v>1</v>
      </c>
      <c r="E1259" t="str">
        <f t="shared" si="210"/>
        <v>Survived</v>
      </c>
      <c r="F1259" t="s">
        <v>2196</v>
      </c>
      <c r="G1259" t="s">
        <v>842</v>
      </c>
      <c r="H1259" t="s">
        <v>1195</v>
      </c>
      <c r="I1259" t="str">
        <f t="shared" si="211"/>
        <v>Miss. Touma Maria</v>
      </c>
      <c r="J1259" t="s">
        <v>47</v>
      </c>
      <c r="K1259" t="str">
        <f t="shared" si="212"/>
        <v>Female</v>
      </c>
      <c r="L1259">
        <v>9</v>
      </c>
      <c r="O1259">
        <f t="shared" si="213"/>
        <v>9</v>
      </c>
      <c r="P1259">
        <v>1</v>
      </c>
      <c r="R1259" s="4">
        <v>1</v>
      </c>
      <c r="T1259" s="5">
        <v>15.245799999999999</v>
      </c>
      <c r="W1259" s="4">
        <v>9</v>
      </c>
      <c r="X1259" s="4" t="str">
        <f t="shared" si="214"/>
        <v>Child</v>
      </c>
      <c r="Y1259" s="4" t="s">
        <v>3561</v>
      </c>
      <c r="AB1259" s="4" t="str">
        <f t="shared" si="215"/>
        <v/>
      </c>
      <c r="AC1259" s="4" t="str">
        <f t="shared" si="216"/>
        <v>Unknown</v>
      </c>
      <c r="AD1259" s="4" t="s">
        <v>3566</v>
      </c>
      <c r="AF1259" s="4" t="s">
        <v>62</v>
      </c>
      <c r="AG1259" s="4" t="str">
        <f t="shared" si="217"/>
        <v>C</v>
      </c>
      <c r="AK1259" s="4" t="s">
        <v>3573</v>
      </c>
      <c r="AL1259" s="4" t="str">
        <f t="shared" si="218"/>
        <v>Found</v>
      </c>
      <c r="AN1259" s="6">
        <v>15.245799999999999</v>
      </c>
      <c r="AO1259" s="4" t="str">
        <f t="shared" si="219"/>
        <v>Mid</v>
      </c>
    </row>
    <row r="1260" spans="1:41">
      <c r="A1260">
        <v>3</v>
      </c>
      <c r="B1260" t="str">
        <f t="shared" si="209"/>
        <v>Third Class</v>
      </c>
      <c r="C1260">
        <v>1</v>
      </c>
      <c r="E1260" t="str">
        <f t="shared" si="210"/>
        <v>Survived</v>
      </c>
      <c r="F1260" t="s">
        <v>2196</v>
      </c>
      <c r="G1260" t="s">
        <v>849</v>
      </c>
      <c r="H1260" t="s">
        <v>2198</v>
      </c>
      <c r="I1260" t="str">
        <f t="shared" si="211"/>
        <v>Mrs. Touma Darwis</v>
      </c>
      <c r="J1260" t="s">
        <v>47</v>
      </c>
      <c r="K1260" t="str">
        <f t="shared" si="212"/>
        <v>Female</v>
      </c>
      <c r="L1260">
        <v>29</v>
      </c>
      <c r="O1260">
        <f t="shared" si="213"/>
        <v>29</v>
      </c>
      <c r="P1260">
        <v>0</v>
      </c>
      <c r="R1260" s="4">
        <v>2</v>
      </c>
      <c r="T1260" s="5">
        <v>15.245799999999999</v>
      </c>
      <c r="W1260" s="4">
        <v>29</v>
      </c>
      <c r="X1260" s="4" t="str">
        <f t="shared" si="214"/>
        <v>Young Adult</v>
      </c>
      <c r="Y1260" s="4" t="s">
        <v>3561</v>
      </c>
      <c r="AB1260" s="4" t="str">
        <f t="shared" si="215"/>
        <v/>
      </c>
      <c r="AC1260" s="4" t="str">
        <f t="shared" si="216"/>
        <v>Unknown</v>
      </c>
      <c r="AD1260" s="4" t="s">
        <v>3566</v>
      </c>
      <c r="AF1260" s="4" t="s">
        <v>62</v>
      </c>
      <c r="AG1260" s="4" t="str">
        <f t="shared" si="217"/>
        <v>C</v>
      </c>
      <c r="AK1260" s="4" t="s">
        <v>3573</v>
      </c>
      <c r="AL1260" s="4" t="str">
        <f t="shared" si="218"/>
        <v>Found</v>
      </c>
      <c r="AN1260" s="6">
        <v>15.245799999999999</v>
      </c>
      <c r="AO1260" s="4" t="str">
        <f t="shared" si="219"/>
        <v>Mid</v>
      </c>
    </row>
    <row r="1261" spans="1:41">
      <c r="A1261">
        <v>3</v>
      </c>
      <c r="B1261" t="str">
        <f t="shared" si="209"/>
        <v>Third Class</v>
      </c>
      <c r="C1261">
        <v>0</v>
      </c>
      <c r="E1261" t="str">
        <f t="shared" si="210"/>
        <v>Died</v>
      </c>
      <c r="F1261" t="s">
        <v>2199</v>
      </c>
      <c r="G1261" t="s">
        <v>848</v>
      </c>
      <c r="H1261" t="s">
        <v>2200</v>
      </c>
      <c r="I1261" t="str">
        <f t="shared" si="211"/>
        <v>Mr. Turcin Stjepan</v>
      </c>
      <c r="J1261" t="s">
        <v>20</v>
      </c>
      <c r="K1261" t="str">
        <f t="shared" si="212"/>
        <v>Male</v>
      </c>
      <c r="L1261">
        <v>36</v>
      </c>
      <c r="O1261">
        <f t="shared" si="213"/>
        <v>36</v>
      </c>
      <c r="P1261">
        <v>0</v>
      </c>
      <c r="R1261" s="4">
        <v>0</v>
      </c>
      <c r="T1261" s="5">
        <v>7.8958000000000004</v>
      </c>
      <c r="W1261" s="4">
        <v>36</v>
      </c>
      <c r="X1261" s="4" t="str">
        <f t="shared" si="214"/>
        <v>Adult</v>
      </c>
      <c r="Y1261" s="4" t="s">
        <v>3561</v>
      </c>
      <c r="AB1261" s="4" t="str">
        <f t="shared" si="215"/>
        <v/>
      </c>
      <c r="AC1261" s="4" t="str">
        <f t="shared" si="216"/>
        <v>Unknown</v>
      </c>
      <c r="AD1261" s="4" t="s">
        <v>457</v>
      </c>
      <c r="AG1261" s="4" t="str">
        <f t="shared" si="217"/>
        <v>Not Applicable</v>
      </c>
      <c r="AK1261" s="4" t="s">
        <v>3573</v>
      </c>
      <c r="AL1261" s="4" t="str">
        <f t="shared" si="218"/>
        <v>Found</v>
      </c>
      <c r="AN1261" s="6">
        <v>7.8958000000000004</v>
      </c>
      <c r="AO1261" s="4" t="str">
        <f t="shared" si="219"/>
        <v>Low</v>
      </c>
    </row>
    <row r="1262" spans="1:41">
      <c r="A1262">
        <v>3</v>
      </c>
      <c r="B1262" t="str">
        <f t="shared" si="209"/>
        <v>Third Class</v>
      </c>
      <c r="C1262">
        <v>1</v>
      </c>
      <c r="E1262" t="str">
        <f t="shared" si="210"/>
        <v>Survived</v>
      </c>
      <c r="F1262" t="s">
        <v>2201</v>
      </c>
      <c r="G1262" t="s">
        <v>842</v>
      </c>
      <c r="H1262" t="s">
        <v>1247</v>
      </c>
      <c r="I1262" t="str">
        <f t="shared" si="211"/>
        <v>Miss. Turja Anna</v>
      </c>
      <c r="J1262" t="s">
        <v>47</v>
      </c>
      <c r="K1262" t="str">
        <f t="shared" si="212"/>
        <v>Female</v>
      </c>
      <c r="L1262">
        <v>18</v>
      </c>
      <c r="O1262">
        <f t="shared" si="213"/>
        <v>18</v>
      </c>
      <c r="P1262">
        <v>0</v>
      </c>
      <c r="R1262" s="4">
        <v>0</v>
      </c>
      <c r="T1262" s="5">
        <v>9.8416999999999994</v>
      </c>
      <c r="W1262" s="4">
        <v>18</v>
      </c>
      <c r="X1262" s="4" t="str">
        <f t="shared" si="214"/>
        <v>Young Adult</v>
      </c>
      <c r="Y1262" s="4" t="s">
        <v>3561</v>
      </c>
      <c r="AB1262" s="4" t="str">
        <f t="shared" si="215"/>
        <v/>
      </c>
      <c r="AC1262" s="4" t="str">
        <f t="shared" si="216"/>
        <v>Unknown</v>
      </c>
      <c r="AD1262" s="4" t="s">
        <v>457</v>
      </c>
      <c r="AF1262" s="4">
        <v>15</v>
      </c>
      <c r="AG1262" s="4">
        <f t="shared" si="217"/>
        <v>15</v>
      </c>
      <c r="AK1262" s="4" t="s">
        <v>3573</v>
      </c>
      <c r="AL1262" s="4" t="str">
        <f t="shared" si="218"/>
        <v>Found</v>
      </c>
      <c r="AN1262" s="6">
        <v>9.8416999999999994</v>
      </c>
      <c r="AO1262" s="4" t="str">
        <f t="shared" si="219"/>
        <v>Low</v>
      </c>
    </row>
    <row r="1263" spans="1:41">
      <c r="A1263">
        <v>3</v>
      </c>
      <c r="B1263" t="str">
        <f t="shared" si="209"/>
        <v>Third Class</v>
      </c>
      <c r="C1263">
        <v>1</v>
      </c>
      <c r="E1263" t="str">
        <f t="shared" si="210"/>
        <v>Survived</v>
      </c>
      <c r="F1263" t="s">
        <v>2202</v>
      </c>
      <c r="G1263" t="s">
        <v>849</v>
      </c>
      <c r="H1263" t="s">
        <v>2203</v>
      </c>
      <c r="I1263" t="str">
        <f t="shared" si="211"/>
        <v>Mrs. Turkula (Hedwig)</v>
      </c>
      <c r="J1263" t="s">
        <v>47</v>
      </c>
      <c r="K1263" t="str">
        <f t="shared" si="212"/>
        <v>Female</v>
      </c>
      <c r="L1263">
        <v>63</v>
      </c>
      <c r="O1263">
        <f t="shared" si="213"/>
        <v>63</v>
      </c>
      <c r="P1263">
        <v>0</v>
      </c>
      <c r="R1263" s="4">
        <v>0</v>
      </c>
      <c r="T1263" s="5">
        <v>9.5875000000000004</v>
      </c>
      <c r="W1263" s="4">
        <v>63</v>
      </c>
      <c r="X1263" s="4" t="str">
        <f t="shared" si="214"/>
        <v>Old Adult</v>
      </c>
      <c r="Y1263" s="4" t="s">
        <v>3561</v>
      </c>
      <c r="AB1263" s="4" t="str">
        <f t="shared" si="215"/>
        <v/>
      </c>
      <c r="AC1263" s="4" t="str">
        <f t="shared" si="216"/>
        <v>Unknown</v>
      </c>
      <c r="AD1263" s="4" t="s">
        <v>457</v>
      </c>
      <c r="AF1263" s="4">
        <v>15</v>
      </c>
      <c r="AG1263" s="4">
        <f t="shared" si="217"/>
        <v>15</v>
      </c>
      <c r="AK1263" s="4" t="s">
        <v>3573</v>
      </c>
      <c r="AL1263" s="4" t="str">
        <f t="shared" si="218"/>
        <v>Found</v>
      </c>
      <c r="AN1263" s="6">
        <v>9.5875000000000004</v>
      </c>
      <c r="AO1263" s="4" t="str">
        <f t="shared" si="219"/>
        <v>Low</v>
      </c>
    </row>
    <row r="1264" spans="1:41">
      <c r="A1264">
        <v>3</v>
      </c>
      <c r="B1264" t="str">
        <f t="shared" si="209"/>
        <v>Third Class</v>
      </c>
      <c r="C1264">
        <v>0</v>
      </c>
      <c r="E1264" t="str">
        <f t="shared" si="210"/>
        <v>Died</v>
      </c>
      <c r="F1264" t="s">
        <v>2204</v>
      </c>
      <c r="G1264" t="s">
        <v>2205</v>
      </c>
      <c r="H1264" t="s">
        <v>845</v>
      </c>
      <c r="I1264" t="str">
        <f t="shared" si="211"/>
        <v>Billiard van Master.</v>
      </c>
      <c r="J1264" t="s">
        <v>20</v>
      </c>
      <c r="K1264" t="str">
        <f t="shared" si="212"/>
        <v>Male</v>
      </c>
      <c r="L1264">
        <v>28</v>
      </c>
      <c r="O1264">
        <f t="shared" si="213"/>
        <v>28</v>
      </c>
      <c r="P1264">
        <v>1</v>
      </c>
      <c r="R1264" s="4">
        <v>1</v>
      </c>
      <c r="T1264" s="5">
        <v>14.5</v>
      </c>
      <c r="W1264" s="4">
        <v>28</v>
      </c>
      <c r="X1264" s="4" t="str">
        <f t="shared" si="214"/>
        <v>Young Adult</v>
      </c>
      <c r="Y1264" s="4" t="s">
        <v>3561</v>
      </c>
      <c r="AB1264" s="4" t="str">
        <f t="shared" si="215"/>
        <v/>
      </c>
      <c r="AC1264" s="4" t="str">
        <f t="shared" si="216"/>
        <v>Unknown</v>
      </c>
      <c r="AD1264" s="4" t="s">
        <v>457</v>
      </c>
      <c r="AG1264" s="4" t="str">
        <f t="shared" si="217"/>
        <v>Not Applicable</v>
      </c>
      <c r="AK1264" s="4" t="s">
        <v>3573</v>
      </c>
      <c r="AL1264" s="4" t="str">
        <f t="shared" si="218"/>
        <v>Found</v>
      </c>
      <c r="AN1264" s="6">
        <v>14.5</v>
      </c>
      <c r="AO1264" s="4" t="str">
        <f t="shared" si="219"/>
        <v>Mid</v>
      </c>
    </row>
    <row r="1265" spans="1:41">
      <c r="A1265">
        <v>3</v>
      </c>
      <c r="B1265" t="str">
        <f t="shared" si="209"/>
        <v>Third Class</v>
      </c>
      <c r="C1265">
        <v>0</v>
      </c>
      <c r="E1265" t="str">
        <f t="shared" si="210"/>
        <v>Died</v>
      </c>
      <c r="F1265" t="s">
        <v>2204</v>
      </c>
      <c r="G1265" t="s">
        <v>2205</v>
      </c>
      <c r="H1265" t="s">
        <v>845</v>
      </c>
      <c r="I1265" t="str">
        <f t="shared" si="211"/>
        <v>Billiard van Master.</v>
      </c>
      <c r="J1265" t="s">
        <v>20</v>
      </c>
      <c r="K1265" t="str">
        <f t="shared" si="212"/>
        <v>Male</v>
      </c>
      <c r="L1265">
        <v>11.5</v>
      </c>
      <c r="O1265">
        <f t="shared" si="213"/>
        <v>12</v>
      </c>
      <c r="P1265">
        <v>1</v>
      </c>
      <c r="R1265" s="4">
        <v>1</v>
      </c>
      <c r="T1265" s="5">
        <v>14.5</v>
      </c>
      <c r="W1265" s="4">
        <v>12</v>
      </c>
      <c r="X1265" s="4" t="str">
        <f t="shared" si="214"/>
        <v>Teenager</v>
      </c>
      <c r="Y1265" s="4" t="s">
        <v>3561</v>
      </c>
      <c r="AB1265" s="4" t="str">
        <f t="shared" si="215"/>
        <v/>
      </c>
      <c r="AC1265" s="4" t="str">
        <f t="shared" si="216"/>
        <v>Unknown</v>
      </c>
      <c r="AD1265" s="4" t="s">
        <v>457</v>
      </c>
      <c r="AG1265" s="4" t="str">
        <f t="shared" si="217"/>
        <v>Not Applicable</v>
      </c>
      <c r="AH1265" s="4">
        <v>1</v>
      </c>
      <c r="AK1265" s="4">
        <v>1</v>
      </c>
      <c r="AL1265" s="4" t="str">
        <f t="shared" si="218"/>
        <v>Found</v>
      </c>
      <c r="AN1265" s="6">
        <v>14.5</v>
      </c>
      <c r="AO1265" s="4" t="str">
        <f t="shared" si="219"/>
        <v>Mid</v>
      </c>
    </row>
    <row r="1266" spans="1:41">
      <c r="A1266">
        <v>3</v>
      </c>
      <c r="B1266" t="str">
        <f t="shared" si="209"/>
        <v>Third Class</v>
      </c>
      <c r="C1266">
        <v>0</v>
      </c>
      <c r="E1266" t="str">
        <f t="shared" si="210"/>
        <v>Died</v>
      </c>
      <c r="F1266" t="s">
        <v>2204</v>
      </c>
      <c r="G1266" t="s">
        <v>2205</v>
      </c>
      <c r="H1266" t="s">
        <v>848</v>
      </c>
      <c r="I1266" t="str">
        <f t="shared" si="211"/>
        <v>Billiard van Mr.</v>
      </c>
      <c r="J1266" t="s">
        <v>20</v>
      </c>
      <c r="K1266" t="str">
        <f t="shared" si="212"/>
        <v>Male</v>
      </c>
      <c r="L1266">
        <v>40.5</v>
      </c>
      <c r="O1266">
        <f t="shared" si="213"/>
        <v>41</v>
      </c>
      <c r="P1266">
        <v>0</v>
      </c>
      <c r="R1266" s="4">
        <v>2</v>
      </c>
      <c r="T1266" s="5">
        <v>14.5</v>
      </c>
      <c r="W1266" s="4">
        <v>41</v>
      </c>
      <c r="X1266" s="4" t="str">
        <f t="shared" si="214"/>
        <v>Adult</v>
      </c>
      <c r="Y1266" s="4" t="s">
        <v>3561</v>
      </c>
      <c r="AB1266" s="4" t="str">
        <f t="shared" si="215"/>
        <v/>
      </c>
      <c r="AC1266" s="4" t="str">
        <f t="shared" si="216"/>
        <v>Unknown</v>
      </c>
      <c r="AD1266" s="4" t="s">
        <v>457</v>
      </c>
      <c r="AG1266" s="4" t="str">
        <f t="shared" si="217"/>
        <v>Not Applicable</v>
      </c>
      <c r="AH1266" s="4">
        <v>255</v>
      </c>
      <c r="AK1266" s="4">
        <v>255</v>
      </c>
      <c r="AL1266" s="4" t="str">
        <f t="shared" si="218"/>
        <v>Found</v>
      </c>
      <c r="AN1266" s="6">
        <v>14.5</v>
      </c>
      <c r="AO1266" s="4" t="str">
        <f t="shared" si="219"/>
        <v>Mid</v>
      </c>
    </row>
    <row r="1267" spans="1:41">
      <c r="A1267">
        <v>3</v>
      </c>
      <c r="B1267" t="str">
        <f t="shared" si="209"/>
        <v>Third Class</v>
      </c>
      <c r="C1267">
        <v>0</v>
      </c>
      <c r="E1267" t="str">
        <f t="shared" si="210"/>
        <v>Died</v>
      </c>
      <c r="F1267" t="s">
        <v>1242</v>
      </c>
      <c r="G1267" t="s">
        <v>2206</v>
      </c>
      <c r="H1267" t="s">
        <v>842</v>
      </c>
      <c r="I1267" t="str">
        <f t="shared" si="211"/>
        <v>Impe Van Miss.</v>
      </c>
      <c r="J1267" t="s">
        <v>47</v>
      </c>
      <c r="K1267" t="str">
        <f t="shared" si="212"/>
        <v>Female</v>
      </c>
      <c r="L1267">
        <v>10</v>
      </c>
      <c r="O1267">
        <f t="shared" si="213"/>
        <v>10</v>
      </c>
      <c r="P1267">
        <v>0</v>
      </c>
      <c r="R1267" s="4">
        <v>2</v>
      </c>
      <c r="T1267" s="5">
        <v>24.15</v>
      </c>
      <c r="W1267" s="4">
        <v>10</v>
      </c>
      <c r="X1267" s="4" t="str">
        <f t="shared" si="214"/>
        <v>Teenager</v>
      </c>
      <c r="Y1267" s="4" t="s">
        <v>3561</v>
      </c>
      <c r="AB1267" s="4" t="str">
        <f t="shared" si="215"/>
        <v/>
      </c>
      <c r="AC1267" s="4" t="str">
        <f t="shared" si="216"/>
        <v>Unknown</v>
      </c>
      <c r="AD1267" s="4" t="s">
        <v>457</v>
      </c>
      <c r="AG1267" s="4" t="str">
        <f t="shared" si="217"/>
        <v>Not Applicable</v>
      </c>
      <c r="AK1267" s="4" t="s">
        <v>3573</v>
      </c>
      <c r="AL1267" s="4" t="str">
        <f t="shared" si="218"/>
        <v>Found</v>
      </c>
      <c r="AN1267" s="6">
        <v>24.15</v>
      </c>
      <c r="AO1267" s="4" t="str">
        <f t="shared" si="219"/>
        <v>Mid</v>
      </c>
    </row>
    <row r="1268" spans="1:41">
      <c r="A1268">
        <v>3</v>
      </c>
      <c r="B1268" t="str">
        <f t="shared" si="209"/>
        <v>Third Class</v>
      </c>
      <c r="C1268">
        <v>0</v>
      </c>
      <c r="E1268" t="str">
        <f t="shared" si="210"/>
        <v>Died</v>
      </c>
      <c r="F1268" t="s">
        <v>1242</v>
      </c>
      <c r="G1268" t="s">
        <v>2206</v>
      </c>
      <c r="H1268" t="s">
        <v>848</v>
      </c>
      <c r="I1268" t="str">
        <f t="shared" si="211"/>
        <v>Impe Van Mr.</v>
      </c>
      <c r="J1268" t="s">
        <v>20</v>
      </c>
      <c r="K1268" t="str">
        <f t="shared" si="212"/>
        <v>Male</v>
      </c>
      <c r="L1268">
        <v>36</v>
      </c>
      <c r="O1268">
        <f t="shared" si="213"/>
        <v>36</v>
      </c>
      <c r="P1268">
        <v>1</v>
      </c>
      <c r="R1268" s="4">
        <v>1</v>
      </c>
      <c r="T1268" s="5">
        <v>24.15</v>
      </c>
      <c r="W1268" s="4">
        <v>36</v>
      </c>
      <c r="X1268" s="4" t="str">
        <f t="shared" si="214"/>
        <v>Adult</v>
      </c>
      <c r="Y1268" s="4" t="s">
        <v>3561</v>
      </c>
      <c r="AB1268" s="4" t="str">
        <f t="shared" si="215"/>
        <v/>
      </c>
      <c r="AC1268" s="4" t="str">
        <f t="shared" si="216"/>
        <v>Unknown</v>
      </c>
      <c r="AD1268" s="4" t="s">
        <v>457</v>
      </c>
      <c r="AG1268" s="4" t="str">
        <f t="shared" si="217"/>
        <v>Not Applicable</v>
      </c>
      <c r="AK1268" s="4" t="s">
        <v>3573</v>
      </c>
      <c r="AL1268" s="4" t="str">
        <f t="shared" si="218"/>
        <v>Found</v>
      </c>
      <c r="AN1268" s="6">
        <v>24.15</v>
      </c>
      <c r="AO1268" s="4" t="str">
        <f t="shared" si="219"/>
        <v>Mid</v>
      </c>
    </row>
    <row r="1269" spans="1:41">
      <c r="A1269">
        <v>3</v>
      </c>
      <c r="B1269" t="str">
        <f t="shared" si="209"/>
        <v>Third Class</v>
      </c>
      <c r="C1269">
        <v>0</v>
      </c>
      <c r="E1269" t="str">
        <f t="shared" si="210"/>
        <v>Died</v>
      </c>
      <c r="F1269" t="s">
        <v>1242</v>
      </c>
      <c r="G1269" t="s">
        <v>2206</v>
      </c>
      <c r="H1269" t="s">
        <v>849</v>
      </c>
      <c r="I1269" t="str">
        <f t="shared" si="211"/>
        <v>Impe Van Mrs.</v>
      </c>
      <c r="J1269" t="s">
        <v>47</v>
      </c>
      <c r="K1269" t="str">
        <f t="shared" si="212"/>
        <v>Female</v>
      </c>
      <c r="L1269">
        <v>30</v>
      </c>
      <c r="O1269">
        <f t="shared" si="213"/>
        <v>30</v>
      </c>
      <c r="P1269">
        <v>1</v>
      </c>
      <c r="R1269" s="4">
        <v>1</v>
      </c>
      <c r="T1269" s="5">
        <v>24.15</v>
      </c>
      <c r="W1269" s="4">
        <v>30</v>
      </c>
      <c r="X1269" s="4" t="str">
        <f t="shared" si="214"/>
        <v>Adult</v>
      </c>
      <c r="Y1269" s="4" t="s">
        <v>3561</v>
      </c>
      <c r="AB1269" s="4" t="str">
        <f t="shared" si="215"/>
        <v/>
      </c>
      <c r="AC1269" s="4" t="str">
        <f t="shared" si="216"/>
        <v>Unknown</v>
      </c>
      <c r="AD1269" s="4" t="s">
        <v>457</v>
      </c>
      <c r="AG1269" s="4" t="str">
        <f t="shared" si="217"/>
        <v>Not Applicable</v>
      </c>
      <c r="AK1269" s="4" t="s">
        <v>3573</v>
      </c>
      <c r="AL1269" s="4" t="str">
        <f t="shared" si="218"/>
        <v>Found</v>
      </c>
      <c r="AN1269" s="6">
        <v>24.15</v>
      </c>
      <c r="AO1269" s="4" t="str">
        <f t="shared" si="219"/>
        <v>Mid</v>
      </c>
    </row>
    <row r="1270" spans="1:41">
      <c r="A1270">
        <v>3</v>
      </c>
      <c r="B1270" t="str">
        <f t="shared" si="209"/>
        <v>Third Class</v>
      </c>
      <c r="C1270">
        <v>0</v>
      </c>
      <c r="E1270" t="str">
        <f t="shared" si="210"/>
        <v>Died</v>
      </c>
      <c r="F1270" t="s">
        <v>2204</v>
      </c>
      <c r="G1270" t="s">
        <v>2207</v>
      </c>
      <c r="H1270" t="s">
        <v>848</v>
      </c>
      <c r="I1270" t="str">
        <f t="shared" si="211"/>
        <v>Melkebeke van Mr.</v>
      </c>
      <c r="J1270" t="s">
        <v>20</v>
      </c>
      <c r="K1270" t="str">
        <f t="shared" si="212"/>
        <v>Male</v>
      </c>
      <c r="L1270">
        <v>28</v>
      </c>
      <c r="O1270">
        <f t="shared" si="213"/>
        <v>28</v>
      </c>
      <c r="P1270">
        <v>0</v>
      </c>
      <c r="R1270" s="4">
        <v>0</v>
      </c>
      <c r="T1270" s="5">
        <v>9.5</v>
      </c>
      <c r="W1270" s="4">
        <v>28</v>
      </c>
      <c r="X1270" s="4" t="str">
        <f t="shared" si="214"/>
        <v>Young Adult</v>
      </c>
      <c r="Y1270" s="4" t="s">
        <v>3561</v>
      </c>
      <c r="AB1270" s="4" t="str">
        <f t="shared" si="215"/>
        <v/>
      </c>
      <c r="AC1270" s="4" t="str">
        <f t="shared" si="216"/>
        <v>Unknown</v>
      </c>
      <c r="AD1270" s="4" t="s">
        <v>457</v>
      </c>
      <c r="AG1270" s="4" t="str">
        <f t="shared" si="217"/>
        <v>Not Applicable</v>
      </c>
      <c r="AK1270" s="4" t="s">
        <v>3573</v>
      </c>
      <c r="AL1270" s="4" t="str">
        <f t="shared" si="218"/>
        <v>Found</v>
      </c>
      <c r="AN1270" s="6">
        <v>9.5</v>
      </c>
      <c r="AO1270" s="4" t="str">
        <f t="shared" si="219"/>
        <v>Low</v>
      </c>
    </row>
    <row r="1271" spans="1:41">
      <c r="A1271">
        <v>3</v>
      </c>
      <c r="B1271" t="str">
        <f t="shared" si="209"/>
        <v>Third Class</v>
      </c>
      <c r="C1271">
        <v>0</v>
      </c>
      <c r="E1271" t="str">
        <f t="shared" si="210"/>
        <v>Died</v>
      </c>
      <c r="F1271" t="s">
        <v>2208</v>
      </c>
      <c r="G1271" t="s">
        <v>2209</v>
      </c>
      <c r="H1271" t="s">
        <v>848</v>
      </c>
      <c r="I1271" t="str">
        <f t="shared" si="211"/>
        <v>Velde Vande Mr.</v>
      </c>
      <c r="J1271" t="s">
        <v>20</v>
      </c>
      <c r="K1271" t="str">
        <f t="shared" si="212"/>
        <v>Male</v>
      </c>
      <c r="L1271">
        <v>33</v>
      </c>
      <c r="O1271">
        <f t="shared" si="213"/>
        <v>33</v>
      </c>
      <c r="P1271">
        <v>0</v>
      </c>
      <c r="R1271" s="4">
        <v>0</v>
      </c>
      <c r="T1271" s="5">
        <v>9.5</v>
      </c>
      <c r="W1271" s="4">
        <v>33</v>
      </c>
      <c r="X1271" s="4" t="str">
        <f t="shared" si="214"/>
        <v>Adult</v>
      </c>
      <c r="Y1271" s="4" t="s">
        <v>3561</v>
      </c>
      <c r="AB1271" s="4" t="str">
        <f t="shared" si="215"/>
        <v/>
      </c>
      <c r="AC1271" s="4" t="str">
        <f t="shared" si="216"/>
        <v>Unknown</v>
      </c>
      <c r="AD1271" s="4" t="s">
        <v>457</v>
      </c>
      <c r="AG1271" s="4" t="str">
        <f t="shared" si="217"/>
        <v>Not Applicable</v>
      </c>
      <c r="AK1271" s="4" t="s">
        <v>3573</v>
      </c>
      <c r="AL1271" s="4" t="str">
        <f t="shared" si="218"/>
        <v>Found</v>
      </c>
      <c r="AN1271" s="6">
        <v>9.5</v>
      </c>
      <c r="AO1271" s="4" t="str">
        <f t="shared" si="219"/>
        <v>Low</v>
      </c>
    </row>
    <row r="1272" spans="1:41">
      <c r="A1272">
        <v>3</v>
      </c>
      <c r="B1272" t="str">
        <f t="shared" si="209"/>
        <v>Third Class</v>
      </c>
      <c r="C1272">
        <v>0</v>
      </c>
      <c r="E1272" t="str">
        <f t="shared" si="210"/>
        <v>Died</v>
      </c>
      <c r="F1272" t="s">
        <v>2208</v>
      </c>
      <c r="G1272" t="s">
        <v>2210</v>
      </c>
      <c r="H1272" t="s">
        <v>848</v>
      </c>
      <c r="I1272" t="str">
        <f t="shared" si="211"/>
        <v>Walle Vande Mr.</v>
      </c>
      <c r="J1272" t="s">
        <v>20</v>
      </c>
      <c r="K1272" t="str">
        <f t="shared" si="212"/>
        <v>Male</v>
      </c>
      <c r="L1272">
        <v>28</v>
      </c>
      <c r="O1272">
        <f t="shared" si="213"/>
        <v>28</v>
      </c>
      <c r="P1272">
        <v>0</v>
      </c>
      <c r="R1272" s="4">
        <v>0</v>
      </c>
      <c r="T1272" s="5">
        <v>9.5</v>
      </c>
      <c r="W1272" s="4">
        <v>28</v>
      </c>
      <c r="X1272" s="4" t="str">
        <f t="shared" si="214"/>
        <v>Young Adult</v>
      </c>
      <c r="Y1272" s="4" t="s">
        <v>3561</v>
      </c>
      <c r="AB1272" s="4" t="str">
        <f t="shared" si="215"/>
        <v/>
      </c>
      <c r="AC1272" s="4" t="str">
        <f t="shared" si="216"/>
        <v>Unknown</v>
      </c>
      <c r="AD1272" s="4" t="s">
        <v>457</v>
      </c>
      <c r="AG1272" s="4" t="str">
        <f t="shared" si="217"/>
        <v>Not Applicable</v>
      </c>
      <c r="AK1272" s="4" t="s">
        <v>3573</v>
      </c>
      <c r="AL1272" s="4" t="str">
        <f t="shared" si="218"/>
        <v>Found</v>
      </c>
      <c r="AN1272" s="6">
        <v>9.5</v>
      </c>
      <c r="AO1272" s="4" t="str">
        <f t="shared" si="219"/>
        <v>Low</v>
      </c>
    </row>
    <row r="1273" spans="1:41">
      <c r="A1273">
        <v>3</v>
      </c>
      <c r="B1273" t="str">
        <f t="shared" si="209"/>
        <v>Third Class</v>
      </c>
      <c r="C1273">
        <v>0</v>
      </c>
      <c r="E1273" t="str">
        <f t="shared" si="210"/>
        <v>Died</v>
      </c>
      <c r="F1273" t="s">
        <v>2211</v>
      </c>
      <c r="G1273" t="s">
        <v>2212</v>
      </c>
      <c r="H1273" t="s">
        <v>848</v>
      </c>
      <c r="I1273" t="str">
        <f t="shared" si="211"/>
        <v>Steen Vanden Mr.</v>
      </c>
      <c r="J1273" t="s">
        <v>20</v>
      </c>
      <c r="K1273" t="str">
        <f t="shared" si="212"/>
        <v>Male</v>
      </c>
      <c r="L1273">
        <v>28</v>
      </c>
      <c r="O1273">
        <f t="shared" si="213"/>
        <v>28</v>
      </c>
      <c r="P1273">
        <v>0</v>
      </c>
      <c r="R1273" s="4">
        <v>0</v>
      </c>
      <c r="T1273" s="5">
        <v>9.5</v>
      </c>
      <c r="W1273" s="4">
        <v>28</v>
      </c>
      <c r="X1273" s="4" t="str">
        <f t="shared" si="214"/>
        <v>Young Adult</v>
      </c>
      <c r="Y1273" s="4" t="s">
        <v>3561</v>
      </c>
      <c r="AB1273" s="4" t="str">
        <f t="shared" si="215"/>
        <v/>
      </c>
      <c r="AC1273" s="4" t="str">
        <f t="shared" si="216"/>
        <v>Unknown</v>
      </c>
      <c r="AD1273" s="4" t="s">
        <v>457</v>
      </c>
      <c r="AG1273" s="4" t="str">
        <f t="shared" si="217"/>
        <v>Not Applicable</v>
      </c>
      <c r="AK1273" s="4" t="s">
        <v>3573</v>
      </c>
      <c r="AL1273" s="4" t="str">
        <f t="shared" si="218"/>
        <v>Found</v>
      </c>
      <c r="AN1273" s="6">
        <v>9.5</v>
      </c>
      <c r="AO1273" s="4" t="str">
        <f t="shared" si="219"/>
        <v>Low</v>
      </c>
    </row>
    <row r="1274" spans="1:41">
      <c r="A1274">
        <v>3</v>
      </c>
      <c r="B1274" t="str">
        <f t="shared" si="209"/>
        <v>Third Class</v>
      </c>
      <c r="C1274">
        <v>0</v>
      </c>
      <c r="E1274" t="str">
        <f t="shared" si="210"/>
        <v>Died</v>
      </c>
      <c r="F1274" t="s">
        <v>2213</v>
      </c>
      <c r="G1274" t="s">
        <v>2214</v>
      </c>
      <c r="H1274" t="s">
        <v>848</v>
      </c>
      <c r="I1274" t="str">
        <f t="shared" si="211"/>
        <v>Cruyssen Vander Mr.</v>
      </c>
      <c r="J1274" t="s">
        <v>20</v>
      </c>
      <c r="K1274" t="str">
        <f t="shared" si="212"/>
        <v>Male</v>
      </c>
      <c r="L1274">
        <v>47</v>
      </c>
      <c r="O1274">
        <f t="shared" si="213"/>
        <v>47</v>
      </c>
      <c r="P1274">
        <v>0</v>
      </c>
      <c r="R1274" s="4">
        <v>0</v>
      </c>
      <c r="T1274" s="5">
        <v>9</v>
      </c>
      <c r="W1274" s="4">
        <v>47</v>
      </c>
      <c r="X1274" s="4" t="str">
        <f t="shared" si="214"/>
        <v>Adult</v>
      </c>
      <c r="Y1274" s="4" t="s">
        <v>3561</v>
      </c>
      <c r="AB1274" s="4" t="str">
        <f t="shared" si="215"/>
        <v/>
      </c>
      <c r="AC1274" s="4" t="str">
        <f t="shared" si="216"/>
        <v>Unknown</v>
      </c>
      <c r="AD1274" s="4" t="s">
        <v>457</v>
      </c>
      <c r="AG1274" s="4" t="str">
        <f t="shared" si="217"/>
        <v>Not Applicable</v>
      </c>
      <c r="AK1274" s="4" t="s">
        <v>3573</v>
      </c>
      <c r="AL1274" s="4" t="str">
        <f t="shared" si="218"/>
        <v>Found</v>
      </c>
      <c r="AN1274" s="6">
        <v>9</v>
      </c>
      <c r="AO1274" s="4" t="str">
        <f t="shared" si="219"/>
        <v>Low</v>
      </c>
    </row>
    <row r="1275" spans="1:41">
      <c r="A1275">
        <v>3</v>
      </c>
      <c r="B1275" t="str">
        <f t="shared" si="209"/>
        <v>Third Class</v>
      </c>
      <c r="C1275">
        <v>0</v>
      </c>
      <c r="E1275" t="str">
        <f t="shared" si="210"/>
        <v>Died</v>
      </c>
      <c r="F1275" t="s">
        <v>2213</v>
      </c>
      <c r="G1275" t="s">
        <v>2215</v>
      </c>
      <c r="H1275" t="s">
        <v>842</v>
      </c>
      <c r="I1275" t="str">
        <f t="shared" si="211"/>
        <v>Planke Vander Miss.</v>
      </c>
      <c r="J1275" t="s">
        <v>47</v>
      </c>
      <c r="K1275" t="str">
        <f t="shared" si="212"/>
        <v>Female</v>
      </c>
      <c r="L1275">
        <v>18</v>
      </c>
      <c r="O1275">
        <f t="shared" si="213"/>
        <v>18</v>
      </c>
      <c r="P1275">
        <v>2</v>
      </c>
      <c r="R1275" s="4">
        <v>0</v>
      </c>
      <c r="T1275" s="5">
        <v>18</v>
      </c>
      <c r="W1275" s="4">
        <v>18</v>
      </c>
      <c r="X1275" s="4" t="str">
        <f t="shared" si="214"/>
        <v>Young Adult</v>
      </c>
      <c r="Y1275" s="4" t="s">
        <v>3561</v>
      </c>
      <c r="AB1275" s="4" t="str">
        <f t="shared" si="215"/>
        <v/>
      </c>
      <c r="AC1275" s="4" t="str">
        <f t="shared" si="216"/>
        <v>Unknown</v>
      </c>
      <c r="AD1275" s="4" t="s">
        <v>457</v>
      </c>
      <c r="AG1275" s="4" t="str">
        <f t="shared" si="217"/>
        <v>Not Applicable</v>
      </c>
      <c r="AK1275" s="4" t="s">
        <v>3573</v>
      </c>
      <c r="AL1275" s="4" t="str">
        <f t="shared" si="218"/>
        <v>Found</v>
      </c>
      <c r="AN1275" s="6">
        <v>18</v>
      </c>
      <c r="AO1275" s="4" t="str">
        <f t="shared" si="219"/>
        <v>Mid</v>
      </c>
    </row>
    <row r="1276" spans="1:41">
      <c r="A1276">
        <v>3</v>
      </c>
      <c r="B1276" t="str">
        <f t="shared" si="209"/>
        <v>Third Class</v>
      </c>
      <c r="C1276">
        <v>0</v>
      </c>
      <c r="E1276" t="str">
        <f t="shared" si="210"/>
        <v>Died</v>
      </c>
      <c r="F1276" t="s">
        <v>2213</v>
      </c>
      <c r="G1276" t="s">
        <v>2215</v>
      </c>
      <c r="H1276" t="s">
        <v>848</v>
      </c>
      <c r="I1276" t="str">
        <f t="shared" si="211"/>
        <v>Planke Vander Mr.</v>
      </c>
      <c r="J1276" t="s">
        <v>20</v>
      </c>
      <c r="K1276" t="str">
        <f t="shared" si="212"/>
        <v>Male</v>
      </c>
      <c r="L1276">
        <v>31</v>
      </c>
      <c r="O1276">
        <f t="shared" si="213"/>
        <v>31</v>
      </c>
      <c r="P1276">
        <v>3</v>
      </c>
      <c r="R1276" s="4">
        <v>0</v>
      </c>
      <c r="T1276" s="5">
        <v>18</v>
      </c>
      <c r="W1276" s="4">
        <v>31</v>
      </c>
      <c r="X1276" s="4" t="str">
        <f t="shared" si="214"/>
        <v>Adult</v>
      </c>
      <c r="Y1276" s="4" t="s">
        <v>3561</v>
      </c>
      <c r="AB1276" s="4" t="str">
        <f t="shared" si="215"/>
        <v/>
      </c>
      <c r="AC1276" s="4" t="str">
        <f t="shared" si="216"/>
        <v>Unknown</v>
      </c>
      <c r="AD1276" s="4" t="s">
        <v>457</v>
      </c>
      <c r="AG1276" s="4" t="str">
        <f t="shared" si="217"/>
        <v>Not Applicable</v>
      </c>
      <c r="AK1276" s="4" t="s">
        <v>3573</v>
      </c>
      <c r="AL1276" s="4" t="str">
        <f t="shared" si="218"/>
        <v>Found</v>
      </c>
      <c r="AN1276" s="6">
        <v>18</v>
      </c>
      <c r="AO1276" s="4" t="str">
        <f t="shared" si="219"/>
        <v>Mid</v>
      </c>
    </row>
    <row r="1277" spans="1:41">
      <c r="A1277">
        <v>3</v>
      </c>
      <c r="B1277" t="str">
        <f t="shared" si="209"/>
        <v>Third Class</v>
      </c>
      <c r="C1277">
        <v>0</v>
      </c>
      <c r="E1277" t="str">
        <f t="shared" si="210"/>
        <v>Died</v>
      </c>
      <c r="F1277" t="s">
        <v>2213</v>
      </c>
      <c r="G1277" t="s">
        <v>2215</v>
      </c>
      <c r="H1277" t="s">
        <v>848</v>
      </c>
      <c r="I1277" t="str">
        <f t="shared" si="211"/>
        <v>Planke Vander Mr.</v>
      </c>
      <c r="J1277" t="s">
        <v>20</v>
      </c>
      <c r="K1277" t="str">
        <f t="shared" si="212"/>
        <v>Male</v>
      </c>
      <c r="L1277">
        <v>16</v>
      </c>
      <c r="O1277">
        <f t="shared" si="213"/>
        <v>16</v>
      </c>
      <c r="P1277">
        <v>2</v>
      </c>
      <c r="R1277" s="4">
        <v>0</v>
      </c>
      <c r="T1277" s="5">
        <v>18</v>
      </c>
      <c r="W1277" s="4">
        <v>16</v>
      </c>
      <c r="X1277" s="4" t="str">
        <f t="shared" si="214"/>
        <v>Teenager</v>
      </c>
      <c r="Y1277" s="4" t="s">
        <v>3561</v>
      </c>
      <c r="AB1277" s="4" t="str">
        <f t="shared" si="215"/>
        <v/>
      </c>
      <c r="AC1277" s="4" t="str">
        <f t="shared" si="216"/>
        <v>Unknown</v>
      </c>
      <c r="AD1277" s="4" t="s">
        <v>457</v>
      </c>
      <c r="AG1277" s="4" t="str">
        <f t="shared" si="217"/>
        <v>Not Applicable</v>
      </c>
      <c r="AK1277" s="4" t="s">
        <v>3573</v>
      </c>
      <c r="AL1277" s="4" t="str">
        <f t="shared" si="218"/>
        <v>Found</v>
      </c>
      <c r="AN1277" s="6">
        <v>18</v>
      </c>
      <c r="AO1277" s="4" t="str">
        <f t="shared" si="219"/>
        <v>Mid</v>
      </c>
    </row>
    <row r="1278" spans="1:41">
      <c r="A1278">
        <v>3</v>
      </c>
      <c r="B1278" t="str">
        <f t="shared" si="209"/>
        <v>Third Class</v>
      </c>
      <c r="C1278">
        <v>0</v>
      </c>
      <c r="E1278" t="str">
        <f t="shared" si="210"/>
        <v>Died</v>
      </c>
      <c r="F1278" t="s">
        <v>2213</v>
      </c>
      <c r="G1278" t="s">
        <v>2215</v>
      </c>
      <c r="H1278" t="s">
        <v>849</v>
      </c>
      <c r="I1278" t="str">
        <f t="shared" si="211"/>
        <v>Planke Vander Mrs.</v>
      </c>
      <c r="J1278" t="s">
        <v>47</v>
      </c>
      <c r="K1278" t="str">
        <f t="shared" si="212"/>
        <v>Female</v>
      </c>
      <c r="L1278">
        <v>31</v>
      </c>
      <c r="O1278">
        <f t="shared" si="213"/>
        <v>31</v>
      </c>
      <c r="P1278">
        <v>1</v>
      </c>
      <c r="R1278" s="4">
        <v>0</v>
      </c>
      <c r="T1278" s="5">
        <v>18</v>
      </c>
      <c r="W1278" s="4">
        <v>31</v>
      </c>
      <c r="X1278" s="4" t="str">
        <f t="shared" si="214"/>
        <v>Adult</v>
      </c>
      <c r="Y1278" s="4" t="s">
        <v>3561</v>
      </c>
      <c r="AB1278" s="4" t="str">
        <f t="shared" si="215"/>
        <v/>
      </c>
      <c r="AC1278" s="4" t="str">
        <f t="shared" si="216"/>
        <v>Unknown</v>
      </c>
      <c r="AD1278" s="4" t="s">
        <v>457</v>
      </c>
      <c r="AG1278" s="4" t="str">
        <f t="shared" si="217"/>
        <v>Not Applicable</v>
      </c>
      <c r="AK1278" s="4" t="s">
        <v>3573</v>
      </c>
      <c r="AL1278" s="4" t="str">
        <f t="shared" si="218"/>
        <v>Found</v>
      </c>
      <c r="AN1278" s="6">
        <v>18</v>
      </c>
      <c r="AO1278" s="4" t="str">
        <f t="shared" si="219"/>
        <v>Mid</v>
      </c>
    </row>
    <row r="1279" spans="1:41">
      <c r="A1279">
        <v>3</v>
      </c>
      <c r="B1279" t="str">
        <f t="shared" si="209"/>
        <v>Third Class</v>
      </c>
      <c r="C1279">
        <v>1</v>
      </c>
      <c r="E1279" t="str">
        <f t="shared" si="210"/>
        <v>Survived</v>
      </c>
      <c r="F1279" t="s">
        <v>2216</v>
      </c>
      <c r="G1279" t="s">
        <v>848</v>
      </c>
      <c r="H1279" t="s">
        <v>1052</v>
      </c>
      <c r="I1279" t="str">
        <f t="shared" si="211"/>
        <v>Mr. Vartanian David</v>
      </c>
      <c r="J1279" t="s">
        <v>20</v>
      </c>
      <c r="K1279" t="str">
        <f t="shared" si="212"/>
        <v>Male</v>
      </c>
      <c r="L1279">
        <v>22</v>
      </c>
      <c r="O1279">
        <f t="shared" si="213"/>
        <v>22</v>
      </c>
      <c r="P1279">
        <v>0</v>
      </c>
      <c r="R1279" s="4">
        <v>0</v>
      </c>
      <c r="T1279" s="5">
        <v>7.2249999999999996</v>
      </c>
      <c r="W1279" s="4">
        <v>22</v>
      </c>
      <c r="X1279" s="4" t="str">
        <f t="shared" si="214"/>
        <v>Young Adult</v>
      </c>
      <c r="Y1279" s="4" t="s">
        <v>3561</v>
      </c>
      <c r="AB1279" s="4" t="str">
        <f t="shared" si="215"/>
        <v/>
      </c>
      <c r="AC1279" s="4" t="str">
        <f t="shared" si="216"/>
        <v>Unknown</v>
      </c>
      <c r="AD1279" s="4" t="s">
        <v>3566</v>
      </c>
      <c r="AF1279" s="4" t="s">
        <v>824</v>
      </c>
      <c r="AG1279" s="4" t="str">
        <f t="shared" si="217"/>
        <v>13 15</v>
      </c>
      <c r="AK1279" s="4" t="s">
        <v>3573</v>
      </c>
      <c r="AL1279" s="4" t="str">
        <f t="shared" si="218"/>
        <v>Found</v>
      </c>
      <c r="AN1279" s="6">
        <v>7.2249999999999996</v>
      </c>
      <c r="AO1279" s="4" t="str">
        <f t="shared" si="219"/>
        <v>Low</v>
      </c>
    </row>
    <row r="1280" spans="1:41">
      <c r="A1280">
        <v>3</v>
      </c>
      <c r="B1280" t="str">
        <f t="shared" si="209"/>
        <v>Third Class</v>
      </c>
      <c r="C1280">
        <v>0</v>
      </c>
      <c r="E1280" t="str">
        <f t="shared" si="210"/>
        <v>Died</v>
      </c>
      <c r="F1280" t="s">
        <v>2217</v>
      </c>
      <c r="G1280" t="s">
        <v>848</v>
      </c>
      <c r="H1280" t="s">
        <v>938</v>
      </c>
      <c r="I1280" t="str">
        <f t="shared" si="211"/>
        <v>Mr. Vendel Olof</v>
      </c>
      <c r="J1280" t="s">
        <v>20</v>
      </c>
      <c r="K1280" t="str">
        <f t="shared" si="212"/>
        <v>Male</v>
      </c>
      <c r="L1280">
        <v>20</v>
      </c>
      <c r="O1280">
        <f t="shared" si="213"/>
        <v>20</v>
      </c>
      <c r="P1280">
        <v>0</v>
      </c>
      <c r="R1280" s="4">
        <v>0</v>
      </c>
      <c r="T1280" s="5">
        <v>7.8541999999999996</v>
      </c>
      <c r="W1280" s="4">
        <v>20</v>
      </c>
      <c r="X1280" s="4" t="str">
        <f t="shared" si="214"/>
        <v>Young Adult</v>
      </c>
      <c r="Y1280" s="4" t="s">
        <v>3561</v>
      </c>
      <c r="AB1280" s="4" t="str">
        <f t="shared" si="215"/>
        <v/>
      </c>
      <c r="AC1280" s="4" t="str">
        <f t="shared" si="216"/>
        <v>Unknown</v>
      </c>
      <c r="AD1280" s="4" t="s">
        <v>457</v>
      </c>
      <c r="AG1280" s="4" t="str">
        <f t="shared" si="217"/>
        <v>Not Applicable</v>
      </c>
      <c r="AK1280" s="4" t="s">
        <v>3573</v>
      </c>
      <c r="AL1280" s="4" t="str">
        <f t="shared" si="218"/>
        <v>Found</v>
      </c>
      <c r="AN1280" s="6">
        <v>7.8541999999999996</v>
      </c>
      <c r="AO1280" s="4" t="str">
        <f t="shared" si="219"/>
        <v>Low</v>
      </c>
    </row>
    <row r="1281" spans="1:41">
      <c r="A1281">
        <v>3</v>
      </c>
      <c r="B1281" t="str">
        <f t="shared" si="209"/>
        <v>Third Class</v>
      </c>
      <c r="C1281">
        <v>0</v>
      </c>
      <c r="E1281" t="str">
        <f t="shared" si="210"/>
        <v>Died</v>
      </c>
      <c r="F1281" t="s">
        <v>2218</v>
      </c>
      <c r="G1281" t="s">
        <v>842</v>
      </c>
      <c r="H1281" t="s">
        <v>2219</v>
      </c>
      <c r="I1281" t="str">
        <f t="shared" si="211"/>
        <v>Miss. Vestrom Hulda</v>
      </c>
      <c r="J1281" t="s">
        <v>47</v>
      </c>
      <c r="K1281" t="str">
        <f t="shared" si="212"/>
        <v>Female</v>
      </c>
      <c r="L1281">
        <v>14</v>
      </c>
      <c r="O1281">
        <f t="shared" si="213"/>
        <v>14</v>
      </c>
      <c r="P1281">
        <v>0</v>
      </c>
      <c r="R1281" s="4">
        <v>0</v>
      </c>
      <c r="T1281" s="5">
        <v>7.8541999999999996</v>
      </c>
      <c r="W1281" s="4">
        <v>14</v>
      </c>
      <c r="X1281" s="4" t="str">
        <f t="shared" si="214"/>
        <v>Teenager</v>
      </c>
      <c r="Y1281" s="4" t="s">
        <v>3561</v>
      </c>
      <c r="AB1281" s="4" t="str">
        <f t="shared" si="215"/>
        <v/>
      </c>
      <c r="AC1281" s="4" t="str">
        <f t="shared" si="216"/>
        <v>Unknown</v>
      </c>
      <c r="AD1281" s="4" t="s">
        <v>457</v>
      </c>
      <c r="AG1281" s="4" t="str">
        <f t="shared" si="217"/>
        <v>Not Applicable</v>
      </c>
      <c r="AK1281" s="4" t="s">
        <v>3573</v>
      </c>
      <c r="AL1281" s="4" t="str">
        <f t="shared" si="218"/>
        <v>Found</v>
      </c>
      <c r="AN1281" s="6">
        <v>7.8541999999999996</v>
      </c>
      <c r="AO1281" s="4" t="str">
        <f t="shared" si="219"/>
        <v>Low</v>
      </c>
    </row>
    <row r="1282" spans="1:41">
      <c r="A1282">
        <v>3</v>
      </c>
      <c r="B1282" t="str">
        <f t="shared" si="209"/>
        <v>Third Class</v>
      </c>
      <c r="C1282">
        <v>0</v>
      </c>
      <c r="E1282" t="str">
        <f t="shared" si="210"/>
        <v>Died</v>
      </c>
      <c r="F1282" t="s">
        <v>2220</v>
      </c>
      <c r="G1282" t="s">
        <v>848</v>
      </c>
      <c r="H1282" t="s">
        <v>2221</v>
      </c>
      <c r="I1282" t="str">
        <f t="shared" si="211"/>
        <v>Mr. Vovk Janko</v>
      </c>
      <c r="J1282" t="s">
        <v>20</v>
      </c>
      <c r="K1282" t="str">
        <f t="shared" si="212"/>
        <v>Male</v>
      </c>
      <c r="L1282">
        <v>22</v>
      </c>
      <c r="O1282">
        <f t="shared" si="213"/>
        <v>22</v>
      </c>
      <c r="P1282">
        <v>0</v>
      </c>
      <c r="R1282" s="4">
        <v>0</v>
      </c>
      <c r="T1282" s="5">
        <v>7.8958000000000004</v>
      </c>
      <c r="W1282" s="4">
        <v>22</v>
      </c>
      <c r="X1282" s="4" t="str">
        <f t="shared" si="214"/>
        <v>Young Adult</v>
      </c>
      <c r="Y1282" s="4" t="s">
        <v>3561</v>
      </c>
      <c r="AB1282" s="4" t="str">
        <f t="shared" si="215"/>
        <v/>
      </c>
      <c r="AC1282" s="4" t="str">
        <f t="shared" si="216"/>
        <v>Unknown</v>
      </c>
      <c r="AD1282" s="4" t="s">
        <v>457</v>
      </c>
      <c r="AG1282" s="4" t="str">
        <f t="shared" si="217"/>
        <v>Not Applicable</v>
      </c>
      <c r="AK1282" s="4" t="s">
        <v>3573</v>
      </c>
      <c r="AL1282" s="4" t="str">
        <f t="shared" si="218"/>
        <v>Found</v>
      </c>
      <c r="AN1282" s="6">
        <v>7.8958000000000004</v>
      </c>
      <c r="AO1282" s="4" t="str">
        <f t="shared" si="219"/>
        <v>Low</v>
      </c>
    </row>
    <row r="1283" spans="1:41">
      <c r="A1283">
        <v>3</v>
      </c>
      <c r="B1283" t="str">
        <f t="shared" ref="B1283:B1310" si="220">IF(A1283=1,"First Class",IF(A1283=2,"Second Class",IF(A1283=3,"Third Class"," ")))</f>
        <v>Third Class</v>
      </c>
      <c r="C1283">
        <v>0</v>
      </c>
      <c r="E1283" t="str">
        <f t="shared" ref="E1283:E1310" si="221">IF(C1283=1,"Survived",IF(C1283=0,"Died"))</f>
        <v>Died</v>
      </c>
      <c r="F1283" t="s">
        <v>2222</v>
      </c>
      <c r="G1283" t="s">
        <v>848</v>
      </c>
      <c r="H1283" t="s">
        <v>2223</v>
      </c>
      <c r="I1283" t="str">
        <f t="shared" ref="I1283:I1310" si="222">_xlfn.CONCAT(G1283," ",F1283," ",H1283)</f>
        <v>Mr. Waelens Achille</v>
      </c>
      <c r="J1283" t="s">
        <v>20</v>
      </c>
      <c r="K1283" t="str">
        <f t="shared" ref="K1283:K1310" si="223">PROPER(J1283)</f>
        <v>Male</v>
      </c>
      <c r="L1283">
        <v>22</v>
      </c>
      <c r="O1283">
        <f t="shared" ref="O1283:O1310" si="224">IF(L1283&lt;1,1,ROUND(L1283,0))</f>
        <v>22</v>
      </c>
      <c r="P1283">
        <v>0</v>
      </c>
      <c r="R1283" s="4">
        <v>0</v>
      </c>
      <c r="T1283" s="5">
        <v>9</v>
      </c>
      <c r="W1283" s="4">
        <v>22</v>
      </c>
      <c r="X1283" s="4" t="str">
        <f t="shared" ref="X1283:X1310" si="225">IF(W1283&lt;10,"Child",IF(W1283&lt;18,"Teenager",IF(W1283&lt;30,"Young Adult",IF(W1283&lt;60,"Adult","Old Adult"))))</f>
        <v>Young Adult</v>
      </c>
      <c r="Y1283" s="4" t="s">
        <v>3561</v>
      </c>
      <c r="AB1283" s="4" t="str">
        <f t="shared" ref="AB1283:AB1310" si="226">LEFT(AA1283,1)</f>
        <v/>
      </c>
      <c r="AC1283" s="4" t="str">
        <f t="shared" ref="AC1283:AC1310" si="227">IF(AB1283="","Unknown",LEFT(AB1283,1))</f>
        <v>Unknown</v>
      </c>
      <c r="AD1283" s="4" t="s">
        <v>457</v>
      </c>
      <c r="AG1283" s="4" t="str">
        <f t="shared" ref="AG1283:AG1310" si="228">IF(AF1283="",IF(E1283=1,"Unknown","Not Applicable"),AF1283)</f>
        <v>Not Applicable</v>
      </c>
      <c r="AK1283" s="4" t="s">
        <v>3573</v>
      </c>
      <c r="AL1283" s="4" t="str">
        <f t="shared" ref="AL1283:AL1310" si="229">IF(AK1283="","Not Found","Found")</f>
        <v>Found</v>
      </c>
      <c r="AN1283" s="6">
        <v>9</v>
      </c>
      <c r="AO1283" s="4" t="str">
        <f t="shared" ref="AO1283:AO1310" si="230">IF(AN1283&lt;=10,"Low",IF(AN1283&lt;=50,"Mid","High"))</f>
        <v>Low</v>
      </c>
    </row>
    <row r="1284" spans="1:41">
      <c r="A1284">
        <v>3</v>
      </c>
      <c r="B1284" t="str">
        <f t="shared" si="220"/>
        <v>Third Class</v>
      </c>
      <c r="C1284">
        <v>0</v>
      </c>
      <c r="E1284" t="str">
        <f t="shared" si="221"/>
        <v>Died</v>
      </c>
      <c r="F1284" t="s">
        <v>1517</v>
      </c>
      <c r="G1284" t="s">
        <v>848</v>
      </c>
      <c r="H1284" t="s">
        <v>999</v>
      </c>
      <c r="I1284" t="str">
        <f t="shared" si="222"/>
        <v>Mr. Ware Frederick</v>
      </c>
      <c r="J1284" t="s">
        <v>20</v>
      </c>
      <c r="K1284" t="str">
        <f t="shared" si="223"/>
        <v>Male</v>
      </c>
      <c r="L1284">
        <v>28</v>
      </c>
      <c r="O1284">
        <f t="shared" si="224"/>
        <v>28</v>
      </c>
      <c r="P1284">
        <v>0</v>
      </c>
      <c r="R1284" s="4">
        <v>0</v>
      </c>
      <c r="T1284" s="5">
        <v>8.0500000000000007</v>
      </c>
      <c r="W1284" s="4">
        <v>28</v>
      </c>
      <c r="X1284" s="4" t="str">
        <f t="shared" si="225"/>
        <v>Young Adult</v>
      </c>
      <c r="Y1284" s="4" t="s">
        <v>3561</v>
      </c>
      <c r="AB1284" s="4" t="str">
        <f t="shared" si="226"/>
        <v/>
      </c>
      <c r="AC1284" s="4" t="str">
        <f t="shared" si="227"/>
        <v>Unknown</v>
      </c>
      <c r="AD1284" s="4" t="s">
        <v>457</v>
      </c>
      <c r="AG1284" s="4" t="str">
        <f t="shared" si="228"/>
        <v>Not Applicable</v>
      </c>
      <c r="AK1284" s="4" t="s">
        <v>3573</v>
      </c>
      <c r="AL1284" s="4" t="str">
        <f t="shared" si="229"/>
        <v>Found</v>
      </c>
      <c r="AN1284" s="6">
        <v>8.0500000000000007</v>
      </c>
      <c r="AO1284" s="4" t="str">
        <f t="shared" si="230"/>
        <v>Low</v>
      </c>
    </row>
    <row r="1285" spans="1:41">
      <c r="A1285">
        <v>3</v>
      </c>
      <c r="B1285" t="str">
        <f t="shared" si="220"/>
        <v>Third Class</v>
      </c>
      <c r="C1285">
        <v>0</v>
      </c>
      <c r="E1285" t="str">
        <f t="shared" si="221"/>
        <v>Died</v>
      </c>
      <c r="F1285" t="s">
        <v>1248</v>
      </c>
      <c r="G1285" t="s">
        <v>848</v>
      </c>
      <c r="H1285" t="s">
        <v>1000</v>
      </c>
      <c r="I1285" t="str">
        <f t="shared" si="222"/>
        <v>Mr. Warren Charles</v>
      </c>
      <c r="J1285" t="s">
        <v>20</v>
      </c>
      <c r="K1285" t="str">
        <f t="shared" si="223"/>
        <v>Male</v>
      </c>
      <c r="L1285">
        <v>28</v>
      </c>
      <c r="O1285">
        <f t="shared" si="224"/>
        <v>28</v>
      </c>
      <c r="P1285">
        <v>0</v>
      </c>
      <c r="R1285" s="4">
        <v>0</v>
      </c>
      <c r="T1285" s="5">
        <v>7.55</v>
      </c>
      <c r="W1285" s="4">
        <v>28</v>
      </c>
      <c r="X1285" s="4" t="str">
        <f t="shared" si="225"/>
        <v>Young Adult</v>
      </c>
      <c r="Y1285" s="4" t="s">
        <v>3561</v>
      </c>
      <c r="AB1285" s="4" t="str">
        <f t="shared" si="226"/>
        <v/>
      </c>
      <c r="AC1285" s="4" t="str">
        <f t="shared" si="227"/>
        <v>Unknown</v>
      </c>
      <c r="AD1285" s="4" t="s">
        <v>457</v>
      </c>
      <c r="AG1285" s="4" t="str">
        <f t="shared" si="228"/>
        <v>Not Applicable</v>
      </c>
      <c r="AK1285" s="4" t="s">
        <v>3573</v>
      </c>
      <c r="AL1285" s="4" t="str">
        <f t="shared" si="229"/>
        <v>Found</v>
      </c>
      <c r="AN1285" s="6">
        <v>7.55</v>
      </c>
      <c r="AO1285" s="4" t="str">
        <f t="shared" si="230"/>
        <v>Low</v>
      </c>
    </row>
    <row r="1286" spans="1:41">
      <c r="A1286">
        <v>3</v>
      </c>
      <c r="B1286" t="str">
        <f t="shared" si="220"/>
        <v>Third Class</v>
      </c>
      <c r="C1286">
        <v>0</v>
      </c>
      <c r="E1286" t="str">
        <f t="shared" si="221"/>
        <v>Died</v>
      </c>
      <c r="F1286" t="s">
        <v>1521</v>
      </c>
      <c r="G1286" t="s">
        <v>848</v>
      </c>
      <c r="H1286" t="s">
        <v>878</v>
      </c>
      <c r="I1286" t="str">
        <f t="shared" si="222"/>
        <v>Mr. Webber James</v>
      </c>
      <c r="J1286" t="s">
        <v>20</v>
      </c>
      <c r="K1286" t="str">
        <f t="shared" si="223"/>
        <v>Male</v>
      </c>
      <c r="L1286">
        <v>28</v>
      </c>
      <c r="O1286">
        <f t="shared" si="224"/>
        <v>28</v>
      </c>
      <c r="P1286">
        <v>0</v>
      </c>
      <c r="R1286" s="4">
        <v>0</v>
      </c>
      <c r="T1286" s="5">
        <v>8.0500000000000007</v>
      </c>
      <c r="W1286" s="4">
        <v>28</v>
      </c>
      <c r="X1286" s="4" t="str">
        <f t="shared" si="225"/>
        <v>Young Adult</v>
      </c>
      <c r="Y1286" s="4" t="s">
        <v>3561</v>
      </c>
      <c r="AB1286" s="4" t="str">
        <f t="shared" si="226"/>
        <v/>
      </c>
      <c r="AC1286" s="4" t="str">
        <f t="shared" si="227"/>
        <v>Unknown</v>
      </c>
      <c r="AD1286" s="4" t="s">
        <v>457</v>
      </c>
      <c r="AG1286" s="4" t="str">
        <f t="shared" si="228"/>
        <v>Not Applicable</v>
      </c>
      <c r="AK1286" s="4" t="s">
        <v>3573</v>
      </c>
      <c r="AL1286" s="4" t="str">
        <f t="shared" si="229"/>
        <v>Found</v>
      </c>
      <c r="AN1286" s="6">
        <v>8.0500000000000007</v>
      </c>
      <c r="AO1286" s="4" t="str">
        <f t="shared" si="230"/>
        <v>Low</v>
      </c>
    </row>
    <row r="1287" spans="1:41">
      <c r="A1287">
        <v>3</v>
      </c>
      <c r="B1287" t="str">
        <f t="shared" si="220"/>
        <v>Third Class</v>
      </c>
      <c r="C1287">
        <v>0</v>
      </c>
      <c r="E1287" t="str">
        <f t="shared" si="221"/>
        <v>Died</v>
      </c>
      <c r="F1287" t="s">
        <v>2224</v>
      </c>
      <c r="G1287" t="s">
        <v>848</v>
      </c>
      <c r="H1287" t="s">
        <v>2225</v>
      </c>
      <c r="I1287" t="str">
        <f t="shared" si="222"/>
        <v>Mr. Wenzel Linhart</v>
      </c>
      <c r="J1287" t="s">
        <v>20</v>
      </c>
      <c r="K1287" t="str">
        <f t="shared" si="223"/>
        <v>Male</v>
      </c>
      <c r="L1287">
        <v>32.5</v>
      </c>
      <c r="O1287">
        <f t="shared" si="224"/>
        <v>33</v>
      </c>
      <c r="P1287">
        <v>0</v>
      </c>
      <c r="R1287" s="4">
        <v>0</v>
      </c>
      <c r="T1287" s="5">
        <v>9.5</v>
      </c>
      <c r="W1287" s="4">
        <v>33</v>
      </c>
      <c r="X1287" s="4" t="str">
        <f t="shared" si="225"/>
        <v>Adult</v>
      </c>
      <c r="Y1287" s="4" t="s">
        <v>3561</v>
      </c>
      <c r="AB1287" s="4" t="str">
        <f t="shared" si="226"/>
        <v/>
      </c>
      <c r="AC1287" s="4" t="str">
        <f t="shared" si="227"/>
        <v>Unknown</v>
      </c>
      <c r="AD1287" s="4" t="s">
        <v>457</v>
      </c>
      <c r="AG1287" s="4" t="str">
        <f t="shared" si="228"/>
        <v>Not Applicable</v>
      </c>
      <c r="AH1287" s="4">
        <v>298</v>
      </c>
      <c r="AK1287" s="4">
        <v>298</v>
      </c>
      <c r="AL1287" s="4" t="str">
        <f t="shared" si="229"/>
        <v>Found</v>
      </c>
      <c r="AN1287" s="6">
        <v>9.5</v>
      </c>
      <c r="AO1287" s="4" t="str">
        <f t="shared" si="230"/>
        <v>Low</v>
      </c>
    </row>
    <row r="1288" spans="1:41">
      <c r="A1288">
        <v>3</v>
      </c>
      <c r="B1288" t="str">
        <f t="shared" si="220"/>
        <v>Third Class</v>
      </c>
      <c r="C1288">
        <v>1</v>
      </c>
      <c r="E1288" t="str">
        <f t="shared" si="221"/>
        <v>Survived</v>
      </c>
      <c r="F1288" t="s">
        <v>2226</v>
      </c>
      <c r="G1288" t="s">
        <v>849</v>
      </c>
      <c r="H1288" t="s">
        <v>912</v>
      </c>
      <c r="I1288" t="str">
        <f t="shared" si="222"/>
        <v>Mrs. Whabee George</v>
      </c>
      <c r="J1288" t="s">
        <v>47</v>
      </c>
      <c r="K1288" t="str">
        <f t="shared" si="223"/>
        <v>Female</v>
      </c>
      <c r="L1288">
        <v>38</v>
      </c>
      <c r="O1288">
        <f t="shared" si="224"/>
        <v>38</v>
      </c>
      <c r="P1288">
        <v>0</v>
      </c>
      <c r="R1288" s="4">
        <v>0</v>
      </c>
      <c r="T1288" s="5">
        <v>7.2291999999999996</v>
      </c>
      <c r="W1288" s="4">
        <v>38</v>
      </c>
      <c r="X1288" s="4" t="str">
        <f t="shared" si="225"/>
        <v>Adult</v>
      </c>
      <c r="Y1288" s="4" t="s">
        <v>3561</v>
      </c>
      <c r="AB1288" s="4" t="str">
        <f t="shared" si="226"/>
        <v/>
      </c>
      <c r="AC1288" s="4" t="str">
        <f t="shared" si="227"/>
        <v>Unknown</v>
      </c>
      <c r="AD1288" s="4" t="s">
        <v>3566</v>
      </c>
      <c r="AF1288" s="4" t="s">
        <v>62</v>
      </c>
      <c r="AG1288" s="4" t="str">
        <f t="shared" si="228"/>
        <v>C</v>
      </c>
      <c r="AK1288" s="4" t="s">
        <v>3573</v>
      </c>
      <c r="AL1288" s="4" t="str">
        <f t="shared" si="229"/>
        <v>Found</v>
      </c>
      <c r="AN1288" s="6">
        <v>7.2291999999999996</v>
      </c>
      <c r="AO1288" s="4" t="str">
        <f t="shared" si="230"/>
        <v>Low</v>
      </c>
    </row>
    <row r="1289" spans="1:41">
      <c r="A1289">
        <v>3</v>
      </c>
      <c r="B1289" t="str">
        <f t="shared" si="220"/>
        <v>Third Class</v>
      </c>
      <c r="C1289">
        <v>0</v>
      </c>
      <c r="E1289" t="str">
        <f t="shared" si="221"/>
        <v>Died</v>
      </c>
      <c r="F1289" t="s">
        <v>2227</v>
      </c>
      <c r="G1289" t="s">
        <v>848</v>
      </c>
      <c r="H1289" t="s">
        <v>2228</v>
      </c>
      <c r="I1289" t="str">
        <f t="shared" si="222"/>
        <v>Mr. Widegren Carl/Charles</v>
      </c>
      <c r="J1289" t="s">
        <v>20</v>
      </c>
      <c r="K1289" t="str">
        <f t="shared" si="223"/>
        <v>Male</v>
      </c>
      <c r="L1289">
        <v>51</v>
      </c>
      <c r="O1289">
        <f t="shared" si="224"/>
        <v>51</v>
      </c>
      <c r="P1289">
        <v>0</v>
      </c>
      <c r="R1289" s="4">
        <v>0</v>
      </c>
      <c r="T1289" s="5">
        <v>7.75</v>
      </c>
      <c r="W1289" s="4">
        <v>51</v>
      </c>
      <c r="X1289" s="4" t="str">
        <f t="shared" si="225"/>
        <v>Adult</v>
      </c>
      <c r="Y1289" s="4" t="s">
        <v>3561</v>
      </c>
      <c r="AB1289" s="4" t="str">
        <f t="shared" si="226"/>
        <v/>
      </c>
      <c r="AC1289" s="4" t="str">
        <f t="shared" si="227"/>
        <v>Unknown</v>
      </c>
      <c r="AD1289" s="4" t="s">
        <v>457</v>
      </c>
      <c r="AG1289" s="4" t="str">
        <f t="shared" si="228"/>
        <v>Not Applicable</v>
      </c>
      <c r="AK1289" s="4" t="s">
        <v>3573</v>
      </c>
      <c r="AL1289" s="4" t="str">
        <f t="shared" si="229"/>
        <v>Found</v>
      </c>
      <c r="AN1289" s="6">
        <v>7.75</v>
      </c>
      <c r="AO1289" s="4" t="str">
        <f t="shared" si="230"/>
        <v>Low</v>
      </c>
    </row>
    <row r="1290" spans="1:41">
      <c r="A1290">
        <v>3</v>
      </c>
      <c r="B1290" t="str">
        <f t="shared" si="220"/>
        <v>Third Class</v>
      </c>
      <c r="C1290">
        <v>0</v>
      </c>
      <c r="E1290" t="str">
        <f t="shared" si="221"/>
        <v>Died</v>
      </c>
      <c r="F1290" t="s">
        <v>2229</v>
      </c>
      <c r="G1290" t="s">
        <v>848</v>
      </c>
      <c r="H1290" t="s">
        <v>892</v>
      </c>
      <c r="I1290" t="str">
        <f t="shared" si="222"/>
        <v>Mr. Wiklund Jakob</v>
      </c>
      <c r="J1290" t="s">
        <v>20</v>
      </c>
      <c r="K1290" t="str">
        <f t="shared" si="223"/>
        <v>Male</v>
      </c>
      <c r="L1290">
        <v>18</v>
      </c>
      <c r="O1290">
        <f t="shared" si="224"/>
        <v>18</v>
      </c>
      <c r="P1290">
        <v>1</v>
      </c>
      <c r="R1290" s="4">
        <v>0</v>
      </c>
      <c r="T1290" s="5">
        <v>6.4958</v>
      </c>
      <c r="W1290" s="4">
        <v>18</v>
      </c>
      <c r="X1290" s="4" t="str">
        <f t="shared" si="225"/>
        <v>Young Adult</v>
      </c>
      <c r="Y1290" s="4" t="s">
        <v>3561</v>
      </c>
      <c r="AB1290" s="4" t="str">
        <f t="shared" si="226"/>
        <v/>
      </c>
      <c r="AC1290" s="4" t="str">
        <f t="shared" si="227"/>
        <v>Unknown</v>
      </c>
      <c r="AD1290" s="4" t="s">
        <v>457</v>
      </c>
      <c r="AG1290" s="4" t="str">
        <f t="shared" si="228"/>
        <v>Not Applicable</v>
      </c>
      <c r="AH1290" s="4">
        <v>314</v>
      </c>
      <c r="AK1290" s="4">
        <v>314</v>
      </c>
      <c r="AL1290" s="4" t="str">
        <f t="shared" si="229"/>
        <v>Found</v>
      </c>
      <c r="AN1290" s="6">
        <v>6.4958</v>
      </c>
      <c r="AO1290" s="4" t="str">
        <f t="shared" si="230"/>
        <v>Low</v>
      </c>
    </row>
    <row r="1291" spans="1:41">
      <c r="A1291">
        <v>3</v>
      </c>
      <c r="B1291" t="str">
        <f t="shared" si="220"/>
        <v>Third Class</v>
      </c>
      <c r="C1291">
        <v>0</v>
      </c>
      <c r="E1291" t="str">
        <f t="shared" si="221"/>
        <v>Died</v>
      </c>
      <c r="F1291" t="s">
        <v>2229</v>
      </c>
      <c r="G1291" t="s">
        <v>848</v>
      </c>
      <c r="H1291" t="s">
        <v>887</v>
      </c>
      <c r="I1291" t="str">
        <f t="shared" si="222"/>
        <v>Mr. Wiklund Karl</v>
      </c>
      <c r="J1291" t="s">
        <v>20</v>
      </c>
      <c r="K1291" t="str">
        <f t="shared" si="223"/>
        <v>Male</v>
      </c>
      <c r="L1291">
        <v>21</v>
      </c>
      <c r="O1291">
        <f t="shared" si="224"/>
        <v>21</v>
      </c>
      <c r="P1291">
        <v>1</v>
      </c>
      <c r="R1291" s="4">
        <v>0</v>
      </c>
      <c r="T1291" s="5">
        <v>6.4958</v>
      </c>
      <c r="W1291" s="4">
        <v>21</v>
      </c>
      <c r="X1291" s="4" t="str">
        <f t="shared" si="225"/>
        <v>Young Adult</v>
      </c>
      <c r="Y1291" s="4" t="s">
        <v>3561</v>
      </c>
      <c r="AB1291" s="4" t="str">
        <f t="shared" si="226"/>
        <v/>
      </c>
      <c r="AC1291" s="4" t="str">
        <f t="shared" si="227"/>
        <v>Unknown</v>
      </c>
      <c r="AD1291" s="4" t="s">
        <v>457</v>
      </c>
      <c r="AG1291" s="4" t="str">
        <f t="shared" si="228"/>
        <v>Not Applicable</v>
      </c>
      <c r="AK1291" s="4" t="s">
        <v>3573</v>
      </c>
      <c r="AL1291" s="4" t="str">
        <f t="shared" si="229"/>
        <v>Found</v>
      </c>
      <c r="AN1291" s="6">
        <v>6.4958</v>
      </c>
      <c r="AO1291" s="4" t="str">
        <f t="shared" si="230"/>
        <v>Low</v>
      </c>
    </row>
    <row r="1292" spans="1:41">
      <c r="A1292">
        <v>3</v>
      </c>
      <c r="B1292" t="str">
        <f t="shared" si="220"/>
        <v>Third Class</v>
      </c>
      <c r="C1292">
        <v>1</v>
      </c>
      <c r="E1292" t="str">
        <f t="shared" si="221"/>
        <v>Survived</v>
      </c>
      <c r="F1292" t="s">
        <v>2230</v>
      </c>
      <c r="G1292" t="s">
        <v>849</v>
      </c>
      <c r="H1292" t="s">
        <v>878</v>
      </c>
      <c r="I1292" t="str">
        <f t="shared" si="222"/>
        <v>Mrs. Wilkes James</v>
      </c>
      <c r="J1292" t="s">
        <v>47</v>
      </c>
      <c r="K1292" t="str">
        <f t="shared" si="223"/>
        <v>Female</v>
      </c>
      <c r="L1292">
        <v>47</v>
      </c>
      <c r="O1292">
        <f t="shared" si="224"/>
        <v>47</v>
      </c>
      <c r="P1292">
        <v>1</v>
      </c>
      <c r="R1292" s="4">
        <v>0</v>
      </c>
      <c r="T1292" s="5">
        <v>7</v>
      </c>
      <c r="W1292" s="4">
        <v>47</v>
      </c>
      <c r="X1292" s="4" t="str">
        <f t="shared" si="225"/>
        <v>Adult</v>
      </c>
      <c r="Y1292" s="4" t="s">
        <v>3561</v>
      </c>
      <c r="AB1292" s="4" t="str">
        <f t="shared" si="226"/>
        <v/>
      </c>
      <c r="AC1292" s="4" t="str">
        <f t="shared" si="227"/>
        <v>Unknown</v>
      </c>
      <c r="AD1292" s="4" t="s">
        <v>457</v>
      </c>
      <c r="AG1292" s="4" t="str">
        <f t="shared" si="228"/>
        <v>Not Applicable</v>
      </c>
      <c r="AK1292" s="4" t="s">
        <v>3573</v>
      </c>
      <c r="AL1292" s="4" t="str">
        <f t="shared" si="229"/>
        <v>Found</v>
      </c>
      <c r="AN1292" s="6">
        <v>7</v>
      </c>
      <c r="AO1292" s="4" t="str">
        <f t="shared" si="230"/>
        <v>Low</v>
      </c>
    </row>
    <row r="1293" spans="1:41">
      <c r="A1293">
        <v>3</v>
      </c>
      <c r="B1293" t="str">
        <f t="shared" si="220"/>
        <v>Third Class</v>
      </c>
      <c r="C1293">
        <v>0</v>
      </c>
      <c r="E1293" t="str">
        <f t="shared" si="221"/>
        <v>Died</v>
      </c>
      <c r="F1293" t="s">
        <v>2231</v>
      </c>
      <c r="G1293" t="s">
        <v>848</v>
      </c>
      <c r="H1293" t="s">
        <v>1510</v>
      </c>
      <c r="I1293" t="str">
        <f t="shared" si="222"/>
        <v>Mr. Willer Aaron</v>
      </c>
      <c r="J1293" t="s">
        <v>20</v>
      </c>
      <c r="K1293" t="str">
        <f t="shared" si="223"/>
        <v>Male</v>
      </c>
      <c r="L1293">
        <v>28</v>
      </c>
      <c r="O1293">
        <f t="shared" si="224"/>
        <v>28</v>
      </c>
      <c r="P1293">
        <v>0</v>
      </c>
      <c r="R1293" s="4">
        <v>0</v>
      </c>
      <c r="T1293" s="5">
        <v>8.7125000000000004</v>
      </c>
      <c r="W1293" s="4">
        <v>28</v>
      </c>
      <c r="X1293" s="4" t="str">
        <f t="shared" si="225"/>
        <v>Young Adult</v>
      </c>
      <c r="Y1293" s="4" t="s">
        <v>3561</v>
      </c>
      <c r="AB1293" s="4" t="str">
        <f t="shared" si="226"/>
        <v/>
      </c>
      <c r="AC1293" s="4" t="str">
        <f t="shared" si="227"/>
        <v>Unknown</v>
      </c>
      <c r="AD1293" s="4" t="s">
        <v>457</v>
      </c>
      <c r="AG1293" s="4" t="str">
        <f t="shared" si="228"/>
        <v>Not Applicable</v>
      </c>
      <c r="AK1293" s="4" t="s">
        <v>3573</v>
      </c>
      <c r="AL1293" s="4" t="str">
        <f t="shared" si="229"/>
        <v>Found</v>
      </c>
      <c r="AN1293" s="6">
        <v>8.7125000000000004</v>
      </c>
      <c r="AO1293" s="4" t="str">
        <f t="shared" si="230"/>
        <v>Low</v>
      </c>
    </row>
    <row r="1294" spans="1:41">
      <c r="A1294">
        <v>3</v>
      </c>
      <c r="B1294" t="str">
        <f t="shared" si="220"/>
        <v>Third Class</v>
      </c>
      <c r="C1294">
        <v>0</v>
      </c>
      <c r="E1294" t="str">
        <f t="shared" si="221"/>
        <v>Died</v>
      </c>
      <c r="F1294" t="s">
        <v>2232</v>
      </c>
      <c r="G1294" t="s">
        <v>848</v>
      </c>
      <c r="H1294" t="s">
        <v>857</v>
      </c>
      <c r="I1294" t="str">
        <f t="shared" si="222"/>
        <v>Mr. Willey Edward</v>
      </c>
      <c r="J1294" t="s">
        <v>20</v>
      </c>
      <c r="K1294" t="str">
        <f t="shared" si="223"/>
        <v>Male</v>
      </c>
      <c r="L1294">
        <v>28</v>
      </c>
      <c r="O1294">
        <f t="shared" si="224"/>
        <v>28</v>
      </c>
      <c r="P1294">
        <v>0</v>
      </c>
      <c r="R1294" s="4">
        <v>0</v>
      </c>
      <c r="T1294" s="5">
        <v>7.55</v>
      </c>
      <c r="W1294" s="4">
        <v>28</v>
      </c>
      <c r="X1294" s="4" t="str">
        <f t="shared" si="225"/>
        <v>Young Adult</v>
      </c>
      <c r="Y1294" s="4" t="s">
        <v>3561</v>
      </c>
      <c r="AB1294" s="4" t="str">
        <f t="shared" si="226"/>
        <v/>
      </c>
      <c r="AC1294" s="4" t="str">
        <f t="shared" si="227"/>
        <v>Unknown</v>
      </c>
      <c r="AD1294" s="4" t="s">
        <v>457</v>
      </c>
      <c r="AG1294" s="4" t="str">
        <f t="shared" si="228"/>
        <v>Not Applicable</v>
      </c>
      <c r="AK1294" s="4" t="s">
        <v>3573</v>
      </c>
      <c r="AL1294" s="4" t="str">
        <f t="shared" si="229"/>
        <v>Found</v>
      </c>
      <c r="AN1294" s="6">
        <v>7.55</v>
      </c>
      <c r="AO1294" s="4" t="str">
        <f t="shared" si="230"/>
        <v>Low</v>
      </c>
    </row>
    <row r="1295" spans="1:41">
      <c r="A1295">
        <v>3</v>
      </c>
      <c r="B1295" t="str">
        <f t="shared" si="220"/>
        <v>Third Class</v>
      </c>
      <c r="C1295">
        <v>0</v>
      </c>
      <c r="E1295" t="str">
        <f t="shared" si="221"/>
        <v>Died</v>
      </c>
      <c r="F1295" t="s">
        <v>990</v>
      </c>
      <c r="G1295" t="s">
        <v>848</v>
      </c>
      <c r="H1295" t="s">
        <v>947</v>
      </c>
      <c r="I1295" t="str">
        <f t="shared" si="222"/>
        <v>Mr. Williams Howard</v>
      </c>
      <c r="J1295" t="s">
        <v>20</v>
      </c>
      <c r="K1295" t="str">
        <f t="shared" si="223"/>
        <v>Male</v>
      </c>
      <c r="L1295">
        <v>28</v>
      </c>
      <c r="O1295">
        <f t="shared" si="224"/>
        <v>28</v>
      </c>
      <c r="P1295">
        <v>0</v>
      </c>
      <c r="R1295" s="4">
        <v>0</v>
      </c>
      <c r="T1295" s="5">
        <v>8.0500000000000007</v>
      </c>
      <c r="W1295" s="4">
        <v>28</v>
      </c>
      <c r="X1295" s="4" t="str">
        <f t="shared" si="225"/>
        <v>Young Adult</v>
      </c>
      <c r="Y1295" s="4" t="s">
        <v>3561</v>
      </c>
      <c r="AB1295" s="4" t="str">
        <f t="shared" si="226"/>
        <v/>
      </c>
      <c r="AC1295" s="4" t="str">
        <f t="shared" si="227"/>
        <v>Unknown</v>
      </c>
      <c r="AD1295" s="4" t="s">
        <v>457</v>
      </c>
      <c r="AG1295" s="4" t="str">
        <f t="shared" si="228"/>
        <v>Not Applicable</v>
      </c>
      <c r="AK1295" s="4" t="s">
        <v>3573</v>
      </c>
      <c r="AL1295" s="4" t="str">
        <f t="shared" si="229"/>
        <v>Found</v>
      </c>
      <c r="AN1295" s="6">
        <v>8.0500000000000007</v>
      </c>
      <c r="AO1295" s="4" t="str">
        <f t="shared" si="230"/>
        <v>Low</v>
      </c>
    </row>
    <row r="1296" spans="1:41">
      <c r="A1296">
        <v>3</v>
      </c>
      <c r="B1296" t="str">
        <f t="shared" si="220"/>
        <v>Third Class</v>
      </c>
      <c r="C1296">
        <v>0</v>
      </c>
      <c r="E1296" t="str">
        <f t="shared" si="221"/>
        <v>Died</v>
      </c>
      <c r="F1296" t="s">
        <v>990</v>
      </c>
      <c r="G1296" t="s">
        <v>848</v>
      </c>
      <c r="H1296" t="s">
        <v>1683</v>
      </c>
      <c r="I1296" t="str">
        <f t="shared" si="222"/>
        <v>Mr. Williams Leslie</v>
      </c>
      <c r="J1296" t="s">
        <v>20</v>
      </c>
      <c r="K1296" t="str">
        <f t="shared" si="223"/>
        <v>Male</v>
      </c>
      <c r="L1296">
        <v>28.5</v>
      </c>
      <c r="O1296">
        <f t="shared" si="224"/>
        <v>29</v>
      </c>
      <c r="P1296">
        <v>0</v>
      </c>
      <c r="R1296" s="4">
        <v>0</v>
      </c>
      <c r="T1296" s="5">
        <v>16.100000000000001</v>
      </c>
      <c r="W1296" s="4">
        <v>29</v>
      </c>
      <c r="X1296" s="4" t="str">
        <f t="shared" si="225"/>
        <v>Young Adult</v>
      </c>
      <c r="Y1296" s="4" t="s">
        <v>3561</v>
      </c>
      <c r="AB1296" s="4" t="str">
        <f t="shared" si="226"/>
        <v/>
      </c>
      <c r="AC1296" s="4" t="str">
        <f t="shared" si="227"/>
        <v>Unknown</v>
      </c>
      <c r="AD1296" s="4" t="s">
        <v>457</v>
      </c>
      <c r="AG1296" s="4" t="str">
        <f t="shared" si="228"/>
        <v>Not Applicable</v>
      </c>
      <c r="AH1296" s="4">
        <v>14</v>
      </c>
      <c r="AK1296" s="4">
        <v>14</v>
      </c>
      <c r="AL1296" s="4" t="str">
        <f t="shared" si="229"/>
        <v>Found</v>
      </c>
      <c r="AN1296" s="6">
        <v>16.100000000000001</v>
      </c>
      <c r="AO1296" s="4" t="str">
        <f t="shared" si="230"/>
        <v>Mid</v>
      </c>
    </row>
    <row r="1297" spans="1:41">
      <c r="A1297">
        <v>3</v>
      </c>
      <c r="B1297" t="str">
        <f t="shared" si="220"/>
        <v>Third Class</v>
      </c>
      <c r="C1297">
        <v>0</v>
      </c>
      <c r="E1297" t="str">
        <f t="shared" si="221"/>
        <v>Died</v>
      </c>
      <c r="F1297" t="s">
        <v>2233</v>
      </c>
      <c r="G1297" t="s">
        <v>848</v>
      </c>
      <c r="H1297" t="s">
        <v>1855</v>
      </c>
      <c r="I1297" t="str">
        <f t="shared" si="222"/>
        <v>Mr. Windelov Einar</v>
      </c>
      <c r="J1297" t="s">
        <v>20</v>
      </c>
      <c r="K1297" t="str">
        <f t="shared" si="223"/>
        <v>Male</v>
      </c>
      <c r="L1297">
        <v>21</v>
      </c>
      <c r="O1297">
        <f t="shared" si="224"/>
        <v>21</v>
      </c>
      <c r="P1297">
        <v>0</v>
      </c>
      <c r="R1297" s="4">
        <v>0</v>
      </c>
      <c r="T1297" s="5">
        <v>7.25</v>
      </c>
      <c r="W1297" s="4">
        <v>21</v>
      </c>
      <c r="X1297" s="4" t="str">
        <f t="shared" si="225"/>
        <v>Young Adult</v>
      </c>
      <c r="Y1297" s="4" t="s">
        <v>3561</v>
      </c>
      <c r="AB1297" s="4" t="str">
        <f t="shared" si="226"/>
        <v/>
      </c>
      <c r="AC1297" s="4" t="str">
        <f t="shared" si="227"/>
        <v>Unknown</v>
      </c>
      <c r="AD1297" s="4" t="s">
        <v>457</v>
      </c>
      <c r="AG1297" s="4" t="str">
        <f t="shared" si="228"/>
        <v>Not Applicable</v>
      </c>
      <c r="AK1297" s="4" t="s">
        <v>3573</v>
      </c>
      <c r="AL1297" s="4" t="str">
        <f t="shared" si="229"/>
        <v>Found</v>
      </c>
      <c r="AN1297" s="6">
        <v>7.25</v>
      </c>
      <c r="AO1297" s="4" t="str">
        <f t="shared" si="230"/>
        <v>Low</v>
      </c>
    </row>
    <row r="1298" spans="1:41">
      <c r="A1298">
        <v>3</v>
      </c>
      <c r="B1298" t="str">
        <f t="shared" si="220"/>
        <v>Third Class</v>
      </c>
      <c r="C1298">
        <v>0</v>
      </c>
      <c r="E1298" t="str">
        <f t="shared" si="221"/>
        <v>Died</v>
      </c>
      <c r="F1298" t="s">
        <v>2234</v>
      </c>
      <c r="G1298" t="s">
        <v>848</v>
      </c>
      <c r="H1298" t="s">
        <v>995</v>
      </c>
      <c r="I1298" t="str">
        <f t="shared" si="222"/>
        <v>Mr. Wirz Albert</v>
      </c>
      <c r="J1298" t="s">
        <v>20</v>
      </c>
      <c r="K1298" t="str">
        <f t="shared" si="223"/>
        <v>Male</v>
      </c>
      <c r="L1298">
        <v>27</v>
      </c>
      <c r="O1298">
        <f t="shared" si="224"/>
        <v>27</v>
      </c>
      <c r="P1298">
        <v>0</v>
      </c>
      <c r="R1298" s="4">
        <v>0</v>
      </c>
      <c r="T1298" s="5">
        <v>8.6624999999999996</v>
      </c>
      <c r="W1298" s="4">
        <v>27</v>
      </c>
      <c r="X1298" s="4" t="str">
        <f t="shared" si="225"/>
        <v>Young Adult</v>
      </c>
      <c r="Y1298" s="4" t="s">
        <v>3561</v>
      </c>
      <c r="AB1298" s="4" t="str">
        <f t="shared" si="226"/>
        <v/>
      </c>
      <c r="AC1298" s="4" t="str">
        <f t="shared" si="227"/>
        <v>Unknown</v>
      </c>
      <c r="AD1298" s="4" t="s">
        <v>457</v>
      </c>
      <c r="AG1298" s="4" t="str">
        <f t="shared" si="228"/>
        <v>Not Applicable</v>
      </c>
      <c r="AH1298" s="4">
        <v>131</v>
      </c>
      <c r="AK1298" s="4">
        <v>131</v>
      </c>
      <c r="AL1298" s="4" t="str">
        <f t="shared" si="229"/>
        <v>Found</v>
      </c>
      <c r="AN1298" s="6">
        <v>8.6624999999999996</v>
      </c>
      <c r="AO1298" s="4" t="str">
        <f t="shared" si="230"/>
        <v>Low</v>
      </c>
    </row>
    <row r="1299" spans="1:41">
      <c r="A1299">
        <v>3</v>
      </c>
      <c r="B1299" t="str">
        <f t="shared" si="220"/>
        <v>Third Class</v>
      </c>
      <c r="C1299">
        <v>0</v>
      </c>
      <c r="E1299" t="str">
        <f t="shared" si="221"/>
        <v>Died</v>
      </c>
      <c r="F1299" t="s">
        <v>2235</v>
      </c>
      <c r="G1299" t="s">
        <v>848</v>
      </c>
      <c r="H1299" t="s">
        <v>2236</v>
      </c>
      <c r="I1299" t="str">
        <f t="shared" si="222"/>
        <v>Mr. Wiseman Phillippe</v>
      </c>
      <c r="J1299" t="s">
        <v>20</v>
      </c>
      <c r="K1299" t="str">
        <f t="shared" si="223"/>
        <v>Male</v>
      </c>
      <c r="L1299">
        <v>28</v>
      </c>
      <c r="O1299">
        <f t="shared" si="224"/>
        <v>28</v>
      </c>
      <c r="P1299">
        <v>0</v>
      </c>
      <c r="R1299" s="4">
        <v>0</v>
      </c>
      <c r="T1299" s="5">
        <v>7.25</v>
      </c>
      <c r="W1299" s="4">
        <v>28</v>
      </c>
      <c r="X1299" s="4" t="str">
        <f t="shared" si="225"/>
        <v>Young Adult</v>
      </c>
      <c r="Y1299" s="4" t="s">
        <v>3561</v>
      </c>
      <c r="AB1299" s="4" t="str">
        <f t="shared" si="226"/>
        <v/>
      </c>
      <c r="AC1299" s="4" t="str">
        <f t="shared" si="227"/>
        <v>Unknown</v>
      </c>
      <c r="AD1299" s="4" t="s">
        <v>457</v>
      </c>
      <c r="AG1299" s="4" t="str">
        <f t="shared" si="228"/>
        <v>Not Applicable</v>
      </c>
      <c r="AK1299" s="4" t="s">
        <v>3573</v>
      </c>
      <c r="AL1299" s="4" t="str">
        <f t="shared" si="229"/>
        <v>Found</v>
      </c>
      <c r="AN1299" s="6">
        <v>7.25</v>
      </c>
      <c r="AO1299" s="4" t="str">
        <f t="shared" si="230"/>
        <v>Low</v>
      </c>
    </row>
    <row r="1300" spans="1:41">
      <c r="A1300">
        <v>3</v>
      </c>
      <c r="B1300" t="str">
        <f t="shared" si="220"/>
        <v>Third Class</v>
      </c>
      <c r="C1300">
        <v>0</v>
      </c>
      <c r="E1300" t="str">
        <f t="shared" si="221"/>
        <v>Died</v>
      </c>
      <c r="F1300" t="s">
        <v>2237</v>
      </c>
      <c r="G1300" t="s">
        <v>848</v>
      </c>
      <c r="H1300" t="s">
        <v>2238</v>
      </c>
      <c r="I1300" t="str">
        <f t="shared" si="222"/>
        <v>Mr. Wittevrongel Camille</v>
      </c>
      <c r="J1300" t="s">
        <v>20</v>
      </c>
      <c r="K1300" t="str">
        <f t="shared" si="223"/>
        <v>Male</v>
      </c>
      <c r="L1300">
        <v>36</v>
      </c>
      <c r="O1300">
        <f t="shared" si="224"/>
        <v>36</v>
      </c>
      <c r="P1300">
        <v>0</v>
      </c>
      <c r="R1300" s="4">
        <v>0</v>
      </c>
      <c r="T1300" s="5">
        <v>9.5</v>
      </c>
      <c r="W1300" s="4">
        <v>36</v>
      </c>
      <c r="X1300" s="4" t="str">
        <f t="shared" si="225"/>
        <v>Adult</v>
      </c>
      <c r="Y1300" s="4" t="s">
        <v>3561</v>
      </c>
      <c r="AB1300" s="4" t="str">
        <f t="shared" si="226"/>
        <v/>
      </c>
      <c r="AC1300" s="4" t="str">
        <f t="shared" si="227"/>
        <v>Unknown</v>
      </c>
      <c r="AD1300" s="4" t="s">
        <v>457</v>
      </c>
      <c r="AG1300" s="4" t="str">
        <f t="shared" si="228"/>
        <v>Not Applicable</v>
      </c>
      <c r="AK1300" s="4" t="s">
        <v>3573</v>
      </c>
      <c r="AL1300" s="4" t="str">
        <f t="shared" si="229"/>
        <v>Found</v>
      </c>
      <c r="AN1300" s="6">
        <v>9.5</v>
      </c>
      <c r="AO1300" s="4" t="str">
        <f t="shared" si="230"/>
        <v>Low</v>
      </c>
    </row>
    <row r="1301" spans="1:41">
      <c r="A1301">
        <v>3</v>
      </c>
      <c r="B1301" t="str">
        <f t="shared" si="220"/>
        <v>Third Class</v>
      </c>
      <c r="C1301">
        <v>0</v>
      </c>
      <c r="E1301" t="str">
        <f t="shared" si="221"/>
        <v>Died</v>
      </c>
      <c r="F1301" t="s">
        <v>2239</v>
      </c>
      <c r="G1301" t="s">
        <v>848</v>
      </c>
      <c r="H1301" t="s">
        <v>2240</v>
      </c>
      <c r="I1301" t="str">
        <f t="shared" si="222"/>
        <v>Mr. Yasbeck Antoni</v>
      </c>
      <c r="J1301" t="s">
        <v>20</v>
      </c>
      <c r="K1301" t="str">
        <f t="shared" si="223"/>
        <v>Male</v>
      </c>
      <c r="L1301">
        <v>27</v>
      </c>
      <c r="O1301">
        <f t="shared" si="224"/>
        <v>27</v>
      </c>
      <c r="P1301">
        <v>1</v>
      </c>
      <c r="R1301" s="4">
        <v>0</v>
      </c>
      <c r="T1301" s="5">
        <v>14.4542</v>
      </c>
      <c r="W1301" s="4">
        <v>27</v>
      </c>
      <c r="X1301" s="4" t="str">
        <f t="shared" si="225"/>
        <v>Young Adult</v>
      </c>
      <c r="Y1301" s="4" t="s">
        <v>3561</v>
      </c>
      <c r="AB1301" s="4" t="str">
        <f t="shared" si="226"/>
        <v/>
      </c>
      <c r="AC1301" s="4" t="str">
        <f t="shared" si="227"/>
        <v>Unknown</v>
      </c>
      <c r="AD1301" s="4" t="s">
        <v>3566</v>
      </c>
      <c r="AF1301" s="4" t="s">
        <v>62</v>
      </c>
      <c r="AG1301" s="4" t="str">
        <f t="shared" si="228"/>
        <v>C</v>
      </c>
      <c r="AK1301" s="4" t="s">
        <v>3573</v>
      </c>
      <c r="AL1301" s="4" t="str">
        <f t="shared" si="229"/>
        <v>Found</v>
      </c>
      <c r="AN1301" s="6">
        <v>14.4542</v>
      </c>
      <c r="AO1301" s="4" t="str">
        <f t="shared" si="230"/>
        <v>Mid</v>
      </c>
    </row>
    <row r="1302" spans="1:41">
      <c r="A1302">
        <v>3</v>
      </c>
      <c r="B1302" t="str">
        <f t="shared" si="220"/>
        <v>Third Class</v>
      </c>
      <c r="C1302">
        <v>1</v>
      </c>
      <c r="E1302" t="str">
        <f t="shared" si="221"/>
        <v>Survived</v>
      </c>
      <c r="F1302" t="s">
        <v>2239</v>
      </c>
      <c r="G1302" t="s">
        <v>849</v>
      </c>
      <c r="H1302" t="s">
        <v>2240</v>
      </c>
      <c r="I1302" t="str">
        <f t="shared" si="222"/>
        <v>Mrs. Yasbeck Antoni</v>
      </c>
      <c r="J1302" t="s">
        <v>47</v>
      </c>
      <c r="K1302" t="str">
        <f t="shared" si="223"/>
        <v>Female</v>
      </c>
      <c r="L1302">
        <v>15</v>
      </c>
      <c r="O1302">
        <f t="shared" si="224"/>
        <v>15</v>
      </c>
      <c r="P1302">
        <v>1</v>
      </c>
      <c r="R1302" s="4">
        <v>0</v>
      </c>
      <c r="T1302" s="5">
        <v>14.4542</v>
      </c>
      <c r="W1302" s="4">
        <v>15</v>
      </c>
      <c r="X1302" s="4" t="str">
        <f t="shared" si="225"/>
        <v>Teenager</v>
      </c>
      <c r="Y1302" s="4" t="s">
        <v>3561</v>
      </c>
      <c r="AB1302" s="4" t="str">
        <f t="shared" si="226"/>
        <v/>
      </c>
      <c r="AC1302" s="4" t="str">
        <f t="shared" si="227"/>
        <v>Unknown</v>
      </c>
      <c r="AD1302" s="4" t="s">
        <v>3566</v>
      </c>
      <c r="AG1302" s="4" t="str">
        <f t="shared" si="228"/>
        <v>Not Applicable</v>
      </c>
      <c r="AK1302" s="4" t="s">
        <v>3573</v>
      </c>
      <c r="AL1302" s="4" t="str">
        <f t="shared" si="229"/>
        <v>Found</v>
      </c>
      <c r="AN1302" s="6">
        <v>14.4542</v>
      </c>
      <c r="AO1302" s="4" t="str">
        <f t="shared" si="230"/>
        <v>Mid</v>
      </c>
    </row>
    <row r="1303" spans="1:41">
      <c r="A1303">
        <v>3</v>
      </c>
      <c r="B1303" t="str">
        <f t="shared" si="220"/>
        <v>Third Class</v>
      </c>
      <c r="C1303">
        <v>0</v>
      </c>
      <c r="E1303" t="str">
        <f t="shared" si="221"/>
        <v>Died</v>
      </c>
      <c r="F1303" t="s">
        <v>2241</v>
      </c>
      <c r="G1303" t="s">
        <v>848</v>
      </c>
      <c r="H1303" t="s">
        <v>2242</v>
      </c>
      <c r="I1303" t="str">
        <f t="shared" si="222"/>
        <v>Mr. Youseff Gerious</v>
      </c>
      <c r="J1303" t="s">
        <v>20</v>
      </c>
      <c r="K1303" t="str">
        <f t="shared" si="223"/>
        <v>Male</v>
      </c>
      <c r="L1303">
        <v>45.5</v>
      </c>
      <c r="O1303">
        <f t="shared" si="224"/>
        <v>46</v>
      </c>
      <c r="P1303">
        <v>0</v>
      </c>
      <c r="R1303" s="4">
        <v>0</v>
      </c>
      <c r="T1303" s="5">
        <v>7.2249999999999996</v>
      </c>
      <c r="W1303" s="4">
        <v>46</v>
      </c>
      <c r="X1303" s="4" t="str">
        <f t="shared" si="225"/>
        <v>Adult</v>
      </c>
      <c r="Y1303" s="4" t="s">
        <v>3561</v>
      </c>
      <c r="AB1303" s="4" t="str">
        <f t="shared" si="226"/>
        <v/>
      </c>
      <c r="AC1303" s="4" t="str">
        <f t="shared" si="227"/>
        <v>Unknown</v>
      </c>
      <c r="AD1303" s="4" t="s">
        <v>3566</v>
      </c>
      <c r="AG1303" s="4" t="str">
        <f t="shared" si="228"/>
        <v>Not Applicable</v>
      </c>
      <c r="AH1303" s="4">
        <v>312</v>
      </c>
      <c r="AK1303" s="4">
        <v>312</v>
      </c>
      <c r="AL1303" s="4" t="str">
        <f t="shared" si="229"/>
        <v>Found</v>
      </c>
      <c r="AN1303" s="6">
        <v>7.2249999999999996</v>
      </c>
      <c r="AO1303" s="4" t="str">
        <f t="shared" si="230"/>
        <v>Low</v>
      </c>
    </row>
    <row r="1304" spans="1:41">
      <c r="A1304">
        <v>3</v>
      </c>
      <c r="B1304" t="str">
        <f t="shared" si="220"/>
        <v>Third Class</v>
      </c>
      <c r="C1304">
        <v>0</v>
      </c>
      <c r="E1304" t="str">
        <f t="shared" si="221"/>
        <v>Died</v>
      </c>
      <c r="F1304" t="s">
        <v>2243</v>
      </c>
      <c r="G1304" t="s">
        <v>848</v>
      </c>
      <c r="H1304" t="s">
        <v>2244</v>
      </c>
      <c r="I1304" t="str">
        <f t="shared" si="222"/>
        <v>Mr. Yousif Wazli</v>
      </c>
      <c r="J1304" t="s">
        <v>20</v>
      </c>
      <c r="K1304" t="str">
        <f t="shared" si="223"/>
        <v>Male</v>
      </c>
      <c r="L1304">
        <v>28</v>
      </c>
      <c r="O1304">
        <f t="shared" si="224"/>
        <v>28</v>
      </c>
      <c r="P1304">
        <v>0</v>
      </c>
      <c r="R1304" s="4">
        <v>0</v>
      </c>
      <c r="T1304" s="5">
        <v>7.2249999999999996</v>
      </c>
      <c r="W1304" s="4">
        <v>28</v>
      </c>
      <c r="X1304" s="4" t="str">
        <f t="shared" si="225"/>
        <v>Young Adult</v>
      </c>
      <c r="Y1304" s="4" t="s">
        <v>3561</v>
      </c>
      <c r="AB1304" s="4" t="str">
        <f t="shared" si="226"/>
        <v/>
      </c>
      <c r="AC1304" s="4" t="str">
        <f t="shared" si="227"/>
        <v>Unknown</v>
      </c>
      <c r="AD1304" s="4" t="s">
        <v>3566</v>
      </c>
      <c r="AG1304" s="4" t="str">
        <f t="shared" si="228"/>
        <v>Not Applicable</v>
      </c>
      <c r="AK1304" s="4" t="s">
        <v>3573</v>
      </c>
      <c r="AL1304" s="4" t="str">
        <f t="shared" si="229"/>
        <v>Found</v>
      </c>
      <c r="AN1304" s="6">
        <v>7.2249999999999996</v>
      </c>
      <c r="AO1304" s="4" t="str">
        <f t="shared" si="230"/>
        <v>Low</v>
      </c>
    </row>
    <row r="1305" spans="1:41">
      <c r="A1305">
        <v>3</v>
      </c>
      <c r="B1305" t="str">
        <f t="shared" si="220"/>
        <v>Third Class</v>
      </c>
      <c r="C1305">
        <v>0</v>
      </c>
      <c r="E1305" t="str">
        <f t="shared" si="221"/>
        <v>Died</v>
      </c>
      <c r="F1305" t="s">
        <v>1818</v>
      </c>
      <c r="G1305" t="s">
        <v>848</v>
      </c>
      <c r="H1305" t="s">
        <v>2242</v>
      </c>
      <c r="I1305" t="str">
        <f t="shared" si="222"/>
        <v>Mr. Yousseff Gerious</v>
      </c>
      <c r="J1305" t="s">
        <v>20</v>
      </c>
      <c r="K1305" t="str">
        <f t="shared" si="223"/>
        <v>Male</v>
      </c>
      <c r="L1305">
        <v>28</v>
      </c>
      <c r="O1305">
        <f t="shared" si="224"/>
        <v>28</v>
      </c>
      <c r="P1305">
        <v>0</v>
      </c>
      <c r="R1305" s="4">
        <v>0</v>
      </c>
      <c r="T1305" s="5">
        <v>14.458299999999999</v>
      </c>
      <c r="W1305" s="4">
        <v>28</v>
      </c>
      <c r="X1305" s="4" t="str">
        <f t="shared" si="225"/>
        <v>Young Adult</v>
      </c>
      <c r="Y1305" s="4" t="s">
        <v>3561</v>
      </c>
      <c r="AB1305" s="4" t="str">
        <f t="shared" si="226"/>
        <v/>
      </c>
      <c r="AC1305" s="4" t="str">
        <f t="shared" si="227"/>
        <v>Unknown</v>
      </c>
      <c r="AD1305" s="4" t="s">
        <v>3566</v>
      </c>
      <c r="AG1305" s="4" t="str">
        <f t="shared" si="228"/>
        <v>Not Applicable</v>
      </c>
      <c r="AK1305" s="4" t="s">
        <v>3573</v>
      </c>
      <c r="AL1305" s="4" t="str">
        <f t="shared" si="229"/>
        <v>Found</v>
      </c>
      <c r="AN1305" s="6">
        <v>14.458299999999999</v>
      </c>
      <c r="AO1305" s="4" t="str">
        <f t="shared" si="230"/>
        <v>Mid</v>
      </c>
    </row>
    <row r="1306" spans="1:41">
      <c r="A1306">
        <v>3</v>
      </c>
      <c r="B1306" t="str">
        <f t="shared" si="220"/>
        <v>Third Class</v>
      </c>
      <c r="C1306">
        <v>0</v>
      </c>
      <c r="E1306" t="str">
        <f t="shared" si="221"/>
        <v>Died</v>
      </c>
      <c r="F1306" t="s">
        <v>2245</v>
      </c>
      <c r="G1306" t="s">
        <v>842</v>
      </c>
      <c r="H1306" t="s">
        <v>2246</v>
      </c>
      <c r="I1306" t="str">
        <f t="shared" si="222"/>
        <v>Miss. Zabour Hileni</v>
      </c>
      <c r="J1306" t="s">
        <v>47</v>
      </c>
      <c r="K1306" t="str">
        <f t="shared" si="223"/>
        <v>Female</v>
      </c>
      <c r="L1306">
        <v>14.5</v>
      </c>
      <c r="O1306">
        <f t="shared" si="224"/>
        <v>15</v>
      </c>
      <c r="P1306">
        <v>1</v>
      </c>
      <c r="R1306" s="4">
        <v>0</v>
      </c>
      <c r="T1306" s="5">
        <v>14.4542</v>
      </c>
      <c r="W1306" s="4">
        <v>15</v>
      </c>
      <c r="X1306" s="4" t="str">
        <f t="shared" si="225"/>
        <v>Teenager</v>
      </c>
      <c r="Y1306" s="4" t="s">
        <v>3561</v>
      </c>
      <c r="AB1306" s="4" t="str">
        <f t="shared" si="226"/>
        <v/>
      </c>
      <c r="AC1306" s="4" t="str">
        <f t="shared" si="227"/>
        <v>Unknown</v>
      </c>
      <c r="AD1306" s="4" t="s">
        <v>3566</v>
      </c>
      <c r="AG1306" s="4" t="str">
        <f t="shared" si="228"/>
        <v>Not Applicable</v>
      </c>
      <c r="AH1306" s="4">
        <v>328</v>
      </c>
      <c r="AK1306" s="4">
        <v>328</v>
      </c>
      <c r="AL1306" s="4" t="str">
        <f t="shared" si="229"/>
        <v>Found</v>
      </c>
      <c r="AN1306" s="6">
        <v>14.4542</v>
      </c>
      <c r="AO1306" s="4" t="str">
        <f t="shared" si="230"/>
        <v>Mid</v>
      </c>
    </row>
    <row r="1307" spans="1:41">
      <c r="A1307">
        <v>3</v>
      </c>
      <c r="B1307" t="str">
        <f t="shared" si="220"/>
        <v>Third Class</v>
      </c>
      <c r="C1307">
        <v>0</v>
      </c>
      <c r="E1307" t="str">
        <f t="shared" si="221"/>
        <v>Died</v>
      </c>
      <c r="F1307" t="s">
        <v>2245</v>
      </c>
      <c r="G1307" t="s">
        <v>842</v>
      </c>
      <c r="H1307" t="s">
        <v>2247</v>
      </c>
      <c r="I1307" t="str">
        <f t="shared" si="222"/>
        <v>Miss. Zabour Thamine</v>
      </c>
      <c r="J1307" t="s">
        <v>47</v>
      </c>
      <c r="K1307" t="str">
        <f t="shared" si="223"/>
        <v>Female</v>
      </c>
      <c r="L1307">
        <v>28</v>
      </c>
      <c r="O1307">
        <f t="shared" si="224"/>
        <v>28</v>
      </c>
      <c r="P1307">
        <v>1</v>
      </c>
      <c r="R1307" s="4">
        <v>0</v>
      </c>
      <c r="T1307" s="5">
        <v>14.4542</v>
      </c>
      <c r="W1307" s="4">
        <v>28</v>
      </c>
      <c r="X1307" s="4" t="str">
        <f t="shared" si="225"/>
        <v>Young Adult</v>
      </c>
      <c r="Y1307" s="4" t="s">
        <v>3561</v>
      </c>
      <c r="AB1307" s="4" t="str">
        <f t="shared" si="226"/>
        <v/>
      </c>
      <c r="AC1307" s="4" t="str">
        <f t="shared" si="227"/>
        <v>Unknown</v>
      </c>
      <c r="AD1307" s="4" t="s">
        <v>3566</v>
      </c>
      <c r="AG1307" s="4" t="str">
        <f t="shared" si="228"/>
        <v>Not Applicable</v>
      </c>
      <c r="AK1307" s="4" t="s">
        <v>3573</v>
      </c>
      <c r="AL1307" s="4" t="str">
        <f t="shared" si="229"/>
        <v>Found</v>
      </c>
      <c r="AN1307" s="6">
        <v>14.4542</v>
      </c>
      <c r="AO1307" s="4" t="str">
        <f t="shared" si="230"/>
        <v>Mid</v>
      </c>
    </row>
    <row r="1308" spans="1:41">
      <c r="A1308">
        <v>3</v>
      </c>
      <c r="B1308" t="str">
        <f t="shared" si="220"/>
        <v>Third Class</v>
      </c>
      <c r="C1308">
        <v>0</v>
      </c>
      <c r="E1308" t="str">
        <f t="shared" si="221"/>
        <v>Died</v>
      </c>
      <c r="F1308" t="s">
        <v>2248</v>
      </c>
      <c r="G1308" t="s">
        <v>848</v>
      </c>
      <c r="H1308" t="s">
        <v>2249</v>
      </c>
      <c r="I1308" t="str">
        <f t="shared" si="222"/>
        <v>Mr. Zakarian Mapriededer</v>
      </c>
      <c r="J1308" t="s">
        <v>20</v>
      </c>
      <c r="K1308" t="str">
        <f t="shared" si="223"/>
        <v>Male</v>
      </c>
      <c r="L1308">
        <v>26.5</v>
      </c>
      <c r="O1308">
        <f t="shared" si="224"/>
        <v>27</v>
      </c>
      <c r="P1308">
        <v>0</v>
      </c>
      <c r="R1308" s="4">
        <v>0</v>
      </c>
      <c r="T1308" s="5">
        <v>7.2249999999999996</v>
      </c>
      <c r="W1308" s="4">
        <v>27</v>
      </c>
      <c r="X1308" s="4" t="str">
        <f t="shared" si="225"/>
        <v>Young Adult</v>
      </c>
      <c r="Y1308" s="4" t="s">
        <v>3561</v>
      </c>
      <c r="AB1308" s="4" t="str">
        <f t="shared" si="226"/>
        <v/>
      </c>
      <c r="AC1308" s="4" t="str">
        <f t="shared" si="227"/>
        <v>Unknown</v>
      </c>
      <c r="AD1308" s="4" t="s">
        <v>3566</v>
      </c>
      <c r="AG1308" s="4" t="str">
        <f t="shared" si="228"/>
        <v>Not Applicable</v>
      </c>
      <c r="AH1308" s="4">
        <v>304</v>
      </c>
      <c r="AK1308" s="4">
        <v>304</v>
      </c>
      <c r="AL1308" s="4" t="str">
        <f t="shared" si="229"/>
        <v>Found</v>
      </c>
      <c r="AN1308" s="6">
        <v>7.2249999999999996</v>
      </c>
      <c r="AO1308" s="4" t="str">
        <f t="shared" si="230"/>
        <v>Low</v>
      </c>
    </row>
    <row r="1309" spans="1:41">
      <c r="A1309">
        <v>3</v>
      </c>
      <c r="B1309" t="str">
        <f t="shared" si="220"/>
        <v>Third Class</v>
      </c>
      <c r="C1309">
        <v>0</v>
      </c>
      <c r="E1309" t="str">
        <f t="shared" si="221"/>
        <v>Died</v>
      </c>
      <c r="F1309" t="s">
        <v>2248</v>
      </c>
      <c r="G1309" t="s">
        <v>848</v>
      </c>
      <c r="H1309" t="s">
        <v>2250</v>
      </c>
      <c r="I1309" t="str">
        <f t="shared" si="222"/>
        <v>Mr. Zakarian Ortin</v>
      </c>
      <c r="J1309" t="s">
        <v>20</v>
      </c>
      <c r="K1309" t="str">
        <f t="shared" si="223"/>
        <v>Male</v>
      </c>
      <c r="L1309">
        <v>27</v>
      </c>
      <c r="O1309">
        <f t="shared" si="224"/>
        <v>27</v>
      </c>
      <c r="P1309">
        <v>0</v>
      </c>
      <c r="R1309" s="4">
        <v>0</v>
      </c>
      <c r="T1309" s="5">
        <v>7.2249999999999996</v>
      </c>
      <c r="W1309" s="4">
        <v>27</v>
      </c>
      <c r="X1309" s="4" t="str">
        <f t="shared" si="225"/>
        <v>Young Adult</v>
      </c>
      <c r="Y1309" s="4" t="s">
        <v>3561</v>
      </c>
      <c r="AB1309" s="4" t="str">
        <f t="shared" si="226"/>
        <v/>
      </c>
      <c r="AC1309" s="4" t="str">
        <f t="shared" si="227"/>
        <v>Unknown</v>
      </c>
      <c r="AD1309" s="4" t="s">
        <v>3566</v>
      </c>
      <c r="AG1309" s="4" t="str">
        <f t="shared" si="228"/>
        <v>Not Applicable</v>
      </c>
      <c r="AK1309" s="4" t="s">
        <v>3573</v>
      </c>
      <c r="AL1309" s="4" t="str">
        <f t="shared" si="229"/>
        <v>Found</v>
      </c>
      <c r="AN1309" s="6">
        <v>7.2249999999999996</v>
      </c>
      <c r="AO1309" s="4" t="str">
        <f t="shared" si="230"/>
        <v>Low</v>
      </c>
    </row>
    <row r="1310" spans="1:41">
      <c r="A1310">
        <v>3</v>
      </c>
      <c r="B1310" t="str">
        <f t="shared" si="220"/>
        <v>Third Class</v>
      </c>
      <c r="C1310">
        <v>0</v>
      </c>
      <c r="E1310" t="str">
        <f t="shared" si="221"/>
        <v>Died</v>
      </c>
      <c r="F1310" t="s">
        <v>2251</v>
      </c>
      <c r="G1310" t="s">
        <v>848</v>
      </c>
      <c r="H1310" t="s">
        <v>1051</v>
      </c>
      <c r="I1310" t="str">
        <f t="shared" si="222"/>
        <v>Mr. Zimmerman Leo</v>
      </c>
      <c r="J1310" t="s">
        <v>20</v>
      </c>
      <c r="K1310" t="str">
        <f t="shared" si="223"/>
        <v>Male</v>
      </c>
      <c r="L1310">
        <v>29</v>
      </c>
      <c r="O1310">
        <f t="shared" si="224"/>
        <v>29</v>
      </c>
      <c r="P1310">
        <v>0</v>
      </c>
      <c r="R1310" s="4">
        <v>0</v>
      </c>
      <c r="T1310" s="5">
        <v>7.875</v>
      </c>
      <c r="W1310" s="4">
        <v>29</v>
      </c>
      <c r="X1310" s="4" t="str">
        <f t="shared" si="225"/>
        <v>Young Adult</v>
      </c>
      <c r="Y1310" s="4" t="s">
        <v>3561</v>
      </c>
      <c r="AB1310" s="4" t="str">
        <f t="shared" si="226"/>
        <v/>
      </c>
      <c r="AC1310" s="4" t="str">
        <f t="shared" si="227"/>
        <v>Unknown</v>
      </c>
      <c r="AD1310" s="4" t="s">
        <v>457</v>
      </c>
      <c r="AG1310" s="4" t="str">
        <f t="shared" si="228"/>
        <v>Not Applicable</v>
      </c>
      <c r="AK1310" s="4" t="s">
        <v>3573</v>
      </c>
      <c r="AL1310" s="4" t="str">
        <f t="shared" si="229"/>
        <v>Found</v>
      </c>
      <c r="AN1310" s="6">
        <v>7.875</v>
      </c>
      <c r="AO1310" s="4" t="str">
        <f t="shared" si="230"/>
        <v>Low</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7038B-D50C-4AE5-93FC-47D235E81580}">
  <dimension ref="A1"/>
  <sheetViews>
    <sheetView workbookViewId="0"/>
  </sheetViews>
  <sheetFormatPr defaultRowHeight="13.8"/>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38C8F-6C84-46E0-A2E4-B43F318EDDC3}">
  <dimension ref="A15:A21"/>
  <sheetViews>
    <sheetView showGridLines="0" showRowColHeaders="0" tabSelected="1" zoomScale="81" zoomScaleNormal="81" workbookViewId="0">
      <selection activeCell="V9" sqref="V9"/>
    </sheetView>
  </sheetViews>
  <sheetFormatPr defaultColWidth="8.8984375" defaultRowHeight="13.8"/>
  <cols>
    <col min="1" max="19" width="8.8984375" style="16"/>
    <col min="20" max="20" width="9.3984375" style="16" customWidth="1"/>
    <col min="21" max="16384" width="8.8984375" style="16"/>
  </cols>
  <sheetData>
    <row r="15" s="16" customFormat="1" ht="15.6" customHeight="1"/>
    <row r="21" s="16" customFormat="1" ht="16.2" customHeight="1"/>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Pivot Table and Charts</vt:lpstr>
      <vt:lpstr>Transformed Dataset</vt:lpstr>
      <vt:lpstr>Dataset Dictionary</vt:lpstr>
      <vt:lpstr>Worksheet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Daberechi Nnamani</dc:creator>
  <cp:lastModifiedBy>SUNDAY OBIOMA</cp:lastModifiedBy>
  <cp:lastPrinted>2026-06-09T15:53:32Z</cp:lastPrinted>
  <dcterms:created xsi:type="dcterms:W3CDTF">2026-05-19T17:52:41Z</dcterms:created>
  <dcterms:modified xsi:type="dcterms:W3CDTF">2026-10-22T08:32:36Z</dcterms:modified>
</cp:coreProperties>
</file>